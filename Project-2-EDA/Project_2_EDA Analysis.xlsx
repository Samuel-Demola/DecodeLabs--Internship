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1965688-E89E-47B7-926E-42CF10D93982}" xr6:coauthVersionLast="47" xr6:coauthVersionMax="47" xr10:uidLastSave="{00000000-0000-0000-0000-000000000000}"/>
  <bookViews>
    <workbookView xWindow="-120" yWindow="-120" windowWidth="20730" windowHeight="11160" activeTab="3" xr2:uid="{A5064C85-06D9-4F62-A852-63FCA6ACFFF0}"/>
  </bookViews>
  <sheets>
    <sheet name="EDA Analysis" sheetId="1" r:id="rId1"/>
    <sheet name="EDA Pivot Tables" sheetId="2" r:id="rId2"/>
    <sheet name="EDA Charts" sheetId="3" r:id="rId3"/>
    <sheet name="EDA Report" sheetId="4" r:id="rId4"/>
  </sheets>
  <externalReferences>
    <externalReference r:id="rId5"/>
  </externalReferences>
  <definedNames>
    <definedName name="_xlcn.WorksheetConnection_SalesDataAN1" hidden="1">'[1]Sales Data'!$A:$N</definedName>
  </definedNames>
  <calcPr calcId="191029"/>
  <pivotCaches>
    <pivotCache cacheId="9" r:id="rId6"/>
    <pivotCache cacheId="11" r:id="rId7"/>
    <pivotCache cacheId="13" r:id="rId8"/>
    <pivotCache cacheId="0" r:id="rId9"/>
    <pivotCache cacheId="15" r:id="rId10"/>
    <pivotCache cacheId="24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-5029d894-8d10-4455-9351-9b1b677758e3" name="Range" connection="WorksheetConnection_Sales Data!$A:$N"/>
        </x15:modelTables>
        <x15:extLst>
          <ext xmlns:x16="http://schemas.microsoft.com/office/spreadsheetml/2014/11/main" uri="{9835A34E-60A6-4A7C-AAB8-D5F71C897F49}">
            <x16:modelTimeGroupings>
              <x16:modelTimeGrouping tableName="Range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C4" i="1"/>
  <c r="D4" i="1"/>
  <c r="E4" i="1"/>
  <c r="B5" i="1"/>
  <c r="C5" i="1"/>
  <c r="D5" i="1"/>
  <c r="E5" i="1"/>
  <c r="B6" i="1"/>
  <c r="C6" i="1"/>
  <c r="D6" i="1"/>
  <c r="E6" i="1"/>
  <c r="B7" i="1"/>
  <c r="C7" i="1"/>
  <c r="D7" i="1"/>
  <c r="E7" i="1"/>
  <c r="B8" i="1"/>
  <c r="C8" i="1"/>
  <c r="D8" i="1"/>
  <c r="E8" i="1"/>
  <c r="B9" i="1"/>
  <c r="C9" i="1"/>
  <c r="D9" i="1"/>
  <c r="E9" i="1"/>
  <c r="B10" i="1"/>
  <c r="C10" i="1"/>
  <c r="D10" i="1"/>
  <c r="E10" i="1"/>
  <c r="B11" i="1"/>
  <c r="C11" i="1"/>
  <c r="D11" i="1"/>
  <c r="E11" i="1"/>
  <c r="B12" i="1"/>
  <c r="C12" i="1"/>
  <c r="D12" i="1"/>
  <c r="E12" i="1"/>
  <c r="C19" i="1"/>
  <c r="C20" i="1"/>
  <c r="D13" i="1" l="1"/>
  <c r="D14" i="1" s="1"/>
  <c r="D15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B4FAAF-4FAA-416B-8AAE-0E77FF6058A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19C5FC0-3569-4CD9-AE71-DA50394AA295}" name="WorksheetConnection_Sales Data!$A:$N" type="102" refreshedVersion="8" minRefreshableVersion="5">
    <extLst>
      <ext xmlns:x15="http://schemas.microsoft.com/office/spreadsheetml/2010/11/main" uri="{DE250136-89BD-433C-8126-D09CA5730AF9}">
        <x15:connection id="Range-5029d894-8d10-4455-9351-9b1b677758e3" autoDelete="1">
          <x15:rangePr sourceName="_xlcn.WorksheetConnection_SalesDataAN1"/>
        </x15:connection>
      </ext>
    </extLst>
  </connection>
</connections>
</file>

<file path=xl/sharedStrings.xml><?xml version="1.0" encoding="utf-8"?>
<sst xmlns="http://schemas.openxmlformats.org/spreadsheetml/2006/main" count="98" uniqueCount="90">
  <si>
    <t>Strong Positive</t>
  </si>
  <si>
    <t xml:space="preserve">Unit Price vs Total price </t>
  </si>
  <si>
    <t>Moderate Positive</t>
  </si>
  <si>
    <t>Quantity vs Total Price</t>
  </si>
  <si>
    <t>Strength</t>
  </si>
  <si>
    <t>Result</t>
  </si>
  <si>
    <t>Correlation Analysis</t>
  </si>
  <si>
    <t>Upper Bound</t>
  </si>
  <si>
    <t>Lower Bound</t>
  </si>
  <si>
    <t>IQR</t>
  </si>
  <si>
    <t>Quartile 3</t>
  </si>
  <si>
    <t>Quartile 1</t>
  </si>
  <si>
    <t>Std Dev</t>
  </si>
  <si>
    <t>Variance</t>
  </si>
  <si>
    <t>Max</t>
  </si>
  <si>
    <t>Min</t>
  </si>
  <si>
    <t>Median</t>
  </si>
  <si>
    <t>Mean</t>
  </si>
  <si>
    <t xml:space="preserve">Count </t>
  </si>
  <si>
    <t>Items In Cart</t>
  </si>
  <si>
    <t>Total Price</t>
  </si>
  <si>
    <t>Unit Price</t>
  </si>
  <si>
    <t>Quantity</t>
  </si>
  <si>
    <t xml:space="preserve">Metric </t>
  </si>
  <si>
    <t>Grand Total</t>
  </si>
  <si>
    <t>2025</t>
  </si>
  <si>
    <t>Gift Card</t>
  </si>
  <si>
    <t>Debit Card</t>
  </si>
  <si>
    <t>Referral</t>
  </si>
  <si>
    <t>Credit Card</t>
  </si>
  <si>
    <t>2024</t>
  </si>
  <si>
    <t>Instagram</t>
  </si>
  <si>
    <t>Cash</t>
  </si>
  <si>
    <t>Google</t>
  </si>
  <si>
    <t>Online</t>
  </si>
  <si>
    <t>Facebook</t>
  </si>
  <si>
    <t>Count</t>
  </si>
  <si>
    <t>Payment Method</t>
  </si>
  <si>
    <t>Email</t>
  </si>
  <si>
    <t>Referral Source</t>
  </si>
  <si>
    <t>Tablet</t>
  </si>
  <si>
    <t>Printer</t>
  </si>
  <si>
    <t>Delivered</t>
  </si>
  <si>
    <t>Phone</t>
  </si>
  <si>
    <t>SAVE10</t>
  </si>
  <si>
    <t>Shipped</t>
  </si>
  <si>
    <t>Monitor</t>
  </si>
  <si>
    <t>WINTER15</t>
  </si>
  <si>
    <t>Pending</t>
  </si>
  <si>
    <t>Laptop</t>
  </si>
  <si>
    <t>No Coupon</t>
  </si>
  <si>
    <t>Returned</t>
  </si>
  <si>
    <t>Desk</t>
  </si>
  <si>
    <t>2023</t>
  </si>
  <si>
    <t>FREESHIP</t>
  </si>
  <si>
    <t>Cancelled</t>
  </si>
  <si>
    <t>Chair</t>
  </si>
  <si>
    <t>Revenue</t>
  </si>
  <si>
    <t>Month</t>
  </si>
  <si>
    <t>Coupon Codes</t>
  </si>
  <si>
    <t>Order Status</t>
  </si>
  <si>
    <t>Total Revenue</t>
  </si>
  <si>
    <t>Product</t>
  </si>
  <si>
    <t>Also addressing the cancellation and returns issue presents a big opportunity for revenue recovery.</t>
  </si>
  <si>
    <t>The datset shows that the business revenue is primarily driven by unit price rather than volume, and a small number of high-value bulk orders inflate the average order value.</t>
  </si>
  <si>
    <t>The dataset reveals a business with a diversified product portfolio and a strong Instagram presence, but with a serious fulfilment problem 41.4% of orders are either cancelled or returned.</t>
  </si>
  <si>
    <t>CONCLUSION</t>
  </si>
  <si>
    <t>So selling higher-priced products has more impact on revenue than simply increasing the number of units sold.</t>
  </si>
  <si>
    <t>This means unit price  is a stronger driver of total revenue than Quantity.</t>
  </si>
  <si>
    <t xml:space="preserve">Unit Price vs Total Price: r = 0.72 (Strong Positive). Quantity vs Total Price: r = 0.62 (Moderate Positive). </t>
  </si>
  <si>
    <t>CORRELATION ANALYSIS</t>
  </si>
  <si>
    <t>Payment methods are evenly distributed across Online, Cash, Credit Card, Debit Card and Gift Card, suggesting customers have no strong preference and all channels should remain active.</t>
  </si>
  <si>
    <t>Facebook and Referral trail slightly behind. Instagram should therefore receive priority in the marketing budget as it drives the highest order volume.</t>
  </si>
  <si>
    <t>Instagram is the leading sales channel with 259 orders, followed by Email (250) and Google (241).</t>
  </si>
  <si>
    <t>REFERRAL SOURCE AND PAYMENT METHOD</t>
  </si>
  <si>
    <t>This warrants an urgent review of the fulfilment and returns process.</t>
  </si>
  <si>
    <t xml:space="preserve">This is a critical business concern,nearly half of all orders never reach the customer successfully. </t>
  </si>
  <si>
    <t>Only 231 orders (19.2%) reached Delivered status. Combined, Cancelled (250) and Returned (247) orders account for 41.4% of all transactions.</t>
  </si>
  <si>
    <t>ORDER STATUS</t>
  </si>
  <si>
    <t>Revenue is relatively balanced across all products, suggesting a healthy and diversified product portfolio with no single product carrying the entire business</t>
  </si>
  <si>
    <t>Chair and Printer are the top revenue-generating products at approximately 195,000 each, followed closely by Laptop at 192,127. Phone generated the least revenue at 151,722.</t>
  </si>
  <si>
    <t>PRODUCT REVENUE</t>
  </si>
  <si>
    <t>These outliers likely represent bulk purchases or high-value customers and should be investigated further rather than removed.</t>
  </si>
  <si>
    <t>Using the IQR method, the upper boundary for a normal order was calculated at 3,330.41. Eight orders exceeded this threshold, with the highest being ORD200789 at $3,456.40.</t>
  </si>
  <si>
    <t>OUTLIER ANALYSIS</t>
  </si>
  <si>
    <t>Unit Price also ranges from 11.39 to 699.93, showing a wide variety of products across different price points.</t>
  </si>
  <si>
    <t>The gap between the mean and median indicates the data is right-skewed, meaning a small number of very high-value orders are pulling the average upward.</t>
  </si>
  <si>
    <t>The Median is 823.62.</t>
  </si>
  <si>
    <t>The average order value (Mean) is 1,053.97</t>
  </si>
  <si>
    <t>DESCRIPTIVE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</si>
</sst>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-mm\-dd;@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2" fontId="0" fillId="0" borderId="1" xfId="0" applyNumberForma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1" fontId="0" fillId="0" borderId="1" xfId="0" applyNumberFormat="1" applyBorder="1"/>
    <xf numFmtId="2" fontId="2" fillId="0" borderId="0" xfId="0" applyNumberFormat="1" applyFont="1"/>
    <xf numFmtId="0" fontId="0" fillId="0" borderId="0" xfId="0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pivotButton="1" applyFont="1"/>
    <xf numFmtId="43" fontId="2" fillId="0" borderId="0" xfId="0" applyNumberFormat="1" applyFont="1"/>
    <xf numFmtId="2" fontId="2" fillId="0" borderId="0" xfId="0" applyNumberFormat="1" applyFont="1" applyAlignment="1">
      <alignment horizontal="left"/>
    </xf>
    <xf numFmtId="0" fontId="0" fillId="0" borderId="0" xfId="0" pivotButton="1"/>
    <xf numFmtId="2" fontId="2" fillId="0" borderId="0" xfId="0" pivotButton="1" applyNumberFormat="1" applyFont="1"/>
    <xf numFmtId="0" fontId="0" fillId="0" borderId="0" xfId="0" applyNumberFormat="1"/>
    <xf numFmtId="0" fontId="3" fillId="0" borderId="0" xfId="0" applyFont="1"/>
  </cellXfs>
  <cellStyles count="1">
    <cellStyle name="Normal" xfId="0" builtinId="0"/>
  </cellStyles>
  <dxfs count="25"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ivotCacheDefinition" Target="pivotCache/pivotCacheDefinition6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Monthly</a:t>
            </a:r>
            <a:r>
              <a:rPr lang="en-US" b="1" baseline="0">
                <a:solidFill>
                  <a:sysClr val="windowText" lastClr="000000"/>
                </a:solidFill>
              </a:rPr>
              <a:t> Revenue Trend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dk1">
              <a:tint val="88500"/>
            </a:schemeClr>
          </a:solidFill>
          <a:ln w="28575" cap="rnd">
            <a:solidFill>
              <a:schemeClr val="dk1">
                <a:tint val="885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30"/>
              <c:pt idx="0">
                <c:v>2023 Jan</c:v>
              </c:pt>
              <c:pt idx="1">
                <c:v>2023 Feb</c:v>
              </c:pt>
              <c:pt idx="2">
                <c:v>2023 Mar</c:v>
              </c:pt>
              <c:pt idx="3">
                <c:v>2023 Apr</c:v>
              </c:pt>
              <c:pt idx="4">
                <c:v>2023 May</c:v>
              </c:pt>
              <c:pt idx="5">
                <c:v>2023 Jun</c:v>
              </c:pt>
              <c:pt idx="6">
                <c:v>2023 Jul</c:v>
              </c:pt>
              <c:pt idx="7">
                <c:v>2023 Aug</c:v>
              </c:pt>
              <c:pt idx="8">
                <c:v>2023 Sep</c:v>
              </c:pt>
              <c:pt idx="9">
                <c:v>2023 Oct</c:v>
              </c:pt>
              <c:pt idx="10">
                <c:v>2023 Nov</c:v>
              </c:pt>
              <c:pt idx="11">
                <c:v>2023 Dec</c:v>
              </c:pt>
              <c:pt idx="12">
                <c:v>2024 Jan</c:v>
              </c:pt>
              <c:pt idx="13">
                <c:v>2024 Feb</c:v>
              </c:pt>
              <c:pt idx="14">
                <c:v>2024 Mar</c:v>
              </c:pt>
              <c:pt idx="15">
                <c:v>2024 Apr</c:v>
              </c:pt>
              <c:pt idx="16">
                <c:v>2024 May</c:v>
              </c:pt>
              <c:pt idx="17">
                <c:v>2024 Jun</c:v>
              </c:pt>
              <c:pt idx="18">
                <c:v>2024 Jul</c:v>
              </c:pt>
              <c:pt idx="19">
                <c:v>2024 Aug</c:v>
              </c:pt>
              <c:pt idx="20">
                <c:v>2024 Sep</c:v>
              </c:pt>
              <c:pt idx="21">
                <c:v>2024 Oct</c:v>
              </c:pt>
              <c:pt idx="22">
                <c:v>2024 Nov</c:v>
              </c:pt>
              <c:pt idx="23">
                <c:v>2024 Dec</c:v>
              </c:pt>
              <c:pt idx="24">
                <c:v>2025 Jan</c:v>
              </c:pt>
              <c:pt idx="25">
                <c:v>2025 Feb</c:v>
              </c:pt>
              <c:pt idx="26">
                <c:v>2025 Mar</c:v>
              </c:pt>
              <c:pt idx="27">
                <c:v>2025 Apr</c:v>
              </c:pt>
              <c:pt idx="28">
                <c:v>2025 May</c:v>
              </c:pt>
              <c:pt idx="29">
                <c:v>2025 Jun</c:v>
              </c:pt>
            </c:strLit>
          </c:cat>
          <c:val>
            <c:numLit>
              <c:formatCode>General</c:formatCode>
              <c:ptCount val="30"/>
              <c:pt idx="0">
                <c:v>56685.749999999985</c:v>
              </c:pt>
              <c:pt idx="1">
                <c:v>40117.659999999996</c:v>
              </c:pt>
              <c:pt idx="2">
                <c:v>48609.37000000001</c:v>
              </c:pt>
              <c:pt idx="3">
                <c:v>27751.710000000006</c:v>
              </c:pt>
              <c:pt idx="4">
                <c:v>63836.840000000018</c:v>
              </c:pt>
              <c:pt idx="5">
                <c:v>49500.19</c:v>
              </c:pt>
              <c:pt idx="6">
                <c:v>42820.66</c:v>
              </c:pt>
              <c:pt idx="7">
                <c:v>54352.14</c:v>
              </c:pt>
              <c:pt idx="8">
                <c:v>29526.67</c:v>
              </c:pt>
              <c:pt idx="9">
                <c:v>52607.85</c:v>
              </c:pt>
              <c:pt idx="10">
                <c:v>43079.67</c:v>
              </c:pt>
              <c:pt idx="11">
                <c:v>43754.729999999981</c:v>
              </c:pt>
              <c:pt idx="12">
                <c:v>38528.079999999994</c:v>
              </c:pt>
              <c:pt idx="13">
                <c:v>36909.570000000014</c:v>
              </c:pt>
              <c:pt idx="14">
                <c:v>36030.899999999994</c:v>
              </c:pt>
              <c:pt idx="15">
                <c:v>49613.139999999992</c:v>
              </c:pt>
              <c:pt idx="16">
                <c:v>27909.110000000004</c:v>
              </c:pt>
              <c:pt idx="17">
                <c:v>68068.539999999979</c:v>
              </c:pt>
              <c:pt idx="18">
                <c:v>42963.98</c:v>
              </c:pt>
              <c:pt idx="19">
                <c:v>31991.07</c:v>
              </c:pt>
              <c:pt idx="20">
                <c:v>39794.979999999996</c:v>
              </c:pt>
              <c:pt idx="21">
                <c:v>37226.969999999994</c:v>
              </c:pt>
              <c:pt idx="22">
                <c:v>32413.760000000006</c:v>
              </c:pt>
              <c:pt idx="23">
                <c:v>38785.769999999997</c:v>
              </c:pt>
              <c:pt idx="24">
                <c:v>29099.399999999998</c:v>
              </c:pt>
              <c:pt idx="25">
                <c:v>35317.549999999996</c:v>
              </c:pt>
              <c:pt idx="26">
                <c:v>39200.660000000011</c:v>
              </c:pt>
              <c:pt idx="27">
                <c:v>31821.200000000001</c:v>
              </c:pt>
              <c:pt idx="28">
                <c:v>43396.639999999992</c:v>
              </c:pt>
              <c:pt idx="29">
                <c:v>53047.399999999994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0420-4EE0-B837-AC3AD55C3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7965072"/>
        <c:axId val="1757956912"/>
      </c:lineChart>
      <c:catAx>
        <c:axId val="1757965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956912"/>
        <c:crosses val="autoZero"/>
        <c:auto val="1"/>
        <c:lblAlgn val="ctr"/>
        <c:lblOffset val="100"/>
        <c:noMultiLvlLbl val="0"/>
      </c:catAx>
      <c:valAx>
        <c:axId val="175795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965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Total Revenue Per</a:t>
            </a:r>
            <a:r>
              <a:rPr lang="en-US" b="1" baseline="0">
                <a:solidFill>
                  <a:sysClr val="windowText" lastClr="000000"/>
                </a:solidFill>
              </a:rPr>
              <a:t> Product</a:t>
            </a:r>
            <a:endParaRPr lang="en-US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7642838327028413"/>
          <c:y val="9.61610759701871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Chair</c:v>
              </c:pt>
              <c:pt idx="1">
                <c:v>Desk</c:v>
              </c:pt>
              <c:pt idx="2">
                <c:v>Laptop</c:v>
              </c:pt>
              <c:pt idx="3">
                <c:v>Monitor</c:v>
              </c:pt>
              <c:pt idx="4">
                <c:v>Phone</c:v>
              </c:pt>
              <c:pt idx="5">
                <c:v>Printer</c:v>
              </c:pt>
              <c:pt idx="6">
                <c:v>Tablet</c:v>
              </c:pt>
            </c:strLit>
          </c:cat>
          <c:val>
            <c:numLit>
              <c:formatCode>General</c:formatCode>
              <c:ptCount val="7"/>
              <c:pt idx="0">
                <c:v>195620.11000000002</c:v>
              </c:pt>
              <c:pt idx="1">
                <c:v>167459.93</c:v>
              </c:pt>
              <c:pt idx="2">
                <c:v>192126.55999999994</c:v>
              </c:pt>
              <c:pt idx="3">
                <c:v>175651.40999999997</c:v>
              </c:pt>
              <c:pt idx="4">
                <c:v>151722.39000000001</c:v>
              </c:pt>
              <c:pt idx="5">
                <c:v>195612.60999999996</c:v>
              </c:pt>
              <c:pt idx="6">
                <c:v>186568.95000000007</c:v>
              </c:pt>
            </c:numLit>
          </c:val>
          <c:extLst>
            <c:ext xmlns:c16="http://schemas.microsoft.com/office/drawing/2014/chart" uri="{C3380CC4-5D6E-409C-BE32-E72D297353CC}">
              <c16:uniqueId val="{00000000-8C25-45DB-A00D-774FB4240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56045616"/>
        <c:axId val="1756041776"/>
      </c:barChart>
      <c:catAx>
        <c:axId val="1756045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041776"/>
        <c:crosses val="autoZero"/>
        <c:auto val="1"/>
        <c:lblAlgn val="ctr"/>
        <c:lblOffset val="100"/>
        <c:noMultiLvlLbl val="0"/>
      </c:catAx>
      <c:valAx>
        <c:axId val="1756041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04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Referral</a:t>
            </a:r>
            <a:r>
              <a:rPr lang="en-US" b="1" baseline="0">
                <a:solidFill>
                  <a:sysClr val="windowText" lastClr="000000"/>
                </a:solidFill>
              </a:rPr>
              <a:t> Source</a:t>
            </a:r>
          </a:p>
        </c:rich>
      </c:tx>
      <c:layout>
        <c:manualLayout>
          <c:xMode val="edge"/>
          <c:yMode val="edge"/>
          <c:x val="0.41669050335709473"/>
          <c:y val="0.114514803854049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Email</c:v>
              </c:pt>
              <c:pt idx="1">
                <c:v>Facebook</c:v>
              </c:pt>
              <c:pt idx="2">
                <c:v>Google</c:v>
              </c:pt>
              <c:pt idx="3">
                <c:v>Instagram</c:v>
              </c:pt>
              <c:pt idx="4">
                <c:v>Referral</c:v>
              </c:pt>
            </c:strLit>
          </c:cat>
          <c:val>
            <c:numLit>
              <c:formatCode>General</c:formatCode>
              <c:ptCount val="5"/>
              <c:pt idx="0">
                <c:v>250</c:v>
              </c:pt>
              <c:pt idx="1">
                <c:v>228</c:v>
              </c:pt>
              <c:pt idx="2">
                <c:v>241</c:v>
              </c:pt>
              <c:pt idx="3">
                <c:v>259</c:v>
              </c:pt>
              <c:pt idx="4">
                <c:v>222</c:v>
              </c:pt>
            </c:numLit>
          </c:val>
          <c:extLst>
            <c:ext xmlns:c16="http://schemas.microsoft.com/office/drawing/2014/chart" uri="{C3380CC4-5D6E-409C-BE32-E72D297353CC}">
              <c16:uniqueId val="{00000000-B140-460E-B924-6737C2E01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49695248"/>
        <c:axId val="1749690448"/>
      </c:barChart>
      <c:catAx>
        <c:axId val="1749695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690448"/>
        <c:crosses val="autoZero"/>
        <c:auto val="1"/>
        <c:lblAlgn val="ctr"/>
        <c:lblOffset val="100"/>
        <c:noMultiLvlLbl val="0"/>
      </c:catAx>
      <c:valAx>
        <c:axId val="1749690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69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Order Status</a:t>
            </a:r>
          </a:p>
        </c:rich>
      </c:tx>
      <c:layout>
        <c:manualLayout>
          <c:xMode val="edge"/>
          <c:yMode val="edge"/>
          <c:x val="0.4208393632416787"/>
          <c:y val="0.102645653579257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Cancelled</c:v>
              </c:pt>
              <c:pt idx="1">
                <c:v>Returned</c:v>
              </c:pt>
              <c:pt idx="2">
                <c:v>Pending</c:v>
              </c:pt>
              <c:pt idx="3">
                <c:v>Shipped</c:v>
              </c:pt>
              <c:pt idx="4">
                <c:v>Delivered</c:v>
              </c:pt>
            </c:strLit>
          </c:cat>
          <c:val>
            <c:numLit>
              <c:formatCode>General</c:formatCode>
              <c:ptCount val="5"/>
              <c:pt idx="0">
                <c:v>250</c:v>
              </c:pt>
              <c:pt idx="1">
                <c:v>247</c:v>
              </c:pt>
              <c:pt idx="2">
                <c:v>237</c:v>
              </c:pt>
              <c:pt idx="3">
                <c:v>235</c:v>
              </c:pt>
              <c:pt idx="4">
                <c:v>231</c:v>
              </c:pt>
            </c:numLit>
          </c:val>
          <c:extLst>
            <c:ext xmlns:c16="http://schemas.microsoft.com/office/drawing/2014/chart" uri="{C3380CC4-5D6E-409C-BE32-E72D297353CC}">
              <c16:uniqueId val="{00000000-46F1-4245-8283-141820DCF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30283632"/>
        <c:axId val="1047556672"/>
      </c:barChart>
      <c:catAx>
        <c:axId val="1130283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556672"/>
        <c:crosses val="autoZero"/>
        <c:auto val="1"/>
        <c:lblAlgn val="ctr"/>
        <c:lblOffset val="100"/>
        <c:noMultiLvlLbl val="0"/>
      </c:catAx>
      <c:valAx>
        <c:axId val="1047556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28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603565</xdr:colOff>
      <xdr:row>0</xdr:row>
      <xdr:rowOff>18860</xdr:rowOff>
    </xdr:from>
    <xdr:to>
      <xdr:col>21</xdr:col>
      <xdr:colOff>531146</xdr:colOff>
      <xdr:row>18</xdr:row>
      <xdr:rowOff>9703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97A7702-CD34-4BF6-B874-373D8164B7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66015</xdr:rowOff>
    </xdr:from>
    <xdr:to>
      <xdr:col>10</xdr:col>
      <xdr:colOff>498208</xdr:colOff>
      <xdr:row>18</xdr:row>
      <xdr:rowOff>75669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BBBC4C9-93C5-45A9-9D9B-84491A20D3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10</xdr:col>
      <xdr:colOff>508975</xdr:colOff>
      <xdr:row>34</xdr:row>
      <xdr:rowOff>29811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3250FD2-31C6-4E8F-90F7-B7B2C7B81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21</xdr:col>
      <xdr:colOff>451825</xdr:colOff>
      <xdr:row>33</xdr:row>
      <xdr:rowOff>177840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4573C9C-2C42-44A6-A82B-612993CEA2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ownloads\Project%201_Cleaned%20Dataset.xlsx" TargetMode="External"/><Relationship Id="rId1" Type="http://schemas.openxmlformats.org/officeDocument/2006/relationships/externalLinkPath" Target="Project%201_Cleaned%20Datas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les Data"/>
      <sheetName val="EDA Report"/>
      <sheetName val="Charts"/>
    </sheetNames>
    <sheetDataSet>
      <sheetData sheetId="0">
        <row r="1">
          <cell r="A1" t="str">
            <v>Order ID</v>
          </cell>
          <cell r="B1" t="str">
            <v>Date</v>
          </cell>
          <cell r="C1" t="str">
            <v>Customer ID</v>
          </cell>
          <cell r="D1" t="str">
            <v>Product</v>
          </cell>
          <cell r="E1" t="str">
            <v>Quantity</v>
          </cell>
          <cell r="F1" t="str">
            <v>Unit Price</v>
          </cell>
          <cell r="G1" t="str">
            <v>Shipping Address</v>
          </cell>
          <cell r="H1" t="str">
            <v>Payment Method</v>
          </cell>
          <cell r="I1" t="str">
            <v>Order Status</v>
          </cell>
          <cell r="J1" t="str">
            <v>Tracking Number</v>
          </cell>
          <cell r="K1" t="str">
            <v>Items In Cart</v>
          </cell>
          <cell r="L1" t="str">
            <v>Coupon Code</v>
          </cell>
          <cell r="M1" t="str">
            <v>Referral Source</v>
          </cell>
          <cell r="N1" t="str">
            <v>Total Price</v>
          </cell>
        </row>
        <row r="2">
          <cell r="A2" t="str">
            <v>ORD200000</v>
          </cell>
          <cell r="B2">
            <v>44930</v>
          </cell>
          <cell r="C2" t="str">
            <v>C72649</v>
          </cell>
          <cell r="D2" t="str">
            <v>Monitor</v>
          </cell>
          <cell r="E2">
            <v>5</v>
          </cell>
          <cell r="F2">
            <v>570.62</v>
          </cell>
          <cell r="G2" t="str">
            <v>928 Main St</v>
          </cell>
          <cell r="H2" t="str">
            <v>Debit Card</v>
          </cell>
          <cell r="I2" t="str">
            <v>Shipped</v>
          </cell>
          <cell r="J2" t="str">
            <v>TRK37947903</v>
          </cell>
          <cell r="K2">
            <v>7</v>
          </cell>
          <cell r="L2" t="str">
            <v>SAVE10</v>
          </cell>
          <cell r="M2" t="str">
            <v>Instagram</v>
          </cell>
          <cell r="N2">
            <v>2853.1</v>
          </cell>
        </row>
        <row r="3">
          <cell r="A3" t="str">
            <v>ORD200001</v>
          </cell>
          <cell r="B3">
            <v>45527</v>
          </cell>
          <cell r="C3" t="str">
            <v>C75739</v>
          </cell>
          <cell r="D3" t="str">
            <v>Phone</v>
          </cell>
          <cell r="E3">
            <v>2</v>
          </cell>
          <cell r="F3">
            <v>151.35</v>
          </cell>
          <cell r="G3" t="str">
            <v>823 Main St</v>
          </cell>
          <cell r="H3" t="str">
            <v>Online</v>
          </cell>
          <cell r="I3" t="str">
            <v>Shipped</v>
          </cell>
          <cell r="J3" t="str">
            <v>TRK91186779</v>
          </cell>
          <cell r="K3">
            <v>3</v>
          </cell>
          <cell r="L3" t="str">
            <v>SAVE10</v>
          </cell>
          <cell r="M3" t="str">
            <v>Referral</v>
          </cell>
          <cell r="N3">
            <v>302.7</v>
          </cell>
        </row>
        <row r="4">
          <cell r="A4" t="str">
            <v>ORD200002</v>
          </cell>
          <cell r="B4">
            <v>45349</v>
          </cell>
          <cell r="C4" t="str">
            <v>C81728</v>
          </cell>
          <cell r="D4" t="str">
            <v>Tablet</v>
          </cell>
          <cell r="E4">
            <v>5</v>
          </cell>
          <cell r="F4">
            <v>550.67999999999995</v>
          </cell>
          <cell r="G4" t="str">
            <v>512 Main St</v>
          </cell>
          <cell r="H4" t="str">
            <v>Credit Card</v>
          </cell>
          <cell r="I4" t="str">
            <v>Cancelled</v>
          </cell>
          <cell r="J4" t="str">
            <v>TRK42903982</v>
          </cell>
          <cell r="K4">
            <v>8</v>
          </cell>
          <cell r="L4" t="str">
            <v>FREESHIP</v>
          </cell>
          <cell r="M4" t="str">
            <v>Email</v>
          </cell>
          <cell r="N4">
            <v>2753.3999999999996</v>
          </cell>
        </row>
        <row r="5">
          <cell r="A5" t="str">
            <v>ORD200003</v>
          </cell>
          <cell r="B5">
            <v>45214</v>
          </cell>
          <cell r="C5" t="str">
            <v>C33540</v>
          </cell>
          <cell r="D5" t="str">
            <v>Chair</v>
          </cell>
          <cell r="E5">
            <v>1</v>
          </cell>
          <cell r="F5">
            <v>273.19</v>
          </cell>
          <cell r="G5" t="str">
            <v>275 Main St</v>
          </cell>
          <cell r="H5" t="str">
            <v>Debit Card</v>
          </cell>
          <cell r="I5" t="str">
            <v>Returned</v>
          </cell>
          <cell r="J5" t="str">
            <v>TRK62788070</v>
          </cell>
          <cell r="K5">
            <v>5</v>
          </cell>
          <cell r="L5" t="str">
            <v>SAVE10</v>
          </cell>
          <cell r="M5" t="str">
            <v>Facebook</v>
          </cell>
          <cell r="N5">
            <v>273.19</v>
          </cell>
        </row>
        <row r="6">
          <cell r="A6" t="str">
            <v>ORD200004</v>
          </cell>
          <cell r="B6">
            <v>45785</v>
          </cell>
          <cell r="C6" t="str">
            <v>C81840</v>
          </cell>
          <cell r="D6" t="str">
            <v>Printer</v>
          </cell>
          <cell r="E6">
            <v>4</v>
          </cell>
          <cell r="F6">
            <v>626.01</v>
          </cell>
          <cell r="G6" t="str">
            <v>668 Main St</v>
          </cell>
          <cell r="H6" t="str">
            <v>Online</v>
          </cell>
          <cell r="I6" t="str">
            <v>Delivered</v>
          </cell>
          <cell r="J6" t="str">
            <v>TRK29241424</v>
          </cell>
          <cell r="K6">
            <v>8</v>
          </cell>
          <cell r="L6" t="str">
            <v>SAVE10</v>
          </cell>
          <cell r="M6" t="str">
            <v>Email</v>
          </cell>
          <cell r="N6">
            <v>2504.04</v>
          </cell>
        </row>
        <row r="7">
          <cell r="A7" t="str">
            <v>ORD200005</v>
          </cell>
          <cell r="B7">
            <v>45222</v>
          </cell>
          <cell r="C7" t="str">
            <v>C37249</v>
          </cell>
          <cell r="D7" t="str">
            <v>Phone</v>
          </cell>
          <cell r="E7">
            <v>2</v>
          </cell>
          <cell r="F7">
            <v>245.86</v>
          </cell>
          <cell r="G7" t="str">
            <v>934 Main St</v>
          </cell>
          <cell r="H7" t="str">
            <v>Credit Card</v>
          </cell>
          <cell r="I7" t="str">
            <v>Shipped</v>
          </cell>
          <cell r="J7" t="str">
            <v>TRK72976927</v>
          </cell>
          <cell r="K7">
            <v>4</v>
          </cell>
          <cell r="L7" t="str">
            <v>SAVE10</v>
          </cell>
          <cell r="M7" t="str">
            <v>Instagram</v>
          </cell>
          <cell r="N7">
            <v>491.72</v>
          </cell>
        </row>
        <row r="8">
          <cell r="A8" t="str">
            <v>ORD200006</v>
          </cell>
          <cell r="B8">
            <v>45825</v>
          </cell>
          <cell r="C8" t="str">
            <v>C83492</v>
          </cell>
          <cell r="D8" t="str">
            <v>Laptop</v>
          </cell>
          <cell r="E8">
            <v>1</v>
          </cell>
          <cell r="F8">
            <v>664.42</v>
          </cell>
          <cell r="G8" t="str">
            <v>986 Main St</v>
          </cell>
          <cell r="H8" t="str">
            <v>Gift Card</v>
          </cell>
          <cell r="I8" t="str">
            <v>Returned</v>
          </cell>
          <cell r="J8" t="str">
            <v>TRK96417362</v>
          </cell>
          <cell r="K8">
            <v>6</v>
          </cell>
          <cell r="L8" t="str">
            <v>SAVE10</v>
          </cell>
          <cell r="M8" t="str">
            <v>Facebook</v>
          </cell>
          <cell r="N8">
            <v>664.42</v>
          </cell>
        </row>
        <row r="9">
          <cell r="A9" t="str">
            <v>ORD200007</v>
          </cell>
          <cell r="B9">
            <v>45058</v>
          </cell>
          <cell r="C9" t="str">
            <v>C41460</v>
          </cell>
          <cell r="D9" t="str">
            <v>Monitor</v>
          </cell>
          <cell r="E9">
            <v>5</v>
          </cell>
          <cell r="F9">
            <v>149.55000000000001</v>
          </cell>
          <cell r="G9" t="str">
            <v>706 Main St</v>
          </cell>
          <cell r="H9" t="str">
            <v>Cash</v>
          </cell>
          <cell r="I9" t="str">
            <v>Shipped</v>
          </cell>
          <cell r="J9" t="str">
            <v>TRK78809193</v>
          </cell>
          <cell r="K9">
            <v>9</v>
          </cell>
          <cell r="L9" t="str">
            <v>FREESHIP</v>
          </cell>
          <cell r="M9" t="str">
            <v>Facebook</v>
          </cell>
          <cell r="N9">
            <v>747.75</v>
          </cell>
        </row>
        <row r="10">
          <cell r="A10" t="str">
            <v>ORD200008</v>
          </cell>
          <cell r="B10">
            <v>45749</v>
          </cell>
          <cell r="C10" t="str">
            <v>C26817</v>
          </cell>
          <cell r="D10" t="str">
            <v>Phone</v>
          </cell>
          <cell r="E10">
            <v>2</v>
          </cell>
          <cell r="F10">
            <v>134.28</v>
          </cell>
          <cell r="G10" t="str">
            <v>904 Main St</v>
          </cell>
          <cell r="H10" t="str">
            <v>Gift Card</v>
          </cell>
          <cell r="I10" t="str">
            <v>Cancelled</v>
          </cell>
          <cell r="J10" t="str">
            <v>TRK61042692</v>
          </cell>
          <cell r="K10">
            <v>2</v>
          </cell>
          <cell r="L10" t="str">
            <v>No Coupon</v>
          </cell>
          <cell r="M10" t="str">
            <v>Email</v>
          </cell>
          <cell r="N10">
            <v>268.56</v>
          </cell>
        </row>
        <row r="11">
          <cell r="A11" t="str">
            <v>ORD200009</v>
          </cell>
          <cell r="B11">
            <v>45251</v>
          </cell>
          <cell r="C11" t="str">
            <v>C31946</v>
          </cell>
          <cell r="D11" t="str">
            <v>Desk</v>
          </cell>
          <cell r="E11">
            <v>4</v>
          </cell>
          <cell r="F11">
            <v>509.38</v>
          </cell>
          <cell r="G11" t="str">
            <v>102 Main St</v>
          </cell>
          <cell r="H11" t="str">
            <v>Credit Card</v>
          </cell>
          <cell r="I11" t="str">
            <v>Shipped</v>
          </cell>
          <cell r="J11" t="str">
            <v>TRK33478363</v>
          </cell>
          <cell r="K11">
            <v>6</v>
          </cell>
          <cell r="L11" t="str">
            <v>SAVE10</v>
          </cell>
          <cell r="M11" t="str">
            <v>Google</v>
          </cell>
          <cell r="N11">
            <v>2037.52</v>
          </cell>
        </row>
        <row r="12">
          <cell r="A12" t="str">
            <v>ORD200010</v>
          </cell>
          <cell r="B12">
            <v>45289</v>
          </cell>
          <cell r="C12" t="str">
            <v>C43443</v>
          </cell>
          <cell r="D12" t="str">
            <v>Tablet</v>
          </cell>
          <cell r="E12">
            <v>5</v>
          </cell>
          <cell r="F12">
            <v>625.97</v>
          </cell>
          <cell r="G12" t="str">
            <v>333 Main St</v>
          </cell>
          <cell r="H12" t="str">
            <v>Credit Card</v>
          </cell>
          <cell r="I12" t="str">
            <v>Returned</v>
          </cell>
          <cell r="J12" t="str">
            <v>TRK98859248</v>
          </cell>
          <cell r="K12">
            <v>9</v>
          </cell>
          <cell r="L12" t="str">
            <v>WINTER15</v>
          </cell>
          <cell r="M12" t="str">
            <v>Instagram</v>
          </cell>
          <cell r="N12">
            <v>3129.8500000000004</v>
          </cell>
        </row>
        <row r="13">
          <cell r="A13" t="str">
            <v>ORD200011</v>
          </cell>
          <cell r="B13">
            <v>45339</v>
          </cell>
          <cell r="C13" t="str">
            <v>C93861</v>
          </cell>
          <cell r="D13" t="str">
            <v>Monitor</v>
          </cell>
          <cell r="E13">
            <v>3</v>
          </cell>
          <cell r="F13">
            <v>49.14</v>
          </cell>
          <cell r="G13" t="str">
            <v>831 Main St</v>
          </cell>
          <cell r="H13" t="str">
            <v>Online</v>
          </cell>
          <cell r="I13" t="str">
            <v>Returned</v>
          </cell>
          <cell r="J13" t="str">
            <v>TRK48234646</v>
          </cell>
          <cell r="K13">
            <v>7</v>
          </cell>
          <cell r="L13" t="str">
            <v>SAVE10</v>
          </cell>
          <cell r="M13" t="str">
            <v>Email</v>
          </cell>
          <cell r="N13">
            <v>147.42000000000002</v>
          </cell>
        </row>
        <row r="14">
          <cell r="A14" t="str">
            <v>ORD200012</v>
          </cell>
          <cell r="B14">
            <v>45580</v>
          </cell>
          <cell r="C14" t="str">
            <v>C38785</v>
          </cell>
          <cell r="D14" t="str">
            <v>Monitor</v>
          </cell>
          <cell r="E14">
            <v>2</v>
          </cell>
          <cell r="F14">
            <v>180.5</v>
          </cell>
          <cell r="G14" t="str">
            <v>179 Main St</v>
          </cell>
          <cell r="H14" t="str">
            <v>Debit Card</v>
          </cell>
          <cell r="I14" t="str">
            <v>Pending</v>
          </cell>
          <cell r="J14" t="str">
            <v>TRK20419991</v>
          </cell>
          <cell r="K14">
            <v>6</v>
          </cell>
          <cell r="L14" t="str">
            <v>FREESHIP</v>
          </cell>
          <cell r="M14" t="str">
            <v>Referral</v>
          </cell>
          <cell r="N14">
            <v>361</v>
          </cell>
        </row>
        <row r="15">
          <cell r="A15" t="str">
            <v>ORD200013</v>
          </cell>
          <cell r="B15">
            <v>45168</v>
          </cell>
          <cell r="C15" t="str">
            <v>C88348</v>
          </cell>
          <cell r="D15" t="str">
            <v>Laptop</v>
          </cell>
          <cell r="E15">
            <v>3</v>
          </cell>
          <cell r="F15">
            <v>201.49</v>
          </cell>
          <cell r="G15" t="str">
            <v>903 Main St</v>
          </cell>
          <cell r="H15" t="str">
            <v>Credit Card</v>
          </cell>
          <cell r="I15" t="str">
            <v>Returned</v>
          </cell>
          <cell r="J15" t="str">
            <v>TRK81913874</v>
          </cell>
          <cell r="K15">
            <v>4</v>
          </cell>
          <cell r="L15" t="str">
            <v>FREESHIP</v>
          </cell>
          <cell r="M15" t="str">
            <v>Facebook</v>
          </cell>
          <cell r="N15">
            <v>604.47</v>
          </cell>
        </row>
        <row r="16">
          <cell r="A16" t="str">
            <v>ORD200014</v>
          </cell>
          <cell r="B16">
            <v>45012</v>
          </cell>
          <cell r="C16" t="str">
            <v>C98474</v>
          </cell>
          <cell r="D16" t="str">
            <v>Tablet</v>
          </cell>
          <cell r="E16">
            <v>2</v>
          </cell>
          <cell r="F16">
            <v>393.33</v>
          </cell>
          <cell r="G16" t="str">
            <v>980 Main St</v>
          </cell>
          <cell r="H16" t="str">
            <v>Debit Card</v>
          </cell>
          <cell r="I16" t="str">
            <v>Pending</v>
          </cell>
          <cell r="J16" t="str">
            <v>TRK79186539</v>
          </cell>
          <cell r="K16">
            <v>3</v>
          </cell>
          <cell r="L16" t="str">
            <v>SAVE10</v>
          </cell>
          <cell r="M16" t="str">
            <v>Instagram</v>
          </cell>
          <cell r="N16">
            <v>786.66</v>
          </cell>
        </row>
        <row r="17">
          <cell r="A17" t="str">
            <v>ORD200015</v>
          </cell>
          <cell r="B17">
            <v>45124</v>
          </cell>
          <cell r="C17" t="str">
            <v>C39416</v>
          </cell>
          <cell r="D17" t="str">
            <v>Printer</v>
          </cell>
          <cell r="E17">
            <v>1</v>
          </cell>
          <cell r="F17">
            <v>473.96</v>
          </cell>
          <cell r="G17" t="str">
            <v>942 Main St</v>
          </cell>
          <cell r="H17" t="str">
            <v>Cash</v>
          </cell>
          <cell r="I17" t="str">
            <v>Delivered</v>
          </cell>
          <cell r="J17" t="str">
            <v>TRK54930938</v>
          </cell>
          <cell r="K17">
            <v>3</v>
          </cell>
          <cell r="L17" t="str">
            <v>No Coupon</v>
          </cell>
          <cell r="M17" t="str">
            <v>Google</v>
          </cell>
          <cell r="N17">
            <v>473.96</v>
          </cell>
        </row>
        <row r="18">
          <cell r="A18" t="str">
            <v>ORD200016</v>
          </cell>
          <cell r="B18">
            <v>44950</v>
          </cell>
          <cell r="C18" t="str">
            <v>C28976</v>
          </cell>
          <cell r="D18" t="str">
            <v>Printer</v>
          </cell>
          <cell r="E18">
            <v>2</v>
          </cell>
          <cell r="F18">
            <v>533.80999999999995</v>
          </cell>
          <cell r="G18" t="str">
            <v>914 Main St</v>
          </cell>
          <cell r="H18" t="str">
            <v>Credit Card</v>
          </cell>
          <cell r="I18" t="str">
            <v>Pending</v>
          </cell>
          <cell r="J18" t="str">
            <v>TRK13194259</v>
          </cell>
          <cell r="K18">
            <v>3</v>
          </cell>
          <cell r="L18" t="str">
            <v>FREESHIP</v>
          </cell>
          <cell r="M18" t="str">
            <v>Email</v>
          </cell>
          <cell r="N18">
            <v>1067.6199999999999</v>
          </cell>
        </row>
        <row r="19">
          <cell r="A19" t="str">
            <v>ORD200017</v>
          </cell>
          <cell r="B19">
            <v>45353</v>
          </cell>
          <cell r="C19" t="str">
            <v>C60672</v>
          </cell>
          <cell r="D19" t="str">
            <v>Tablet</v>
          </cell>
          <cell r="E19">
            <v>1</v>
          </cell>
          <cell r="F19">
            <v>423.4</v>
          </cell>
          <cell r="G19" t="str">
            <v>382 Main St</v>
          </cell>
          <cell r="H19" t="str">
            <v>Debit Card</v>
          </cell>
          <cell r="I19" t="str">
            <v>Shipped</v>
          </cell>
          <cell r="J19" t="str">
            <v>TRK11972116</v>
          </cell>
          <cell r="K19">
            <v>3</v>
          </cell>
          <cell r="L19" t="str">
            <v>No Coupon</v>
          </cell>
          <cell r="M19" t="str">
            <v>Referral</v>
          </cell>
          <cell r="N19">
            <v>423.4</v>
          </cell>
        </row>
        <row r="20">
          <cell r="A20" t="str">
            <v>ORD200018</v>
          </cell>
          <cell r="B20">
            <v>45742</v>
          </cell>
          <cell r="C20" t="str">
            <v>C84329</v>
          </cell>
          <cell r="D20" t="str">
            <v>Desk</v>
          </cell>
          <cell r="E20">
            <v>1</v>
          </cell>
          <cell r="F20">
            <v>431.44</v>
          </cell>
          <cell r="G20" t="str">
            <v>891 Main St</v>
          </cell>
          <cell r="H20" t="str">
            <v>Gift Card</v>
          </cell>
          <cell r="I20" t="str">
            <v>Pending</v>
          </cell>
          <cell r="J20" t="str">
            <v>TRK65191045</v>
          </cell>
          <cell r="K20">
            <v>3</v>
          </cell>
          <cell r="L20" t="str">
            <v>SAVE10</v>
          </cell>
          <cell r="M20" t="str">
            <v>Facebook</v>
          </cell>
          <cell r="N20">
            <v>431.44</v>
          </cell>
        </row>
        <row r="21">
          <cell r="A21" t="str">
            <v>ORD200019</v>
          </cell>
          <cell r="B21">
            <v>44949</v>
          </cell>
          <cell r="C21" t="str">
            <v>C14552</v>
          </cell>
          <cell r="D21" t="str">
            <v>Monitor</v>
          </cell>
          <cell r="E21">
            <v>5</v>
          </cell>
          <cell r="F21">
            <v>224</v>
          </cell>
          <cell r="G21" t="str">
            <v>273 Main St</v>
          </cell>
          <cell r="H21" t="str">
            <v>Cash</v>
          </cell>
          <cell r="I21" t="str">
            <v>Returned</v>
          </cell>
          <cell r="J21" t="str">
            <v>TRK59101365</v>
          </cell>
          <cell r="K21">
            <v>9</v>
          </cell>
          <cell r="L21" t="str">
            <v>SAVE10</v>
          </cell>
          <cell r="M21" t="str">
            <v>Google</v>
          </cell>
          <cell r="N21">
            <v>1120</v>
          </cell>
        </row>
        <row r="22">
          <cell r="A22" t="str">
            <v>ORD200020</v>
          </cell>
          <cell r="B22">
            <v>45054</v>
          </cell>
          <cell r="C22" t="str">
            <v>C54829</v>
          </cell>
          <cell r="D22" t="str">
            <v>Chair</v>
          </cell>
          <cell r="E22">
            <v>5</v>
          </cell>
          <cell r="F22">
            <v>62.51</v>
          </cell>
          <cell r="G22" t="str">
            <v>587 Main St</v>
          </cell>
          <cell r="H22" t="str">
            <v>Cash</v>
          </cell>
          <cell r="I22" t="str">
            <v>Pending</v>
          </cell>
          <cell r="J22" t="str">
            <v>TRK16718651</v>
          </cell>
          <cell r="K22">
            <v>9</v>
          </cell>
          <cell r="L22" t="str">
            <v>WINTER15</v>
          </cell>
          <cell r="M22" t="str">
            <v>Instagram</v>
          </cell>
          <cell r="N22">
            <v>312.55</v>
          </cell>
        </row>
        <row r="23">
          <cell r="A23" t="str">
            <v>ORD200021</v>
          </cell>
          <cell r="B23">
            <v>45613</v>
          </cell>
          <cell r="C23" t="str">
            <v>C99023</v>
          </cell>
          <cell r="D23" t="str">
            <v>Monitor</v>
          </cell>
          <cell r="E23">
            <v>4</v>
          </cell>
          <cell r="F23">
            <v>342.95</v>
          </cell>
          <cell r="G23" t="str">
            <v>569 Main St</v>
          </cell>
          <cell r="H23" t="str">
            <v>Cash</v>
          </cell>
          <cell r="I23" t="str">
            <v>Delivered</v>
          </cell>
          <cell r="J23" t="str">
            <v>TRK52646983</v>
          </cell>
          <cell r="K23">
            <v>6</v>
          </cell>
          <cell r="L23" t="str">
            <v>No Coupon</v>
          </cell>
          <cell r="M23" t="str">
            <v>Google</v>
          </cell>
          <cell r="N23">
            <v>1371.8</v>
          </cell>
        </row>
        <row r="24">
          <cell r="A24" t="str">
            <v>ORD200022</v>
          </cell>
          <cell r="B24">
            <v>44955</v>
          </cell>
          <cell r="C24" t="str">
            <v>C34416</v>
          </cell>
          <cell r="D24" t="str">
            <v>Monitor</v>
          </cell>
          <cell r="E24">
            <v>2</v>
          </cell>
          <cell r="F24">
            <v>49.62</v>
          </cell>
          <cell r="G24" t="str">
            <v>633 Main St</v>
          </cell>
          <cell r="H24" t="str">
            <v>Online</v>
          </cell>
          <cell r="I24" t="str">
            <v>Pending</v>
          </cell>
          <cell r="J24" t="str">
            <v>TRK75937350</v>
          </cell>
          <cell r="K24">
            <v>2</v>
          </cell>
          <cell r="L24" t="str">
            <v>SAVE10</v>
          </cell>
          <cell r="M24" t="str">
            <v>Google</v>
          </cell>
          <cell r="N24">
            <v>99.24</v>
          </cell>
        </row>
        <row r="25">
          <cell r="A25" t="str">
            <v>ORD200023</v>
          </cell>
          <cell r="B25">
            <v>45756</v>
          </cell>
          <cell r="C25" t="str">
            <v>C42372</v>
          </cell>
          <cell r="D25" t="str">
            <v>Phone</v>
          </cell>
          <cell r="E25">
            <v>4</v>
          </cell>
          <cell r="F25">
            <v>273.25</v>
          </cell>
          <cell r="G25" t="str">
            <v>755 Main St</v>
          </cell>
          <cell r="H25" t="str">
            <v>Debit Card</v>
          </cell>
          <cell r="I25" t="str">
            <v>Cancelled</v>
          </cell>
          <cell r="J25" t="str">
            <v>TRK36168083</v>
          </cell>
          <cell r="K25">
            <v>5</v>
          </cell>
          <cell r="L25" t="str">
            <v>FREESHIP</v>
          </cell>
          <cell r="M25" t="str">
            <v>Referral</v>
          </cell>
          <cell r="N25">
            <v>1093</v>
          </cell>
        </row>
        <row r="26">
          <cell r="A26" t="str">
            <v>ORD200024</v>
          </cell>
          <cell r="B26">
            <v>45595</v>
          </cell>
          <cell r="C26" t="str">
            <v>C17470</v>
          </cell>
          <cell r="D26" t="str">
            <v>Laptop</v>
          </cell>
          <cell r="E26">
            <v>2</v>
          </cell>
          <cell r="F26">
            <v>230.95</v>
          </cell>
          <cell r="G26" t="str">
            <v>956 Main St</v>
          </cell>
          <cell r="H26" t="str">
            <v>Online</v>
          </cell>
          <cell r="I26" t="str">
            <v>Delivered</v>
          </cell>
          <cell r="J26" t="str">
            <v>TRK28775057</v>
          </cell>
          <cell r="K26">
            <v>3</v>
          </cell>
          <cell r="L26" t="str">
            <v>WINTER15</v>
          </cell>
          <cell r="M26" t="str">
            <v>Referral</v>
          </cell>
          <cell r="N26">
            <v>461.9</v>
          </cell>
        </row>
        <row r="27">
          <cell r="A27" t="str">
            <v>ORD200025</v>
          </cell>
          <cell r="B27">
            <v>45497</v>
          </cell>
          <cell r="C27" t="str">
            <v>C42577</v>
          </cell>
          <cell r="D27" t="str">
            <v>Monitor</v>
          </cell>
          <cell r="E27">
            <v>1</v>
          </cell>
          <cell r="F27">
            <v>399.98</v>
          </cell>
          <cell r="G27" t="str">
            <v>709 Main St</v>
          </cell>
          <cell r="H27" t="str">
            <v>Debit Card</v>
          </cell>
          <cell r="I27" t="str">
            <v>Delivered</v>
          </cell>
          <cell r="J27" t="str">
            <v>TRK69423327</v>
          </cell>
          <cell r="K27">
            <v>3</v>
          </cell>
          <cell r="L27" t="str">
            <v>WINTER15</v>
          </cell>
          <cell r="M27" t="str">
            <v>Email</v>
          </cell>
          <cell r="N27">
            <v>399.98</v>
          </cell>
        </row>
        <row r="28">
          <cell r="A28" t="str">
            <v>ORD200026</v>
          </cell>
          <cell r="B28">
            <v>45357</v>
          </cell>
          <cell r="C28" t="str">
            <v>C21944</v>
          </cell>
          <cell r="D28" t="str">
            <v>Laptop</v>
          </cell>
          <cell r="E28">
            <v>5</v>
          </cell>
          <cell r="F28">
            <v>59.55</v>
          </cell>
          <cell r="G28" t="str">
            <v>296 Main St</v>
          </cell>
          <cell r="H28" t="str">
            <v>Online</v>
          </cell>
          <cell r="I28" t="str">
            <v>Delivered</v>
          </cell>
          <cell r="J28" t="str">
            <v>TRK80276812</v>
          </cell>
          <cell r="K28">
            <v>6</v>
          </cell>
          <cell r="L28" t="str">
            <v>No Coupon</v>
          </cell>
          <cell r="M28" t="str">
            <v>Referral</v>
          </cell>
          <cell r="N28">
            <v>297.75</v>
          </cell>
        </row>
        <row r="29">
          <cell r="A29" t="str">
            <v>ORD200027</v>
          </cell>
          <cell r="B29">
            <v>45344</v>
          </cell>
          <cell r="C29" t="str">
            <v>C97593</v>
          </cell>
          <cell r="D29" t="str">
            <v>Printer</v>
          </cell>
          <cell r="E29">
            <v>1</v>
          </cell>
          <cell r="F29">
            <v>472.74</v>
          </cell>
          <cell r="G29" t="str">
            <v>881 Main St</v>
          </cell>
          <cell r="H29" t="str">
            <v>Online</v>
          </cell>
          <cell r="I29" t="str">
            <v>Shipped</v>
          </cell>
          <cell r="J29" t="str">
            <v>TRK89117573</v>
          </cell>
          <cell r="K29">
            <v>6</v>
          </cell>
          <cell r="L29" t="str">
            <v>WINTER15</v>
          </cell>
          <cell r="M29" t="str">
            <v>Google</v>
          </cell>
          <cell r="N29">
            <v>472.74</v>
          </cell>
        </row>
        <row r="30">
          <cell r="A30" t="str">
            <v>ORD200028</v>
          </cell>
          <cell r="B30">
            <v>45251</v>
          </cell>
          <cell r="C30" t="str">
            <v>C59823</v>
          </cell>
          <cell r="D30" t="str">
            <v>Phone</v>
          </cell>
          <cell r="E30">
            <v>4</v>
          </cell>
          <cell r="F30">
            <v>160.07</v>
          </cell>
          <cell r="G30" t="str">
            <v>568 Main St</v>
          </cell>
          <cell r="H30" t="str">
            <v>Online</v>
          </cell>
          <cell r="I30" t="str">
            <v>Pending</v>
          </cell>
          <cell r="J30" t="str">
            <v>TRK65895539</v>
          </cell>
          <cell r="K30">
            <v>5</v>
          </cell>
          <cell r="L30" t="str">
            <v>No Coupon</v>
          </cell>
          <cell r="M30" t="str">
            <v>Email</v>
          </cell>
          <cell r="N30">
            <v>640.28</v>
          </cell>
        </row>
        <row r="31">
          <cell r="A31" t="str">
            <v>ORD200029</v>
          </cell>
          <cell r="B31">
            <v>45555</v>
          </cell>
          <cell r="C31" t="str">
            <v>C33260</v>
          </cell>
          <cell r="D31" t="str">
            <v>Desk</v>
          </cell>
          <cell r="E31">
            <v>3</v>
          </cell>
          <cell r="F31">
            <v>423.53</v>
          </cell>
          <cell r="G31" t="str">
            <v>930 Main St</v>
          </cell>
          <cell r="H31" t="str">
            <v>Credit Card</v>
          </cell>
          <cell r="I31" t="str">
            <v>Delivered</v>
          </cell>
          <cell r="J31" t="str">
            <v>TRK59744090</v>
          </cell>
          <cell r="K31">
            <v>6</v>
          </cell>
          <cell r="L31" t="str">
            <v>SAVE10</v>
          </cell>
          <cell r="M31" t="str">
            <v>Referral</v>
          </cell>
          <cell r="N31">
            <v>1270.5899999999999</v>
          </cell>
        </row>
        <row r="32">
          <cell r="A32" t="str">
            <v>ORD200030</v>
          </cell>
          <cell r="B32">
            <v>45738</v>
          </cell>
          <cell r="C32" t="str">
            <v>C44267</v>
          </cell>
          <cell r="D32" t="str">
            <v>Monitor</v>
          </cell>
          <cell r="E32">
            <v>2</v>
          </cell>
          <cell r="F32">
            <v>426.7</v>
          </cell>
          <cell r="G32" t="str">
            <v>895 Main St</v>
          </cell>
          <cell r="H32" t="str">
            <v>Online</v>
          </cell>
          <cell r="I32" t="str">
            <v>Pending</v>
          </cell>
          <cell r="J32" t="str">
            <v>TRK54751444</v>
          </cell>
          <cell r="K32">
            <v>5</v>
          </cell>
          <cell r="L32" t="str">
            <v>SAVE10</v>
          </cell>
          <cell r="M32" t="str">
            <v>Referral</v>
          </cell>
          <cell r="N32">
            <v>853.4</v>
          </cell>
        </row>
        <row r="33">
          <cell r="A33" t="str">
            <v>ORD200031</v>
          </cell>
          <cell r="B33">
            <v>45107</v>
          </cell>
          <cell r="C33" t="str">
            <v>C26445</v>
          </cell>
          <cell r="D33" t="str">
            <v>Chair</v>
          </cell>
          <cell r="E33">
            <v>3</v>
          </cell>
          <cell r="F33">
            <v>500.08</v>
          </cell>
          <cell r="G33" t="str">
            <v>996 Main St</v>
          </cell>
          <cell r="H33" t="str">
            <v>Debit Card</v>
          </cell>
          <cell r="I33" t="str">
            <v>Returned</v>
          </cell>
          <cell r="J33" t="str">
            <v>TRK31229981</v>
          </cell>
          <cell r="K33">
            <v>6</v>
          </cell>
          <cell r="L33" t="str">
            <v>No Coupon</v>
          </cell>
          <cell r="M33" t="str">
            <v>Facebook</v>
          </cell>
          <cell r="N33">
            <v>1500.24</v>
          </cell>
        </row>
        <row r="34">
          <cell r="A34" t="str">
            <v>ORD200032</v>
          </cell>
          <cell r="B34">
            <v>45047</v>
          </cell>
          <cell r="C34" t="str">
            <v>C12388</v>
          </cell>
          <cell r="D34" t="str">
            <v>Tablet</v>
          </cell>
          <cell r="E34">
            <v>5</v>
          </cell>
          <cell r="F34">
            <v>536.72</v>
          </cell>
          <cell r="G34" t="str">
            <v>830 Main St</v>
          </cell>
          <cell r="H34" t="str">
            <v>Cash</v>
          </cell>
          <cell r="I34" t="str">
            <v>Delivered</v>
          </cell>
          <cell r="J34" t="str">
            <v>TRK99261395</v>
          </cell>
          <cell r="K34">
            <v>10</v>
          </cell>
          <cell r="L34" t="str">
            <v>No Coupon</v>
          </cell>
          <cell r="M34" t="str">
            <v>Email</v>
          </cell>
          <cell r="N34">
            <v>2683.6000000000004</v>
          </cell>
        </row>
        <row r="35">
          <cell r="A35" t="str">
            <v>ORD200033</v>
          </cell>
          <cell r="B35">
            <v>45082</v>
          </cell>
          <cell r="C35" t="str">
            <v>C52184</v>
          </cell>
          <cell r="D35" t="str">
            <v>Chair</v>
          </cell>
          <cell r="E35">
            <v>1</v>
          </cell>
          <cell r="F35">
            <v>162.77000000000001</v>
          </cell>
          <cell r="G35" t="str">
            <v>912 Main St</v>
          </cell>
          <cell r="H35" t="str">
            <v>Online</v>
          </cell>
          <cell r="I35" t="str">
            <v>Cancelled</v>
          </cell>
          <cell r="J35" t="str">
            <v>TRK73312471</v>
          </cell>
          <cell r="K35">
            <v>4</v>
          </cell>
          <cell r="L35" t="str">
            <v>WINTER15</v>
          </cell>
          <cell r="M35" t="str">
            <v>Facebook</v>
          </cell>
          <cell r="N35">
            <v>162.77000000000001</v>
          </cell>
        </row>
        <row r="36">
          <cell r="A36" t="str">
            <v>ORD200034</v>
          </cell>
          <cell r="B36">
            <v>44933</v>
          </cell>
          <cell r="C36" t="str">
            <v>C67195</v>
          </cell>
          <cell r="D36" t="str">
            <v>Chair</v>
          </cell>
          <cell r="E36">
            <v>4</v>
          </cell>
          <cell r="F36">
            <v>576.52</v>
          </cell>
          <cell r="G36" t="str">
            <v>926 Main St</v>
          </cell>
          <cell r="H36" t="str">
            <v>Credit Card</v>
          </cell>
          <cell r="I36" t="str">
            <v>Pending</v>
          </cell>
          <cell r="J36" t="str">
            <v>TRK55467915</v>
          </cell>
          <cell r="K36">
            <v>5</v>
          </cell>
          <cell r="L36" t="str">
            <v>WINTER15</v>
          </cell>
          <cell r="M36" t="str">
            <v>Facebook</v>
          </cell>
          <cell r="N36">
            <v>2306.08</v>
          </cell>
        </row>
        <row r="37">
          <cell r="A37" t="str">
            <v>ORD200035</v>
          </cell>
          <cell r="B37">
            <v>45633</v>
          </cell>
          <cell r="C37" t="str">
            <v>C50304</v>
          </cell>
          <cell r="D37" t="str">
            <v>Monitor</v>
          </cell>
          <cell r="E37">
            <v>2</v>
          </cell>
          <cell r="F37">
            <v>465.15</v>
          </cell>
          <cell r="G37" t="str">
            <v>128 Main St</v>
          </cell>
          <cell r="H37" t="str">
            <v>Online</v>
          </cell>
          <cell r="I37" t="str">
            <v>Shipped</v>
          </cell>
          <cell r="J37" t="str">
            <v>TRK46850888</v>
          </cell>
          <cell r="K37">
            <v>2</v>
          </cell>
          <cell r="L37" t="str">
            <v>SAVE10</v>
          </cell>
          <cell r="M37" t="str">
            <v>Facebook</v>
          </cell>
          <cell r="N37">
            <v>930.3</v>
          </cell>
        </row>
        <row r="38">
          <cell r="A38" t="str">
            <v>ORD200036</v>
          </cell>
          <cell r="B38">
            <v>45785</v>
          </cell>
          <cell r="C38" t="str">
            <v>C59337</v>
          </cell>
          <cell r="D38" t="str">
            <v>Laptop</v>
          </cell>
          <cell r="E38">
            <v>2</v>
          </cell>
          <cell r="F38">
            <v>534.42999999999995</v>
          </cell>
          <cell r="G38" t="str">
            <v>465 Main St</v>
          </cell>
          <cell r="H38" t="str">
            <v>Debit Card</v>
          </cell>
          <cell r="I38" t="str">
            <v>Pending</v>
          </cell>
          <cell r="J38" t="str">
            <v>TRK50961250</v>
          </cell>
          <cell r="K38">
            <v>5</v>
          </cell>
          <cell r="L38" t="str">
            <v>No Coupon</v>
          </cell>
          <cell r="M38" t="str">
            <v>Facebook</v>
          </cell>
          <cell r="N38">
            <v>1068.8599999999999</v>
          </cell>
        </row>
        <row r="39">
          <cell r="A39" t="str">
            <v>ORD200037</v>
          </cell>
          <cell r="B39">
            <v>45579</v>
          </cell>
          <cell r="C39" t="str">
            <v>C10054</v>
          </cell>
          <cell r="D39" t="str">
            <v>Laptop</v>
          </cell>
          <cell r="E39">
            <v>2</v>
          </cell>
          <cell r="F39">
            <v>76.739999999999995</v>
          </cell>
          <cell r="G39" t="str">
            <v>409 Main St</v>
          </cell>
          <cell r="H39" t="str">
            <v>Cash</v>
          </cell>
          <cell r="I39" t="str">
            <v>Returned</v>
          </cell>
          <cell r="J39" t="str">
            <v>TRK94005261</v>
          </cell>
          <cell r="K39">
            <v>7</v>
          </cell>
          <cell r="L39" t="str">
            <v>SAVE10</v>
          </cell>
          <cell r="M39" t="str">
            <v>Instagram</v>
          </cell>
          <cell r="N39">
            <v>153.47999999999999</v>
          </cell>
        </row>
        <row r="40">
          <cell r="A40" t="str">
            <v>ORD200038</v>
          </cell>
          <cell r="B40">
            <v>45645</v>
          </cell>
          <cell r="C40" t="str">
            <v>C15924</v>
          </cell>
          <cell r="D40" t="str">
            <v>Laptop</v>
          </cell>
          <cell r="E40">
            <v>1</v>
          </cell>
          <cell r="F40">
            <v>245.89</v>
          </cell>
          <cell r="G40" t="str">
            <v>549 Main St</v>
          </cell>
          <cell r="H40" t="str">
            <v>Debit Card</v>
          </cell>
          <cell r="I40" t="str">
            <v>Delivered</v>
          </cell>
          <cell r="J40" t="str">
            <v>TRK14835975</v>
          </cell>
          <cell r="K40">
            <v>3</v>
          </cell>
          <cell r="L40" t="str">
            <v>SAVE10</v>
          </cell>
          <cell r="M40" t="str">
            <v>Google</v>
          </cell>
          <cell r="N40">
            <v>245.89</v>
          </cell>
        </row>
        <row r="41">
          <cell r="A41" t="str">
            <v>ORD200039</v>
          </cell>
          <cell r="B41">
            <v>45715</v>
          </cell>
          <cell r="C41" t="str">
            <v>C96664</v>
          </cell>
          <cell r="D41" t="str">
            <v>Printer</v>
          </cell>
          <cell r="E41">
            <v>3</v>
          </cell>
          <cell r="F41">
            <v>256.45999999999998</v>
          </cell>
          <cell r="G41" t="str">
            <v>666 Main St</v>
          </cell>
          <cell r="H41" t="str">
            <v>Credit Card</v>
          </cell>
          <cell r="I41" t="str">
            <v>Delivered</v>
          </cell>
          <cell r="J41" t="str">
            <v>TRK85508960</v>
          </cell>
          <cell r="K41">
            <v>4</v>
          </cell>
          <cell r="L41" t="str">
            <v>SAVE10</v>
          </cell>
          <cell r="M41" t="str">
            <v>Referral</v>
          </cell>
          <cell r="N41">
            <v>769.37999999999988</v>
          </cell>
        </row>
        <row r="42">
          <cell r="A42" t="str">
            <v>ORD200040</v>
          </cell>
          <cell r="B42">
            <v>45158</v>
          </cell>
          <cell r="C42" t="str">
            <v>C84766</v>
          </cell>
          <cell r="D42" t="str">
            <v>Desk</v>
          </cell>
          <cell r="E42">
            <v>2</v>
          </cell>
          <cell r="F42">
            <v>344.02</v>
          </cell>
          <cell r="G42" t="str">
            <v>267 Main St</v>
          </cell>
          <cell r="H42" t="str">
            <v>Online</v>
          </cell>
          <cell r="I42" t="str">
            <v>Delivered</v>
          </cell>
          <cell r="J42" t="str">
            <v>TRK78967923</v>
          </cell>
          <cell r="K42">
            <v>4</v>
          </cell>
          <cell r="L42" t="str">
            <v>FREESHIP</v>
          </cell>
          <cell r="M42" t="str">
            <v>Instagram</v>
          </cell>
          <cell r="N42">
            <v>688.04</v>
          </cell>
        </row>
        <row r="43">
          <cell r="A43" t="str">
            <v>ORD200041</v>
          </cell>
          <cell r="B43">
            <v>45265</v>
          </cell>
          <cell r="C43" t="str">
            <v>C20212</v>
          </cell>
          <cell r="D43" t="str">
            <v>Monitor</v>
          </cell>
          <cell r="E43">
            <v>3</v>
          </cell>
          <cell r="F43">
            <v>611.45000000000005</v>
          </cell>
          <cell r="G43" t="str">
            <v>657 Main St</v>
          </cell>
          <cell r="H43" t="str">
            <v>Gift Card</v>
          </cell>
          <cell r="I43" t="str">
            <v>Pending</v>
          </cell>
          <cell r="J43" t="str">
            <v>TRK69733327</v>
          </cell>
          <cell r="K43">
            <v>4</v>
          </cell>
          <cell r="L43" t="str">
            <v>FREESHIP</v>
          </cell>
          <cell r="M43" t="str">
            <v>Instagram</v>
          </cell>
          <cell r="N43">
            <v>1834.3500000000001</v>
          </cell>
        </row>
        <row r="44">
          <cell r="A44" t="str">
            <v>ORD200042</v>
          </cell>
          <cell r="B44">
            <v>45418</v>
          </cell>
          <cell r="C44" t="str">
            <v>C28712</v>
          </cell>
          <cell r="D44" t="str">
            <v>Printer</v>
          </cell>
          <cell r="E44">
            <v>2</v>
          </cell>
          <cell r="F44">
            <v>151.66</v>
          </cell>
          <cell r="G44" t="str">
            <v>980 Main St</v>
          </cell>
          <cell r="H44" t="str">
            <v>Cash</v>
          </cell>
          <cell r="I44" t="str">
            <v>Cancelled</v>
          </cell>
          <cell r="J44" t="str">
            <v>TRK40772558</v>
          </cell>
          <cell r="K44">
            <v>6</v>
          </cell>
          <cell r="L44" t="str">
            <v>No Coupon</v>
          </cell>
          <cell r="M44" t="str">
            <v>Instagram</v>
          </cell>
          <cell r="N44">
            <v>303.32</v>
          </cell>
        </row>
        <row r="45">
          <cell r="A45" t="str">
            <v>ORD200043</v>
          </cell>
          <cell r="B45">
            <v>45274</v>
          </cell>
          <cell r="C45" t="str">
            <v>C60572</v>
          </cell>
          <cell r="D45" t="str">
            <v>Chair</v>
          </cell>
          <cell r="E45">
            <v>3</v>
          </cell>
          <cell r="F45">
            <v>499.21</v>
          </cell>
          <cell r="G45" t="str">
            <v>871 Main St</v>
          </cell>
          <cell r="H45" t="str">
            <v>Online</v>
          </cell>
          <cell r="I45" t="str">
            <v>Cancelled</v>
          </cell>
          <cell r="J45" t="str">
            <v>TRK20351666</v>
          </cell>
          <cell r="K45">
            <v>8</v>
          </cell>
          <cell r="L45" t="str">
            <v>No Coupon</v>
          </cell>
          <cell r="M45" t="str">
            <v>Instagram</v>
          </cell>
          <cell r="N45">
            <v>1497.6299999999999</v>
          </cell>
        </row>
        <row r="46">
          <cell r="A46" t="str">
            <v>ORD200044</v>
          </cell>
          <cell r="B46">
            <v>45768</v>
          </cell>
          <cell r="C46" t="str">
            <v>C73225</v>
          </cell>
          <cell r="D46" t="str">
            <v>Phone</v>
          </cell>
          <cell r="E46">
            <v>2</v>
          </cell>
          <cell r="F46">
            <v>550.17999999999995</v>
          </cell>
          <cell r="G46" t="str">
            <v>996 Main St</v>
          </cell>
          <cell r="H46" t="str">
            <v>Gift Card</v>
          </cell>
          <cell r="I46" t="str">
            <v>Returned</v>
          </cell>
          <cell r="J46" t="str">
            <v>TRK73848522</v>
          </cell>
          <cell r="K46">
            <v>3</v>
          </cell>
          <cell r="L46" t="str">
            <v>FREESHIP</v>
          </cell>
          <cell r="M46" t="str">
            <v>Referral</v>
          </cell>
          <cell r="N46">
            <v>1100.3599999999999</v>
          </cell>
        </row>
        <row r="47">
          <cell r="A47" t="str">
            <v>ORD200045</v>
          </cell>
          <cell r="B47">
            <v>45332</v>
          </cell>
          <cell r="C47" t="str">
            <v>C17388</v>
          </cell>
          <cell r="D47" t="str">
            <v>Chair</v>
          </cell>
          <cell r="E47">
            <v>1</v>
          </cell>
          <cell r="F47">
            <v>317.25</v>
          </cell>
          <cell r="G47" t="str">
            <v>157 Main St</v>
          </cell>
          <cell r="H47" t="str">
            <v>Debit Card</v>
          </cell>
          <cell r="I47" t="str">
            <v>Returned</v>
          </cell>
          <cell r="J47" t="str">
            <v>TRK47077395</v>
          </cell>
          <cell r="K47">
            <v>1</v>
          </cell>
          <cell r="L47" t="str">
            <v>SAVE10</v>
          </cell>
          <cell r="M47" t="str">
            <v>Facebook</v>
          </cell>
          <cell r="N47">
            <v>317.25</v>
          </cell>
        </row>
        <row r="48">
          <cell r="A48" t="str">
            <v>ORD200046</v>
          </cell>
          <cell r="B48">
            <v>45469</v>
          </cell>
          <cell r="C48" t="str">
            <v>C43212</v>
          </cell>
          <cell r="D48" t="str">
            <v>Monitor</v>
          </cell>
          <cell r="E48">
            <v>4</v>
          </cell>
          <cell r="F48">
            <v>550.14</v>
          </cell>
          <cell r="G48" t="str">
            <v>223 Main St</v>
          </cell>
          <cell r="H48" t="str">
            <v>Debit Card</v>
          </cell>
          <cell r="I48" t="str">
            <v>Pending</v>
          </cell>
          <cell r="J48" t="str">
            <v>TRK25100762</v>
          </cell>
          <cell r="K48">
            <v>4</v>
          </cell>
          <cell r="L48" t="str">
            <v>FREESHIP</v>
          </cell>
          <cell r="M48" t="str">
            <v>Instagram</v>
          </cell>
          <cell r="N48">
            <v>2200.56</v>
          </cell>
        </row>
        <row r="49">
          <cell r="A49" t="str">
            <v>ORD200047</v>
          </cell>
          <cell r="B49">
            <v>45126</v>
          </cell>
          <cell r="C49" t="str">
            <v>C38134</v>
          </cell>
          <cell r="D49" t="str">
            <v>Desk</v>
          </cell>
          <cell r="E49">
            <v>2</v>
          </cell>
          <cell r="F49">
            <v>209.94</v>
          </cell>
          <cell r="G49" t="str">
            <v>323 Main St</v>
          </cell>
          <cell r="H49" t="str">
            <v>Credit Card</v>
          </cell>
          <cell r="I49" t="str">
            <v>Returned</v>
          </cell>
          <cell r="J49" t="str">
            <v>TRK42450754</v>
          </cell>
          <cell r="K49">
            <v>3</v>
          </cell>
          <cell r="L49" t="str">
            <v>FREESHIP</v>
          </cell>
          <cell r="M49" t="str">
            <v>Email</v>
          </cell>
          <cell r="N49">
            <v>419.88</v>
          </cell>
        </row>
        <row r="50">
          <cell r="A50" t="str">
            <v>ORD200048</v>
          </cell>
          <cell r="B50">
            <v>45164</v>
          </cell>
          <cell r="C50" t="str">
            <v>C12408</v>
          </cell>
          <cell r="D50" t="str">
            <v>Monitor</v>
          </cell>
          <cell r="E50">
            <v>2</v>
          </cell>
          <cell r="F50">
            <v>80.77</v>
          </cell>
          <cell r="G50" t="str">
            <v>464 Main St</v>
          </cell>
          <cell r="H50" t="str">
            <v>Debit Card</v>
          </cell>
          <cell r="I50" t="str">
            <v>Shipped</v>
          </cell>
          <cell r="J50" t="str">
            <v>TRK38938858</v>
          </cell>
          <cell r="K50">
            <v>4</v>
          </cell>
          <cell r="L50" t="str">
            <v>No Coupon</v>
          </cell>
          <cell r="M50" t="str">
            <v>Google</v>
          </cell>
          <cell r="N50">
            <v>161.54</v>
          </cell>
        </row>
        <row r="51">
          <cell r="A51" t="str">
            <v>ORD200049</v>
          </cell>
          <cell r="B51">
            <v>45206</v>
          </cell>
          <cell r="C51" t="str">
            <v>C11985</v>
          </cell>
          <cell r="D51" t="str">
            <v>Printer</v>
          </cell>
          <cell r="E51">
            <v>1</v>
          </cell>
          <cell r="F51">
            <v>30.44</v>
          </cell>
          <cell r="G51" t="str">
            <v>633 Main St</v>
          </cell>
          <cell r="H51" t="str">
            <v>Credit Card</v>
          </cell>
          <cell r="I51" t="str">
            <v>Shipped</v>
          </cell>
          <cell r="J51" t="str">
            <v>TRK53272402</v>
          </cell>
          <cell r="K51">
            <v>1</v>
          </cell>
          <cell r="L51" t="str">
            <v>SAVE10</v>
          </cell>
          <cell r="M51" t="str">
            <v>Email</v>
          </cell>
          <cell r="N51">
            <v>30.44</v>
          </cell>
        </row>
        <row r="52">
          <cell r="A52" t="str">
            <v>ORD200050</v>
          </cell>
          <cell r="B52">
            <v>45138</v>
          </cell>
          <cell r="C52" t="str">
            <v>C96494</v>
          </cell>
          <cell r="D52" t="str">
            <v>Tablet</v>
          </cell>
          <cell r="E52">
            <v>1</v>
          </cell>
          <cell r="F52">
            <v>179.22</v>
          </cell>
          <cell r="G52" t="str">
            <v>446 Main St</v>
          </cell>
          <cell r="H52" t="str">
            <v>Online</v>
          </cell>
          <cell r="I52" t="str">
            <v>Cancelled</v>
          </cell>
          <cell r="J52" t="str">
            <v>TRK14675049</v>
          </cell>
          <cell r="K52">
            <v>6</v>
          </cell>
          <cell r="L52" t="str">
            <v>FREESHIP</v>
          </cell>
          <cell r="M52" t="str">
            <v>Instagram</v>
          </cell>
          <cell r="N52">
            <v>179.22</v>
          </cell>
        </row>
        <row r="53">
          <cell r="A53" t="str">
            <v>ORD200051</v>
          </cell>
          <cell r="B53">
            <v>45656</v>
          </cell>
          <cell r="C53" t="str">
            <v>C36778</v>
          </cell>
          <cell r="D53" t="str">
            <v>Tablet</v>
          </cell>
          <cell r="E53">
            <v>1</v>
          </cell>
          <cell r="F53">
            <v>388.33</v>
          </cell>
          <cell r="G53" t="str">
            <v>434 Main St</v>
          </cell>
          <cell r="H53" t="str">
            <v>Cash</v>
          </cell>
          <cell r="I53" t="str">
            <v>Returned</v>
          </cell>
          <cell r="J53" t="str">
            <v>TRK67610289</v>
          </cell>
          <cell r="K53">
            <v>2</v>
          </cell>
          <cell r="L53" t="str">
            <v>SAVE10</v>
          </cell>
          <cell r="M53" t="str">
            <v>Facebook</v>
          </cell>
          <cell r="N53">
            <v>388.33</v>
          </cell>
        </row>
        <row r="54">
          <cell r="A54" t="str">
            <v>ORD200052</v>
          </cell>
          <cell r="B54">
            <v>45543</v>
          </cell>
          <cell r="C54" t="str">
            <v>C30513</v>
          </cell>
          <cell r="D54" t="str">
            <v>Tablet</v>
          </cell>
          <cell r="E54">
            <v>1</v>
          </cell>
          <cell r="F54">
            <v>586.44000000000005</v>
          </cell>
          <cell r="G54" t="str">
            <v>232 Main St</v>
          </cell>
          <cell r="H54" t="str">
            <v>Online</v>
          </cell>
          <cell r="I54" t="str">
            <v>Returned</v>
          </cell>
          <cell r="J54" t="str">
            <v>TRK64320429</v>
          </cell>
          <cell r="K54">
            <v>5</v>
          </cell>
          <cell r="L54" t="str">
            <v>SAVE10</v>
          </cell>
          <cell r="M54" t="str">
            <v>Facebook</v>
          </cell>
          <cell r="N54">
            <v>586.44000000000005</v>
          </cell>
        </row>
        <row r="55">
          <cell r="A55" t="str">
            <v>ORD200053</v>
          </cell>
          <cell r="B55">
            <v>45430</v>
          </cell>
          <cell r="C55" t="str">
            <v>C67551</v>
          </cell>
          <cell r="D55" t="str">
            <v>Phone</v>
          </cell>
          <cell r="E55">
            <v>4</v>
          </cell>
          <cell r="F55">
            <v>488.78</v>
          </cell>
          <cell r="G55" t="str">
            <v>512 Main St</v>
          </cell>
          <cell r="H55" t="str">
            <v>Online</v>
          </cell>
          <cell r="I55" t="str">
            <v>Returned</v>
          </cell>
          <cell r="J55" t="str">
            <v>TRK94992552</v>
          </cell>
          <cell r="K55">
            <v>5</v>
          </cell>
          <cell r="L55" t="str">
            <v>FREESHIP</v>
          </cell>
          <cell r="M55" t="str">
            <v>Google</v>
          </cell>
          <cell r="N55">
            <v>1955.12</v>
          </cell>
        </row>
        <row r="56">
          <cell r="A56" t="str">
            <v>ORD200054</v>
          </cell>
          <cell r="B56">
            <v>45743</v>
          </cell>
          <cell r="C56" t="str">
            <v>C48120</v>
          </cell>
          <cell r="D56" t="str">
            <v>Chair</v>
          </cell>
          <cell r="E56">
            <v>1</v>
          </cell>
          <cell r="F56">
            <v>280.25</v>
          </cell>
          <cell r="G56" t="str">
            <v>623 Main St</v>
          </cell>
          <cell r="H56" t="str">
            <v>Online</v>
          </cell>
          <cell r="I56" t="str">
            <v>Pending</v>
          </cell>
          <cell r="J56" t="str">
            <v>TRK11014449</v>
          </cell>
          <cell r="K56">
            <v>5</v>
          </cell>
          <cell r="L56" t="str">
            <v>WINTER15</v>
          </cell>
          <cell r="M56" t="str">
            <v>Email</v>
          </cell>
          <cell r="N56">
            <v>280.25</v>
          </cell>
        </row>
        <row r="57">
          <cell r="A57" t="str">
            <v>ORD200055</v>
          </cell>
          <cell r="B57">
            <v>45832</v>
          </cell>
          <cell r="C57" t="str">
            <v>C95984</v>
          </cell>
          <cell r="D57" t="str">
            <v>Printer</v>
          </cell>
          <cell r="E57">
            <v>3</v>
          </cell>
          <cell r="F57">
            <v>344.4</v>
          </cell>
          <cell r="G57" t="str">
            <v>565 Main St</v>
          </cell>
          <cell r="H57" t="str">
            <v>Online</v>
          </cell>
          <cell r="I57" t="str">
            <v>Cancelled</v>
          </cell>
          <cell r="J57" t="str">
            <v>TRK67434829</v>
          </cell>
          <cell r="K57">
            <v>3</v>
          </cell>
          <cell r="L57" t="str">
            <v>No Coupon</v>
          </cell>
          <cell r="M57" t="str">
            <v>Facebook</v>
          </cell>
          <cell r="N57">
            <v>1033.1999999999998</v>
          </cell>
        </row>
        <row r="58">
          <cell r="A58" t="str">
            <v>ORD200056</v>
          </cell>
          <cell r="B58">
            <v>45067</v>
          </cell>
          <cell r="C58" t="str">
            <v>C54298</v>
          </cell>
          <cell r="D58" t="str">
            <v>Tablet</v>
          </cell>
          <cell r="E58">
            <v>3</v>
          </cell>
          <cell r="F58">
            <v>479.21</v>
          </cell>
          <cell r="G58" t="str">
            <v>566 Main St</v>
          </cell>
          <cell r="H58" t="str">
            <v>Cash</v>
          </cell>
          <cell r="I58" t="str">
            <v>Cancelled</v>
          </cell>
          <cell r="J58" t="str">
            <v>TRK62902341</v>
          </cell>
          <cell r="K58">
            <v>5</v>
          </cell>
          <cell r="L58" t="str">
            <v>WINTER15</v>
          </cell>
          <cell r="M58" t="str">
            <v>Referral</v>
          </cell>
          <cell r="N58">
            <v>1437.6299999999999</v>
          </cell>
        </row>
        <row r="59">
          <cell r="A59" t="str">
            <v>ORD200057</v>
          </cell>
          <cell r="B59">
            <v>44948</v>
          </cell>
          <cell r="C59" t="str">
            <v>C88036</v>
          </cell>
          <cell r="D59" t="str">
            <v>Printer</v>
          </cell>
          <cell r="E59">
            <v>5</v>
          </cell>
          <cell r="F59">
            <v>314.27</v>
          </cell>
          <cell r="G59" t="str">
            <v>842 Main St</v>
          </cell>
          <cell r="H59" t="str">
            <v>Cash</v>
          </cell>
          <cell r="I59" t="str">
            <v>Returned</v>
          </cell>
          <cell r="J59" t="str">
            <v>TRK52470128</v>
          </cell>
          <cell r="K59">
            <v>6</v>
          </cell>
          <cell r="L59" t="str">
            <v>SAVE10</v>
          </cell>
          <cell r="M59" t="str">
            <v>Instagram</v>
          </cell>
          <cell r="N59">
            <v>1571.35</v>
          </cell>
        </row>
        <row r="60">
          <cell r="A60" t="str">
            <v>ORD200058</v>
          </cell>
          <cell r="B60">
            <v>44941</v>
          </cell>
          <cell r="C60" t="str">
            <v>C60190</v>
          </cell>
          <cell r="D60" t="str">
            <v>Phone</v>
          </cell>
          <cell r="E60">
            <v>4</v>
          </cell>
          <cell r="F60">
            <v>474.69</v>
          </cell>
          <cell r="G60" t="str">
            <v>202 Main St</v>
          </cell>
          <cell r="H60" t="str">
            <v>Gift Card</v>
          </cell>
          <cell r="I60" t="str">
            <v>Cancelled</v>
          </cell>
          <cell r="J60" t="str">
            <v>TRK70857868</v>
          </cell>
          <cell r="K60">
            <v>6</v>
          </cell>
          <cell r="L60" t="str">
            <v>SAVE10</v>
          </cell>
          <cell r="M60" t="str">
            <v>Google</v>
          </cell>
          <cell r="N60">
            <v>1898.76</v>
          </cell>
        </row>
        <row r="61">
          <cell r="A61" t="str">
            <v>ORD200059</v>
          </cell>
          <cell r="B61">
            <v>45546</v>
          </cell>
          <cell r="C61" t="str">
            <v>C97603</v>
          </cell>
          <cell r="D61" t="str">
            <v>Chair</v>
          </cell>
          <cell r="E61">
            <v>4</v>
          </cell>
          <cell r="F61">
            <v>593.27</v>
          </cell>
          <cell r="G61" t="str">
            <v>811 Main St</v>
          </cell>
          <cell r="H61" t="str">
            <v>Online</v>
          </cell>
          <cell r="I61" t="str">
            <v>Shipped</v>
          </cell>
          <cell r="J61" t="str">
            <v>TRK47055028</v>
          </cell>
          <cell r="K61">
            <v>5</v>
          </cell>
          <cell r="L61" t="str">
            <v>No Coupon</v>
          </cell>
          <cell r="M61" t="str">
            <v>Facebook</v>
          </cell>
          <cell r="N61">
            <v>2373.08</v>
          </cell>
        </row>
        <row r="62">
          <cell r="A62" t="str">
            <v>ORD200060</v>
          </cell>
          <cell r="B62">
            <v>45525</v>
          </cell>
          <cell r="C62" t="str">
            <v>C39256</v>
          </cell>
          <cell r="D62" t="str">
            <v>Desk</v>
          </cell>
          <cell r="E62">
            <v>1</v>
          </cell>
          <cell r="F62">
            <v>417.1</v>
          </cell>
          <cell r="G62" t="str">
            <v>634 Main St</v>
          </cell>
          <cell r="H62" t="str">
            <v>Debit Card</v>
          </cell>
          <cell r="I62" t="str">
            <v>Returned</v>
          </cell>
          <cell r="J62" t="str">
            <v>TRK23412025</v>
          </cell>
          <cell r="K62">
            <v>3</v>
          </cell>
          <cell r="L62" t="str">
            <v>FREESHIP</v>
          </cell>
          <cell r="M62" t="str">
            <v>Referral</v>
          </cell>
          <cell r="N62">
            <v>417.1</v>
          </cell>
        </row>
        <row r="63">
          <cell r="A63" t="str">
            <v>ORD200061</v>
          </cell>
          <cell r="B63">
            <v>45375</v>
          </cell>
          <cell r="C63" t="str">
            <v>C61618</v>
          </cell>
          <cell r="D63" t="str">
            <v>Desk</v>
          </cell>
          <cell r="E63">
            <v>4</v>
          </cell>
          <cell r="F63">
            <v>122.2</v>
          </cell>
          <cell r="G63" t="str">
            <v>104 Main St</v>
          </cell>
          <cell r="H63" t="str">
            <v>Cash</v>
          </cell>
          <cell r="I63" t="str">
            <v>Delivered</v>
          </cell>
          <cell r="J63" t="str">
            <v>TRK43458485</v>
          </cell>
          <cell r="K63">
            <v>7</v>
          </cell>
          <cell r="L63" t="str">
            <v>FREESHIP</v>
          </cell>
          <cell r="M63" t="str">
            <v>Facebook</v>
          </cell>
          <cell r="N63">
            <v>488.8</v>
          </cell>
        </row>
        <row r="64">
          <cell r="A64" t="str">
            <v>ORD200062</v>
          </cell>
          <cell r="B64">
            <v>45160</v>
          </cell>
          <cell r="C64" t="str">
            <v>C36497</v>
          </cell>
          <cell r="D64" t="str">
            <v>Desk</v>
          </cell>
          <cell r="E64">
            <v>2</v>
          </cell>
          <cell r="F64">
            <v>43.15</v>
          </cell>
          <cell r="G64" t="str">
            <v>691 Main St</v>
          </cell>
          <cell r="H64" t="str">
            <v>Debit Card</v>
          </cell>
          <cell r="I64" t="str">
            <v>Pending</v>
          </cell>
          <cell r="J64" t="str">
            <v>TRK12102911</v>
          </cell>
          <cell r="K64">
            <v>3</v>
          </cell>
          <cell r="L64" t="str">
            <v>WINTER15</v>
          </cell>
          <cell r="M64" t="str">
            <v>Email</v>
          </cell>
          <cell r="N64">
            <v>86.3</v>
          </cell>
        </row>
        <row r="65">
          <cell r="A65" t="str">
            <v>ORD200063</v>
          </cell>
          <cell r="B65">
            <v>45690</v>
          </cell>
          <cell r="C65" t="str">
            <v>C96695</v>
          </cell>
          <cell r="D65" t="str">
            <v>Chair</v>
          </cell>
          <cell r="E65">
            <v>1</v>
          </cell>
          <cell r="F65">
            <v>564.86</v>
          </cell>
          <cell r="G65" t="str">
            <v>813 Main St</v>
          </cell>
          <cell r="H65" t="str">
            <v>Debit Card</v>
          </cell>
          <cell r="I65" t="str">
            <v>Shipped</v>
          </cell>
          <cell r="J65" t="str">
            <v>TRK64283851</v>
          </cell>
          <cell r="K65">
            <v>6</v>
          </cell>
          <cell r="L65" t="str">
            <v>WINTER15</v>
          </cell>
          <cell r="M65" t="str">
            <v>Referral</v>
          </cell>
          <cell r="N65">
            <v>564.86</v>
          </cell>
        </row>
        <row r="66">
          <cell r="A66" t="str">
            <v>ORD200064</v>
          </cell>
          <cell r="B66">
            <v>45833</v>
          </cell>
          <cell r="C66" t="str">
            <v>C49720</v>
          </cell>
          <cell r="D66" t="str">
            <v>Printer</v>
          </cell>
          <cell r="E66">
            <v>3</v>
          </cell>
          <cell r="F66">
            <v>130.61000000000001</v>
          </cell>
          <cell r="G66" t="str">
            <v>752 Main St</v>
          </cell>
          <cell r="H66" t="str">
            <v>Debit Card</v>
          </cell>
          <cell r="I66" t="str">
            <v>Cancelled</v>
          </cell>
          <cell r="J66" t="str">
            <v>TRK55785217</v>
          </cell>
          <cell r="K66">
            <v>4</v>
          </cell>
          <cell r="L66" t="str">
            <v>FREESHIP</v>
          </cell>
          <cell r="M66" t="str">
            <v>Facebook</v>
          </cell>
          <cell r="N66">
            <v>391.83000000000004</v>
          </cell>
        </row>
        <row r="67">
          <cell r="A67" t="str">
            <v>ORD200065</v>
          </cell>
          <cell r="B67">
            <v>45290</v>
          </cell>
          <cell r="C67" t="str">
            <v>C97735</v>
          </cell>
          <cell r="D67" t="str">
            <v>Monitor</v>
          </cell>
          <cell r="E67">
            <v>5</v>
          </cell>
          <cell r="F67">
            <v>81.7</v>
          </cell>
          <cell r="G67" t="str">
            <v>385 Main St</v>
          </cell>
          <cell r="H67" t="str">
            <v>Credit Card</v>
          </cell>
          <cell r="I67" t="str">
            <v>Delivered</v>
          </cell>
          <cell r="J67" t="str">
            <v>TRK13743703</v>
          </cell>
          <cell r="K67">
            <v>6</v>
          </cell>
          <cell r="L67" t="str">
            <v>No Coupon</v>
          </cell>
          <cell r="M67" t="str">
            <v>Instagram</v>
          </cell>
          <cell r="N67">
            <v>408.5</v>
          </cell>
        </row>
        <row r="68">
          <cell r="A68" t="str">
            <v>ORD200066</v>
          </cell>
          <cell r="B68">
            <v>45611</v>
          </cell>
          <cell r="C68" t="str">
            <v>C18104</v>
          </cell>
          <cell r="D68" t="str">
            <v>Chair</v>
          </cell>
          <cell r="E68">
            <v>5</v>
          </cell>
          <cell r="F68">
            <v>127.18</v>
          </cell>
          <cell r="G68" t="str">
            <v>715 Main St</v>
          </cell>
          <cell r="H68" t="str">
            <v>Cash</v>
          </cell>
          <cell r="I68" t="str">
            <v>Cancelled</v>
          </cell>
          <cell r="J68" t="str">
            <v>TRK15488568</v>
          </cell>
          <cell r="K68">
            <v>9</v>
          </cell>
          <cell r="L68" t="str">
            <v>SAVE10</v>
          </cell>
          <cell r="M68" t="str">
            <v>Referral</v>
          </cell>
          <cell r="N68">
            <v>635.90000000000009</v>
          </cell>
        </row>
        <row r="69">
          <cell r="A69" t="str">
            <v>ORD200067</v>
          </cell>
          <cell r="B69">
            <v>45635</v>
          </cell>
          <cell r="C69" t="str">
            <v>C25587</v>
          </cell>
          <cell r="D69" t="str">
            <v>Printer</v>
          </cell>
          <cell r="E69">
            <v>4</v>
          </cell>
          <cell r="F69">
            <v>12.1</v>
          </cell>
          <cell r="G69" t="str">
            <v>440 Main St</v>
          </cell>
          <cell r="H69" t="str">
            <v>Debit Card</v>
          </cell>
          <cell r="I69" t="str">
            <v>Cancelled</v>
          </cell>
          <cell r="J69" t="str">
            <v>TRK55105323</v>
          </cell>
          <cell r="K69">
            <v>8</v>
          </cell>
          <cell r="L69" t="str">
            <v>No Coupon</v>
          </cell>
          <cell r="M69" t="str">
            <v>Google</v>
          </cell>
          <cell r="N69">
            <v>48.4</v>
          </cell>
        </row>
        <row r="70">
          <cell r="A70" t="str">
            <v>ORD200068</v>
          </cell>
          <cell r="B70">
            <v>45271</v>
          </cell>
          <cell r="C70" t="str">
            <v>C41598</v>
          </cell>
          <cell r="D70" t="str">
            <v>Chair</v>
          </cell>
          <cell r="E70">
            <v>3</v>
          </cell>
          <cell r="F70">
            <v>490.92</v>
          </cell>
          <cell r="G70" t="str">
            <v>709 Main St</v>
          </cell>
          <cell r="H70" t="str">
            <v>Credit Card</v>
          </cell>
          <cell r="I70" t="str">
            <v>Pending</v>
          </cell>
          <cell r="J70" t="str">
            <v>TRK81665940</v>
          </cell>
          <cell r="K70">
            <v>5</v>
          </cell>
          <cell r="L70" t="str">
            <v>FREESHIP</v>
          </cell>
          <cell r="M70" t="str">
            <v>Email</v>
          </cell>
          <cell r="N70">
            <v>1472.76</v>
          </cell>
        </row>
        <row r="71">
          <cell r="A71" t="str">
            <v>ORD200069</v>
          </cell>
          <cell r="B71">
            <v>45057</v>
          </cell>
          <cell r="C71" t="str">
            <v>C43338</v>
          </cell>
          <cell r="D71" t="str">
            <v>Monitor</v>
          </cell>
          <cell r="E71">
            <v>3</v>
          </cell>
          <cell r="F71">
            <v>478.65</v>
          </cell>
          <cell r="G71" t="str">
            <v>552 Main St</v>
          </cell>
          <cell r="H71" t="str">
            <v>Online</v>
          </cell>
          <cell r="I71" t="str">
            <v>Shipped</v>
          </cell>
          <cell r="J71" t="str">
            <v>TRK35241775</v>
          </cell>
          <cell r="K71">
            <v>4</v>
          </cell>
          <cell r="L71" t="str">
            <v>No Coupon</v>
          </cell>
          <cell r="M71" t="str">
            <v>Referral</v>
          </cell>
          <cell r="N71">
            <v>1435.9499999999998</v>
          </cell>
        </row>
        <row r="72">
          <cell r="A72" t="str">
            <v>ORD200070</v>
          </cell>
          <cell r="B72">
            <v>45072</v>
          </cell>
          <cell r="C72" t="str">
            <v>C25123</v>
          </cell>
          <cell r="D72" t="str">
            <v>Desk</v>
          </cell>
          <cell r="E72">
            <v>1</v>
          </cell>
          <cell r="F72">
            <v>629.21</v>
          </cell>
          <cell r="G72" t="str">
            <v>384 Main St</v>
          </cell>
          <cell r="H72" t="str">
            <v>Gift Card</v>
          </cell>
          <cell r="I72" t="str">
            <v>Pending</v>
          </cell>
          <cell r="J72" t="str">
            <v>TRK27812282</v>
          </cell>
          <cell r="K72">
            <v>2</v>
          </cell>
          <cell r="L72" t="str">
            <v>FREESHIP</v>
          </cell>
          <cell r="M72" t="str">
            <v>Instagram</v>
          </cell>
          <cell r="N72">
            <v>629.21</v>
          </cell>
        </row>
        <row r="73">
          <cell r="A73" t="str">
            <v>ORD200071</v>
          </cell>
          <cell r="B73">
            <v>45818</v>
          </cell>
          <cell r="C73" t="str">
            <v>C37454</v>
          </cell>
          <cell r="D73" t="str">
            <v>Monitor</v>
          </cell>
          <cell r="E73">
            <v>3</v>
          </cell>
          <cell r="F73">
            <v>434.45</v>
          </cell>
          <cell r="G73" t="str">
            <v>923 Main St</v>
          </cell>
          <cell r="H73" t="str">
            <v>Credit Card</v>
          </cell>
          <cell r="I73" t="str">
            <v>Pending</v>
          </cell>
          <cell r="J73" t="str">
            <v>TRK28252730</v>
          </cell>
          <cell r="K73">
            <v>4</v>
          </cell>
          <cell r="L73" t="str">
            <v>No Coupon</v>
          </cell>
          <cell r="M73" t="str">
            <v>Referral</v>
          </cell>
          <cell r="N73">
            <v>1303.3499999999999</v>
          </cell>
        </row>
        <row r="74">
          <cell r="A74" t="str">
            <v>ORD200072</v>
          </cell>
          <cell r="B74">
            <v>45648</v>
          </cell>
          <cell r="C74" t="str">
            <v>C19451</v>
          </cell>
          <cell r="D74" t="str">
            <v>Tablet</v>
          </cell>
          <cell r="E74">
            <v>4</v>
          </cell>
          <cell r="F74">
            <v>589.44000000000005</v>
          </cell>
          <cell r="G74" t="str">
            <v>942 Main St</v>
          </cell>
          <cell r="H74" t="str">
            <v>Gift Card</v>
          </cell>
          <cell r="I74" t="str">
            <v>Returned</v>
          </cell>
          <cell r="J74" t="str">
            <v>TRK87787793</v>
          </cell>
          <cell r="K74">
            <v>5</v>
          </cell>
          <cell r="L74" t="str">
            <v>No Coupon</v>
          </cell>
          <cell r="M74" t="str">
            <v>Facebook</v>
          </cell>
          <cell r="N74">
            <v>2357.7600000000002</v>
          </cell>
        </row>
        <row r="75">
          <cell r="A75" t="str">
            <v>ORD200073</v>
          </cell>
          <cell r="B75">
            <v>45049</v>
          </cell>
          <cell r="C75" t="str">
            <v>C17269</v>
          </cell>
          <cell r="D75" t="str">
            <v>Monitor</v>
          </cell>
          <cell r="E75">
            <v>4</v>
          </cell>
          <cell r="F75">
            <v>433.45</v>
          </cell>
          <cell r="G75" t="str">
            <v>129 Main St</v>
          </cell>
          <cell r="H75" t="str">
            <v>Gift Card</v>
          </cell>
          <cell r="I75" t="str">
            <v>Cancelled</v>
          </cell>
          <cell r="J75" t="str">
            <v>TRK79608389</v>
          </cell>
          <cell r="K75">
            <v>4</v>
          </cell>
          <cell r="L75" t="str">
            <v>No Coupon</v>
          </cell>
          <cell r="M75" t="str">
            <v>Facebook</v>
          </cell>
          <cell r="N75">
            <v>1733.8</v>
          </cell>
        </row>
        <row r="76">
          <cell r="A76" t="str">
            <v>ORD200074</v>
          </cell>
          <cell r="B76">
            <v>45101</v>
          </cell>
          <cell r="C76" t="str">
            <v>C25382</v>
          </cell>
          <cell r="D76" t="str">
            <v>Phone</v>
          </cell>
          <cell r="E76">
            <v>5</v>
          </cell>
          <cell r="F76">
            <v>90.87</v>
          </cell>
          <cell r="G76" t="str">
            <v>622 Main St</v>
          </cell>
          <cell r="H76" t="str">
            <v>Cash</v>
          </cell>
          <cell r="I76" t="str">
            <v>Pending</v>
          </cell>
          <cell r="J76" t="str">
            <v>TRK64691287</v>
          </cell>
          <cell r="K76">
            <v>5</v>
          </cell>
          <cell r="L76" t="str">
            <v>No Coupon</v>
          </cell>
          <cell r="M76" t="str">
            <v>Instagram</v>
          </cell>
          <cell r="N76">
            <v>454.35</v>
          </cell>
        </row>
        <row r="77">
          <cell r="A77" t="str">
            <v>ORD200075</v>
          </cell>
          <cell r="B77">
            <v>45195</v>
          </cell>
          <cell r="C77" t="str">
            <v>C80651</v>
          </cell>
          <cell r="D77" t="str">
            <v>Tablet</v>
          </cell>
          <cell r="E77">
            <v>3</v>
          </cell>
          <cell r="F77">
            <v>398.17</v>
          </cell>
          <cell r="G77" t="str">
            <v>917 Main St</v>
          </cell>
          <cell r="H77" t="str">
            <v>Debit Card</v>
          </cell>
          <cell r="I77" t="str">
            <v>Delivered</v>
          </cell>
          <cell r="J77" t="str">
            <v>TRK14846720</v>
          </cell>
          <cell r="K77">
            <v>5</v>
          </cell>
          <cell r="L77" t="str">
            <v>SAVE10</v>
          </cell>
          <cell r="M77" t="str">
            <v>Email</v>
          </cell>
          <cell r="N77">
            <v>1194.51</v>
          </cell>
        </row>
        <row r="78">
          <cell r="A78" t="str">
            <v>ORD200076</v>
          </cell>
          <cell r="B78">
            <v>45382</v>
          </cell>
          <cell r="C78" t="str">
            <v>C58638</v>
          </cell>
          <cell r="D78" t="str">
            <v>Laptop</v>
          </cell>
          <cell r="E78">
            <v>4</v>
          </cell>
          <cell r="F78">
            <v>382.88</v>
          </cell>
          <cell r="G78" t="str">
            <v>239 Main St</v>
          </cell>
          <cell r="H78" t="str">
            <v>Cash</v>
          </cell>
          <cell r="I78" t="str">
            <v>Cancelled</v>
          </cell>
          <cell r="J78" t="str">
            <v>TRK38224871</v>
          </cell>
          <cell r="K78">
            <v>6</v>
          </cell>
          <cell r="L78" t="str">
            <v>WINTER15</v>
          </cell>
          <cell r="M78" t="str">
            <v>Email</v>
          </cell>
          <cell r="N78">
            <v>1531.52</v>
          </cell>
        </row>
        <row r="79">
          <cell r="A79" t="str">
            <v>ORD200077</v>
          </cell>
          <cell r="B79">
            <v>45436</v>
          </cell>
          <cell r="C79" t="str">
            <v>C50121</v>
          </cell>
          <cell r="D79" t="str">
            <v>Phone</v>
          </cell>
          <cell r="E79">
            <v>1</v>
          </cell>
          <cell r="F79">
            <v>583.17999999999995</v>
          </cell>
          <cell r="G79" t="str">
            <v>348 Main St</v>
          </cell>
          <cell r="H79" t="str">
            <v>Credit Card</v>
          </cell>
          <cell r="I79" t="str">
            <v>Returned</v>
          </cell>
          <cell r="J79" t="str">
            <v>TRK79810059</v>
          </cell>
          <cell r="K79">
            <v>5</v>
          </cell>
          <cell r="L79" t="str">
            <v>No Coupon</v>
          </cell>
          <cell r="M79" t="str">
            <v>Google</v>
          </cell>
          <cell r="N79">
            <v>583.17999999999995</v>
          </cell>
        </row>
        <row r="80">
          <cell r="A80" t="str">
            <v>ORD200078</v>
          </cell>
          <cell r="B80">
            <v>45510</v>
          </cell>
          <cell r="C80" t="str">
            <v>C32029</v>
          </cell>
          <cell r="D80" t="str">
            <v>Printer</v>
          </cell>
          <cell r="E80">
            <v>4</v>
          </cell>
          <cell r="F80">
            <v>175.36</v>
          </cell>
          <cell r="G80" t="str">
            <v>146 Main St</v>
          </cell>
          <cell r="H80" t="str">
            <v>Debit Card</v>
          </cell>
          <cell r="I80" t="str">
            <v>Delivered</v>
          </cell>
          <cell r="J80" t="str">
            <v>TRK68535532</v>
          </cell>
          <cell r="K80">
            <v>4</v>
          </cell>
          <cell r="L80" t="str">
            <v>FREESHIP</v>
          </cell>
          <cell r="M80" t="str">
            <v>Instagram</v>
          </cell>
          <cell r="N80">
            <v>701.44</v>
          </cell>
        </row>
        <row r="81">
          <cell r="A81" t="str">
            <v>ORD200079</v>
          </cell>
          <cell r="B81">
            <v>45726</v>
          </cell>
          <cell r="C81" t="str">
            <v>C76700</v>
          </cell>
          <cell r="D81" t="str">
            <v>Tablet</v>
          </cell>
          <cell r="E81">
            <v>2</v>
          </cell>
          <cell r="F81">
            <v>311.91000000000003</v>
          </cell>
          <cell r="G81" t="str">
            <v>103 Main St</v>
          </cell>
          <cell r="H81" t="str">
            <v>Online</v>
          </cell>
          <cell r="I81" t="str">
            <v>Shipped</v>
          </cell>
          <cell r="J81" t="str">
            <v>TRK13036341</v>
          </cell>
          <cell r="K81">
            <v>2</v>
          </cell>
          <cell r="L81" t="str">
            <v>No Coupon</v>
          </cell>
          <cell r="M81" t="str">
            <v>Facebook</v>
          </cell>
          <cell r="N81">
            <v>623.82000000000005</v>
          </cell>
        </row>
        <row r="82">
          <cell r="A82" t="str">
            <v>ORD200080</v>
          </cell>
          <cell r="B82">
            <v>45104</v>
          </cell>
          <cell r="C82" t="str">
            <v>C29041</v>
          </cell>
          <cell r="D82" t="str">
            <v>Phone</v>
          </cell>
          <cell r="E82">
            <v>3</v>
          </cell>
          <cell r="F82">
            <v>589.55999999999995</v>
          </cell>
          <cell r="G82" t="str">
            <v>591 Main St</v>
          </cell>
          <cell r="H82" t="str">
            <v>Online</v>
          </cell>
          <cell r="I82" t="str">
            <v>Returned</v>
          </cell>
          <cell r="J82" t="str">
            <v>TRK28840655</v>
          </cell>
          <cell r="K82">
            <v>6</v>
          </cell>
          <cell r="L82" t="str">
            <v>No Coupon</v>
          </cell>
          <cell r="M82" t="str">
            <v>Facebook</v>
          </cell>
          <cell r="N82">
            <v>1768.6799999999998</v>
          </cell>
        </row>
        <row r="83">
          <cell r="A83" t="str">
            <v>ORD200081</v>
          </cell>
          <cell r="B83">
            <v>45085</v>
          </cell>
          <cell r="C83" t="str">
            <v>C29314</v>
          </cell>
          <cell r="D83" t="str">
            <v>Monitor</v>
          </cell>
          <cell r="E83">
            <v>2</v>
          </cell>
          <cell r="F83">
            <v>394.3</v>
          </cell>
          <cell r="G83" t="str">
            <v>496 Main St</v>
          </cell>
          <cell r="H83" t="str">
            <v>Cash</v>
          </cell>
          <cell r="I83" t="str">
            <v>Shipped</v>
          </cell>
          <cell r="J83" t="str">
            <v>TRK59876213</v>
          </cell>
          <cell r="K83">
            <v>6</v>
          </cell>
          <cell r="L83" t="str">
            <v>FREESHIP</v>
          </cell>
          <cell r="M83" t="str">
            <v>Email</v>
          </cell>
          <cell r="N83">
            <v>788.6</v>
          </cell>
        </row>
        <row r="84">
          <cell r="A84" t="str">
            <v>ORD200082</v>
          </cell>
          <cell r="B84">
            <v>45296</v>
          </cell>
          <cell r="C84" t="str">
            <v>C65799</v>
          </cell>
          <cell r="D84" t="str">
            <v>Tablet</v>
          </cell>
          <cell r="E84">
            <v>4</v>
          </cell>
          <cell r="F84">
            <v>565.20000000000005</v>
          </cell>
          <cell r="G84" t="str">
            <v>971 Main St</v>
          </cell>
          <cell r="H84" t="str">
            <v>Debit Card</v>
          </cell>
          <cell r="I84" t="str">
            <v>Shipped</v>
          </cell>
          <cell r="J84" t="str">
            <v>TRK66906607</v>
          </cell>
          <cell r="K84">
            <v>9</v>
          </cell>
          <cell r="L84" t="str">
            <v>SAVE10</v>
          </cell>
          <cell r="M84" t="str">
            <v>Google</v>
          </cell>
          <cell r="N84">
            <v>2260.8000000000002</v>
          </cell>
        </row>
        <row r="85">
          <cell r="A85" t="str">
            <v>ORD200083</v>
          </cell>
          <cell r="B85">
            <v>45160</v>
          </cell>
          <cell r="C85" t="str">
            <v>C15681</v>
          </cell>
          <cell r="D85" t="str">
            <v>Laptop</v>
          </cell>
          <cell r="E85">
            <v>4</v>
          </cell>
          <cell r="F85">
            <v>540.41</v>
          </cell>
          <cell r="G85" t="str">
            <v>989 Main St</v>
          </cell>
          <cell r="H85" t="str">
            <v>Credit Card</v>
          </cell>
          <cell r="I85" t="str">
            <v>Cancelled</v>
          </cell>
          <cell r="J85" t="str">
            <v>TRK75112172</v>
          </cell>
          <cell r="K85">
            <v>6</v>
          </cell>
          <cell r="L85" t="str">
            <v>No Coupon</v>
          </cell>
          <cell r="M85" t="str">
            <v>Referral</v>
          </cell>
          <cell r="N85">
            <v>2161.64</v>
          </cell>
        </row>
        <row r="86">
          <cell r="A86" t="str">
            <v>ORD200084</v>
          </cell>
          <cell r="B86">
            <v>45166</v>
          </cell>
          <cell r="C86" t="str">
            <v>C64160</v>
          </cell>
          <cell r="D86" t="str">
            <v>Monitor</v>
          </cell>
          <cell r="E86">
            <v>2</v>
          </cell>
          <cell r="F86">
            <v>165.49</v>
          </cell>
          <cell r="G86" t="str">
            <v>967 Main St</v>
          </cell>
          <cell r="H86" t="str">
            <v>Online</v>
          </cell>
          <cell r="I86" t="str">
            <v>Shipped</v>
          </cell>
          <cell r="J86" t="str">
            <v>TRK34121529</v>
          </cell>
          <cell r="K86">
            <v>4</v>
          </cell>
          <cell r="L86" t="str">
            <v>WINTER15</v>
          </cell>
          <cell r="M86" t="str">
            <v>Instagram</v>
          </cell>
          <cell r="N86">
            <v>330.98</v>
          </cell>
        </row>
        <row r="87">
          <cell r="A87" t="str">
            <v>ORD200085</v>
          </cell>
          <cell r="B87">
            <v>45544</v>
          </cell>
          <cell r="C87" t="str">
            <v>C14553</v>
          </cell>
          <cell r="D87" t="str">
            <v>Tablet</v>
          </cell>
          <cell r="E87">
            <v>3</v>
          </cell>
          <cell r="F87">
            <v>146.72999999999999</v>
          </cell>
          <cell r="G87" t="str">
            <v>768 Main St</v>
          </cell>
          <cell r="H87" t="str">
            <v>Cash</v>
          </cell>
          <cell r="I87" t="str">
            <v>Delivered</v>
          </cell>
          <cell r="J87" t="str">
            <v>TRK93538334</v>
          </cell>
          <cell r="K87">
            <v>8</v>
          </cell>
          <cell r="L87" t="str">
            <v>FREESHIP</v>
          </cell>
          <cell r="M87" t="str">
            <v>Email</v>
          </cell>
          <cell r="N87">
            <v>440.18999999999994</v>
          </cell>
        </row>
        <row r="88">
          <cell r="A88" t="str">
            <v>ORD200086</v>
          </cell>
          <cell r="B88">
            <v>45462</v>
          </cell>
          <cell r="C88" t="str">
            <v>C88205</v>
          </cell>
          <cell r="D88" t="str">
            <v>Printer</v>
          </cell>
          <cell r="E88">
            <v>5</v>
          </cell>
          <cell r="F88">
            <v>643.03</v>
          </cell>
          <cell r="G88" t="str">
            <v>447 Main St</v>
          </cell>
          <cell r="H88" t="str">
            <v>Online</v>
          </cell>
          <cell r="I88" t="str">
            <v>Cancelled</v>
          </cell>
          <cell r="J88" t="str">
            <v>TRK93504166</v>
          </cell>
          <cell r="K88">
            <v>5</v>
          </cell>
          <cell r="L88" t="str">
            <v>FREESHIP</v>
          </cell>
          <cell r="M88" t="str">
            <v>Referral</v>
          </cell>
          <cell r="N88">
            <v>3215.1499999999996</v>
          </cell>
        </row>
        <row r="89">
          <cell r="A89" t="str">
            <v>ORD200087</v>
          </cell>
          <cell r="B89">
            <v>45575</v>
          </cell>
          <cell r="C89" t="str">
            <v>C91245</v>
          </cell>
          <cell r="D89" t="str">
            <v>Tablet</v>
          </cell>
          <cell r="E89">
            <v>3</v>
          </cell>
          <cell r="F89">
            <v>225.11</v>
          </cell>
          <cell r="G89" t="str">
            <v>915 Main St</v>
          </cell>
          <cell r="H89" t="str">
            <v>Cash</v>
          </cell>
          <cell r="I89" t="str">
            <v>Shipped</v>
          </cell>
          <cell r="J89" t="str">
            <v>TRK46976391</v>
          </cell>
          <cell r="K89">
            <v>4</v>
          </cell>
          <cell r="L89" t="str">
            <v>SAVE10</v>
          </cell>
          <cell r="M89" t="str">
            <v>Facebook</v>
          </cell>
          <cell r="N89">
            <v>675.33</v>
          </cell>
        </row>
        <row r="90">
          <cell r="A90" t="str">
            <v>ORD200088</v>
          </cell>
          <cell r="B90">
            <v>45813</v>
          </cell>
          <cell r="C90" t="str">
            <v>C75439</v>
          </cell>
          <cell r="D90" t="str">
            <v>Desk</v>
          </cell>
          <cell r="E90">
            <v>3</v>
          </cell>
          <cell r="F90">
            <v>114.81</v>
          </cell>
          <cell r="G90" t="str">
            <v>318 Main St</v>
          </cell>
          <cell r="H90" t="str">
            <v>Gift Card</v>
          </cell>
          <cell r="I90" t="str">
            <v>Cancelled</v>
          </cell>
          <cell r="J90" t="str">
            <v>TRK19831653</v>
          </cell>
          <cell r="K90">
            <v>7</v>
          </cell>
          <cell r="L90" t="str">
            <v>No Coupon</v>
          </cell>
          <cell r="M90" t="str">
            <v>Google</v>
          </cell>
          <cell r="N90">
            <v>344.43</v>
          </cell>
        </row>
        <row r="91">
          <cell r="A91" t="str">
            <v>ORD200089</v>
          </cell>
          <cell r="B91">
            <v>45713</v>
          </cell>
          <cell r="C91" t="str">
            <v>C17181</v>
          </cell>
          <cell r="D91" t="str">
            <v>Printer</v>
          </cell>
          <cell r="E91">
            <v>5</v>
          </cell>
          <cell r="F91">
            <v>455.33</v>
          </cell>
          <cell r="G91" t="str">
            <v>291 Main St</v>
          </cell>
          <cell r="H91" t="str">
            <v>Credit Card</v>
          </cell>
          <cell r="I91" t="str">
            <v>Cancelled</v>
          </cell>
          <cell r="J91" t="str">
            <v>TRK78912978</v>
          </cell>
          <cell r="K91">
            <v>8</v>
          </cell>
          <cell r="L91" t="str">
            <v>FREESHIP</v>
          </cell>
          <cell r="M91" t="str">
            <v>Google</v>
          </cell>
          <cell r="N91">
            <v>2276.65</v>
          </cell>
        </row>
        <row r="92">
          <cell r="A92" t="str">
            <v>ORD200090</v>
          </cell>
          <cell r="B92">
            <v>45187</v>
          </cell>
          <cell r="C92" t="str">
            <v>C36540</v>
          </cell>
          <cell r="D92" t="str">
            <v>Chair</v>
          </cell>
          <cell r="E92">
            <v>4</v>
          </cell>
          <cell r="F92">
            <v>182.08</v>
          </cell>
          <cell r="G92" t="str">
            <v>611 Main St</v>
          </cell>
          <cell r="H92" t="str">
            <v>Gift Card</v>
          </cell>
          <cell r="I92" t="str">
            <v>Delivered</v>
          </cell>
          <cell r="J92" t="str">
            <v>TRK35828122</v>
          </cell>
          <cell r="K92">
            <v>4</v>
          </cell>
          <cell r="L92" t="str">
            <v>SAVE10</v>
          </cell>
          <cell r="M92" t="str">
            <v>Email</v>
          </cell>
          <cell r="N92">
            <v>728.32</v>
          </cell>
        </row>
        <row r="93">
          <cell r="A93" t="str">
            <v>ORD200091</v>
          </cell>
          <cell r="B93">
            <v>45000</v>
          </cell>
          <cell r="C93" t="str">
            <v>C98216</v>
          </cell>
          <cell r="D93" t="str">
            <v>Laptop</v>
          </cell>
          <cell r="E93">
            <v>5</v>
          </cell>
          <cell r="F93">
            <v>492.75</v>
          </cell>
          <cell r="G93" t="str">
            <v>196 Main St</v>
          </cell>
          <cell r="H93" t="str">
            <v>Cash</v>
          </cell>
          <cell r="I93" t="str">
            <v>Shipped</v>
          </cell>
          <cell r="J93" t="str">
            <v>TRK40986666</v>
          </cell>
          <cell r="K93">
            <v>6</v>
          </cell>
          <cell r="L93" t="str">
            <v>WINTER15</v>
          </cell>
          <cell r="M93" t="str">
            <v>Referral</v>
          </cell>
          <cell r="N93">
            <v>2463.75</v>
          </cell>
        </row>
        <row r="94">
          <cell r="A94" t="str">
            <v>ORD200092</v>
          </cell>
          <cell r="B94">
            <v>45453</v>
          </cell>
          <cell r="C94" t="str">
            <v>C29568</v>
          </cell>
          <cell r="D94" t="str">
            <v>Printer</v>
          </cell>
          <cell r="E94">
            <v>4</v>
          </cell>
          <cell r="F94">
            <v>48.61</v>
          </cell>
          <cell r="G94" t="str">
            <v>203 Main St</v>
          </cell>
          <cell r="H94" t="str">
            <v>Online</v>
          </cell>
          <cell r="I94" t="str">
            <v>Shipped</v>
          </cell>
          <cell r="J94" t="str">
            <v>TRK46531075</v>
          </cell>
          <cell r="K94">
            <v>7</v>
          </cell>
          <cell r="L94" t="str">
            <v>FREESHIP</v>
          </cell>
          <cell r="M94" t="str">
            <v>Facebook</v>
          </cell>
          <cell r="N94">
            <v>194.44</v>
          </cell>
        </row>
        <row r="95">
          <cell r="A95" t="str">
            <v>ORD200093</v>
          </cell>
          <cell r="B95">
            <v>44940</v>
          </cell>
          <cell r="C95" t="str">
            <v>C97262</v>
          </cell>
          <cell r="D95" t="str">
            <v>Desk</v>
          </cell>
          <cell r="E95">
            <v>4</v>
          </cell>
          <cell r="F95">
            <v>431.01</v>
          </cell>
          <cell r="G95" t="str">
            <v>837 Main St</v>
          </cell>
          <cell r="H95" t="str">
            <v>Credit Card</v>
          </cell>
          <cell r="I95" t="str">
            <v>Returned</v>
          </cell>
          <cell r="J95" t="str">
            <v>TRK65990229</v>
          </cell>
          <cell r="K95">
            <v>7</v>
          </cell>
          <cell r="L95" t="str">
            <v>No Coupon</v>
          </cell>
          <cell r="M95" t="str">
            <v>Referral</v>
          </cell>
          <cell r="N95">
            <v>1724.04</v>
          </cell>
        </row>
        <row r="96">
          <cell r="A96" t="str">
            <v>ORD200094</v>
          </cell>
          <cell r="B96">
            <v>44968</v>
          </cell>
          <cell r="C96" t="str">
            <v>C79821</v>
          </cell>
          <cell r="D96" t="str">
            <v>Chair</v>
          </cell>
          <cell r="E96">
            <v>1</v>
          </cell>
          <cell r="F96">
            <v>531.17999999999995</v>
          </cell>
          <cell r="G96" t="str">
            <v>781 Main St</v>
          </cell>
          <cell r="H96" t="str">
            <v>Gift Card</v>
          </cell>
          <cell r="I96" t="str">
            <v>Returned</v>
          </cell>
          <cell r="J96" t="str">
            <v>TRK12780193</v>
          </cell>
          <cell r="K96">
            <v>6</v>
          </cell>
          <cell r="L96" t="str">
            <v>WINTER15</v>
          </cell>
          <cell r="M96" t="str">
            <v>Instagram</v>
          </cell>
          <cell r="N96">
            <v>531.17999999999995</v>
          </cell>
        </row>
        <row r="97">
          <cell r="A97" t="str">
            <v>ORD200095</v>
          </cell>
          <cell r="B97">
            <v>45009</v>
          </cell>
          <cell r="C97" t="str">
            <v>C76761</v>
          </cell>
          <cell r="D97" t="str">
            <v>Printer</v>
          </cell>
          <cell r="E97">
            <v>4</v>
          </cell>
          <cell r="F97">
            <v>117.51</v>
          </cell>
          <cell r="G97" t="str">
            <v>839 Main St</v>
          </cell>
          <cell r="H97" t="str">
            <v>Debit Card</v>
          </cell>
          <cell r="I97" t="str">
            <v>Returned</v>
          </cell>
          <cell r="J97" t="str">
            <v>TRK60179774</v>
          </cell>
          <cell r="K97">
            <v>7</v>
          </cell>
          <cell r="L97" t="str">
            <v>No Coupon</v>
          </cell>
          <cell r="M97" t="str">
            <v>Referral</v>
          </cell>
          <cell r="N97">
            <v>470.04</v>
          </cell>
        </row>
        <row r="98">
          <cell r="A98" t="str">
            <v>ORD200096</v>
          </cell>
          <cell r="B98">
            <v>45444</v>
          </cell>
          <cell r="C98" t="str">
            <v>C93007</v>
          </cell>
          <cell r="D98" t="str">
            <v>Phone</v>
          </cell>
          <cell r="E98">
            <v>2</v>
          </cell>
          <cell r="F98">
            <v>232.83</v>
          </cell>
          <cell r="G98" t="str">
            <v>103 Main St</v>
          </cell>
          <cell r="H98" t="str">
            <v>Gift Card</v>
          </cell>
          <cell r="I98" t="str">
            <v>Delivered</v>
          </cell>
          <cell r="J98" t="str">
            <v>TRK85696091</v>
          </cell>
          <cell r="K98">
            <v>7</v>
          </cell>
          <cell r="L98" t="str">
            <v>No Coupon</v>
          </cell>
          <cell r="M98" t="str">
            <v>Instagram</v>
          </cell>
          <cell r="N98">
            <v>465.66</v>
          </cell>
        </row>
        <row r="99">
          <cell r="A99" t="str">
            <v>ORD200097</v>
          </cell>
          <cell r="B99">
            <v>45678</v>
          </cell>
          <cell r="C99" t="str">
            <v>C15624</v>
          </cell>
          <cell r="D99" t="str">
            <v>Tablet</v>
          </cell>
          <cell r="E99">
            <v>5</v>
          </cell>
          <cell r="F99">
            <v>619.52</v>
          </cell>
          <cell r="G99" t="str">
            <v>922 Main St</v>
          </cell>
          <cell r="H99" t="str">
            <v>Debit Card</v>
          </cell>
          <cell r="I99" t="str">
            <v>Pending</v>
          </cell>
          <cell r="J99" t="str">
            <v>TRK40621141</v>
          </cell>
          <cell r="K99">
            <v>9</v>
          </cell>
          <cell r="L99" t="str">
            <v>No Coupon</v>
          </cell>
          <cell r="M99" t="str">
            <v>Email</v>
          </cell>
          <cell r="N99">
            <v>3097.6</v>
          </cell>
        </row>
        <row r="100">
          <cell r="A100" t="str">
            <v>ORD200098</v>
          </cell>
          <cell r="B100">
            <v>44940</v>
          </cell>
          <cell r="C100" t="str">
            <v>C70921</v>
          </cell>
          <cell r="D100" t="str">
            <v>Printer</v>
          </cell>
          <cell r="E100">
            <v>2</v>
          </cell>
          <cell r="F100">
            <v>228.54</v>
          </cell>
          <cell r="G100" t="str">
            <v>533 Main St</v>
          </cell>
          <cell r="H100" t="str">
            <v>Debit Card</v>
          </cell>
          <cell r="I100" t="str">
            <v>Pending</v>
          </cell>
          <cell r="J100" t="str">
            <v>TRK54983109</v>
          </cell>
          <cell r="K100">
            <v>3</v>
          </cell>
          <cell r="L100" t="str">
            <v>No Coupon</v>
          </cell>
          <cell r="M100" t="str">
            <v>Email</v>
          </cell>
          <cell r="N100">
            <v>457.08</v>
          </cell>
        </row>
        <row r="101">
          <cell r="A101" t="str">
            <v>ORD200099</v>
          </cell>
          <cell r="B101">
            <v>45759</v>
          </cell>
          <cell r="C101" t="str">
            <v>C30477</v>
          </cell>
          <cell r="D101" t="str">
            <v>Printer</v>
          </cell>
          <cell r="E101">
            <v>1</v>
          </cell>
          <cell r="F101">
            <v>201.58</v>
          </cell>
          <cell r="G101" t="str">
            <v>717 Main St</v>
          </cell>
          <cell r="H101" t="str">
            <v>Debit Card</v>
          </cell>
          <cell r="I101" t="str">
            <v>Cancelled</v>
          </cell>
          <cell r="J101" t="str">
            <v>TRK51829648</v>
          </cell>
          <cell r="K101">
            <v>2</v>
          </cell>
          <cell r="L101" t="str">
            <v>WINTER15</v>
          </cell>
          <cell r="M101" t="str">
            <v>Email</v>
          </cell>
          <cell r="N101">
            <v>201.58</v>
          </cell>
        </row>
        <row r="102">
          <cell r="A102" t="str">
            <v>ORD200100</v>
          </cell>
          <cell r="B102">
            <v>44974</v>
          </cell>
          <cell r="C102" t="str">
            <v>C74866</v>
          </cell>
          <cell r="D102" t="str">
            <v>Phone</v>
          </cell>
          <cell r="E102">
            <v>3</v>
          </cell>
          <cell r="F102">
            <v>664.79</v>
          </cell>
          <cell r="G102" t="str">
            <v>743 Main St</v>
          </cell>
          <cell r="H102" t="str">
            <v>Online</v>
          </cell>
          <cell r="I102" t="str">
            <v>Delivered</v>
          </cell>
          <cell r="J102" t="str">
            <v>TRK53783265</v>
          </cell>
          <cell r="K102">
            <v>6</v>
          </cell>
          <cell r="L102" t="str">
            <v>No Coupon</v>
          </cell>
          <cell r="M102" t="str">
            <v>Facebook</v>
          </cell>
          <cell r="N102">
            <v>1994.37</v>
          </cell>
        </row>
        <row r="103">
          <cell r="A103" t="str">
            <v>ORD200101</v>
          </cell>
          <cell r="B103">
            <v>45255</v>
          </cell>
          <cell r="C103" t="str">
            <v>C15283</v>
          </cell>
          <cell r="D103" t="str">
            <v>Printer</v>
          </cell>
          <cell r="E103">
            <v>1</v>
          </cell>
          <cell r="F103">
            <v>381.02</v>
          </cell>
          <cell r="G103" t="str">
            <v>152 Main St</v>
          </cell>
          <cell r="H103" t="str">
            <v>Cash</v>
          </cell>
          <cell r="I103" t="str">
            <v>Shipped</v>
          </cell>
          <cell r="J103" t="str">
            <v>TRK19286291</v>
          </cell>
          <cell r="K103">
            <v>6</v>
          </cell>
          <cell r="L103" t="str">
            <v>No Coupon</v>
          </cell>
          <cell r="M103" t="str">
            <v>Google</v>
          </cell>
          <cell r="N103">
            <v>381.02</v>
          </cell>
        </row>
        <row r="104">
          <cell r="A104" t="str">
            <v>ORD200102</v>
          </cell>
          <cell r="B104">
            <v>44993</v>
          </cell>
          <cell r="C104" t="str">
            <v>C18037</v>
          </cell>
          <cell r="D104" t="str">
            <v>Laptop</v>
          </cell>
          <cell r="E104">
            <v>2</v>
          </cell>
          <cell r="F104">
            <v>70.34</v>
          </cell>
          <cell r="G104" t="str">
            <v>944 Main St</v>
          </cell>
          <cell r="H104" t="str">
            <v>Gift Card</v>
          </cell>
          <cell r="I104" t="str">
            <v>Cancelled</v>
          </cell>
          <cell r="J104" t="str">
            <v>TRK47362236</v>
          </cell>
          <cell r="K104">
            <v>3</v>
          </cell>
          <cell r="L104" t="str">
            <v>FREESHIP</v>
          </cell>
          <cell r="M104" t="str">
            <v>Email</v>
          </cell>
          <cell r="N104">
            <v>140.68</v>
          </cell>
        </row>
        <row r="105">
          <cell r="A105" t="str">
            <v>ORD200103</v>
          </cell>
          <cell r="B105">
            <v>45682</v>
          </cell>
          <cell r="C105" t="str">
            <v>C62656</v>
          </cell>
          <cell r="D105" t="str">
            <v>Phone</v>
          </cell>
          <cell r="E105">
            <v>4</v>
          </cell>
          <cell r="F105">
            <v>218.43</v>
          </cell>
          <cell r="G105" t="str">
            <v>514 Main St</v>
          </cell>
          <cell r="H105" t="str">
            <v>Credit Card</v>
          </cell>
          <cell r="I105" t="str">
            <v>Cancelled</v>
          </cell>
          <cell r="J105" t="str">
            <v>TRK86296459</v>
          </cell>
          <cell r="K105">
            <v>9</v>
          </cell>
          <cell r="L105" t="str">
            <v>SAVE10</v>
          </cell>
          <cell r="M105" t="str">
            <v>Email</v>
          </cell>
          <cell r="N105">
            <v>873.72</v>
          </cell>
        </row>
        <row r="106">
          <cell r="A106" t="str">
            <v>ORD200104</v>
          </cell>
          <cell r="B106">
            <v>45503</v>
          </cell>
          <cell r="C106" t="str">
            <v>C65744</v>
          </cell>
          <cell r="D106" t="str">
            <v>Phone</v>
          </cell>
          <cell r="E106">
            <v>1</v>
          </cell>
          <cell r="F106">
            <v>582.04</v>
          </cell>
          <cell r="G106" t="str">
            <v>647 Main St</v>
          </cell>
          <cell r="H106" t="str">
            <v>Gift Card</v>
          </cell>
          <cell r="I106" t="str">
            <v>Delivered</v>
          </cell>
          <cell r="J106" t="str">
            <v>TRK39906058</v>
          </cell>
          <cell r="K106">
            <v>1</v>
          </cell>
          <cell r="L106" t="str">
            <v>FREESHIP</v>
          </cell>
          <cell r="M106" t="str">
            <v>Email</v>
          </cell>
          <cell r="N106">
            <v>582.04</v>
          </cell>
        </row>
        <row r="107">
          <cell r="A107" t="str">
            <v>ORD200105</v>
          </cell>
          <cell r="B107">
            <v>45589</v>
          </cell>
          <cell r="C107" t="str">
            <v>C72290</v>
          </cell>
          <cell r="D107" t="str">
            <v>Printer</v>
          </cell>
          <cell r="E107">
            <v>3</v>
          </cell>
          <cell r="F107">
            <v>185.4</v>
          </cell>
          <cell r="G107" t="str">
            <v>810 Main St</v>
          </cell>
          <cell r="H107" t="str">
            <v>Gift Card</v>
          </cell>
          <cell r="I107" t="str">
            <v>Cancelled</v>
          </cell>
          <cell r="J107" t="str">
            <v>TRK68792129</v>
          </cell>
          <cell r="K107">
            <v>7</v>
          </cell>
          <cell r="L107" t="str">
            <v>No Coupon</v>
          </cell>
          <cell r="M107" t="str">
            <v>Facebook</v>
          </cell>
          <cell r="N107">
            <v>556.20000000000005</v>
          </cell>
        </row>
        <row r="108">
          <cell r="A108" t="str">
            <v>ORD200106</v>
          </cell>
          <cell r="B108">
            <v>45177</v>
          </cell>
          <cell r="C108" t="str">
            <v>C73514</v>
          </cell>
          <cell r="D108" t="str">
            <v>Desk</v>
          </cell>
          <cell r="E108">
            <v>3</v>
          </cell>
          <cell r="F108">
            <v>465.05</v>
          </cell>
          <cell r="G108" t="str">
            <v>126 Main St</v>
          </cell>
          <cell r="H108" t="str">
            <v>Credit Card</v>
          </cell>
          <cell r="I108" t="str">
            <v>Cancelled</v>
          </cell>
          <cell r="J108" t="str">
            <v>TRK96777924</v>
          </cell>
          <cell r="K108">
            <v>3</v>
          </cell>
          <cell r="L108" t="str">
            <v>SAVE10</v>
          </cell>
          <cell r="M108" t="str">
            <v>Email</v>
          </cell>
          <cell r="N108">
            <v>1395.15</v>
          </cell>
        </row>
        <row r="109">
          <cell r="A109" t="str">
            <v>ORD200107</v>
          </cell>
          <cell r="B109">
            <v>45012</v>
          </cell>
          <cell r="C109" t="str">
            <v>C16775</v>
          </cell>
          <cell r="D109" t="str">
            <v>Printer</v>
          </cell>
          <cell r="E109">
            <v>5</v>
          </cell>
          <cell r="F109">
            <v>670.75</v>
          </cell>
          <cell r="G109" t="str">
            <v>848 Main St</v>
          </cell>
          <cell r="H109" t="str">
            <v>Gift Card</v>
          </cell>
          <cell r="I109" t="str">
            <v>Shipped</v>
          </cell>
          <cell r="J109" t="str">
            <v>TRK34392124</v>
          </cell>
          <cell r="K109">
            <v>8</v>
          </cell>
          <cell r="L109" t="str">
            <v>FREESHIP</v>
          </cell>
          <cell r="M109" t="str">
            <v>Instagram</v>
          </cell>
          <cell r="N109">
            <v>3353.75</v>
          </cell>
        </row>
        <row r="110">
          <cell r="A110" t="str">
            <v>ORD200108</v>
          </cell>
          <cell r="B110">
            <v>45654</v>
          </cell>
          <cell r="C110" t="str">
            <v>C33099</v>
          </cell>
          <cell r="D110" t="str">
            <v>Laptop</v>
          </cell>
          <cell r="E110">
            <v>5</v>
          </cell>
          <cell r="F110">
            <v>48.38</v>
          </cell>
          <cell r="G110" t="str">
            <v>522 Main St</v>
          </cell>
          <cell r="H110" t="str">
            <v>Gift Card</v>
          </cell>
          <cell r="I110" t="str">
            <v>Delivered</v>
          </cell>
          <cell r="J110" t="str">
            <v>TRK28522330</v>
          </cell>
          <cell r="K110">
            <v>9</v>
          </cell>
          <cell r="L110" t="str">
            <v>WINTER15</v>
          </cell>
          <cell r="M110" t="str">
            <v>Email</v>
          </cell>
          <cell r="N110">
            <v>241.9</v>
          </cell>
        </row>
        <row r="111">
          <cell r="A111" t="str">
            <v>ORD200109</v>
          </cell>
          <cell r="B111">
            <v>45186</v>
          </cell>
          <cell r="C111" t="str">
            <v>C51157</v>
          </cell>
          <cell r="D111" t="str">
            <v>Desk</v>
          </cell>
          <cell r="E111">
            <v>3</v>
          </cell>
          <cell r="F111">
            <v>592.87</v>
          </cell>
          <cell r="G111" t="str">
            <v>131 Main St</v>
          </cell>
          <cell r="H111" t="str">
            <v>Gift Card</v>
          </cell>
          <cell r="I111" t="str">
            <v>Shipped</v>
          </cell>
          <cell r="J111" t="str">
            <v>TRK18674578</v>
          </cell>
          <cell r="K111">
            <v>3</v>
          </cell>
          <cell r="L111" t="str">
            <v>FREESHIP</v>
          </cell>
          <cell r="M111" t="str">
            <v>Referral</v>
          </cell>
          <cell r="N111">
            <v>1778.6100000000001</v>
          </cell>
        </row>
        <row r="112">
          <cell r="A112" t="str">
            <v>ORD200110</v>
          </cell>
          <cell r="B112">
            <v>45403</v>
          </cell>
          <cell r="C112" t="str">
            <v>C74562</v>
          </cell>
          <cell r="D112" t="str">
            <v>Tablet</v>
          </cell>
          <cell r="E112">
            <v>1</v>
          </cell>
          <cell r="F112">
            <v>220.77</v>
          </cell>
          <cell r="G112" t="str">
            <v>388 Main St</v>
          </cell>
          <cell r="H112" t="str">
            <v>Gift Card</v>
          </cell>
          <cell r="I112" t="str">
            <v>Pending</v>
          </cell>
          <cell r="J112" t="str">
            <v>TRK32062079</v>
          </cell>
          <cell r="K112">
            <v>5</v>
          </cell>
          <cell r="L112" t="str">
            <v>FREESHIP</v>
          </cell>
          <cell r="M112" t="str">
            <v>Instagram</v>
          </cell>
          <cell r="N112">
            <v>220.77</v>
          </cell>
        </row>
        <row r="113">
          <cell r="A113" t="str">
            <v>ORD200111</v>
          </cell>
          <cell r="B113">
            <v>45784</v>
          </cell>
          <cell r="C113" t="str">
            <v>C95271</v>
          </cell>
          <cell r="D113" t="str">
            <v>Desk</v>
          </cell>
          <cell r="E113">
            <v>3</v>
          </cell>
          <cell r="F113">
            <v>309.22000000000003</v>
          </cell>
          <cell r="G113" t="str">
            <v>620 Main St</v>
          </cell>
          <cell r="H113" t="str">
            <v>Online</v>
          </cell>
          <cell r="I113" t="str">
            <v>Cancelled</v>
          </cell>
          <cell r="J113" t="str">
            <v>TRK74904969</v>
          </cell>
          <cell r="K113">
            <v>7</v>
          </cell>
          <cell r="L113" t="str">
            <v>FREESHIP</v>
          </cell>
          <cell r="M113" t="str">
            <v>Google</v>
          </cell>
          <cell r="N113">
            <v>927.66000000000008</v>
          </cell>
        </row>
        <row r="114">
          <cell r="A114" t="str">
            <v>ORD200112</v>
          </cell>
          <cell r="B114">
            <v>44927</v>
          </cell>
          <cell r="C114" t="str">
            <v>C81366</v>
          </cell>
          <cell r="D114" t="str">
            <v>Monitor</v>
          </cell>
          <cell r="E114">
            <v>1</v>
          </cell>
          <cell r="F114">
            <v>410.6</v>
          </cell>
          <cell r="G114" t="str">
            <v>423 Main St</v>
          </cell>
          <cell r="H114" t="str">
            <v>Online</v>
          </cell>
          <cell r="I114" t="str">
            <v>Cancelled</v>
          </cell>
          <cell r="J114" t="str">
            <v>TRK17062206</v>
          </cell>
          <cell r="K114">
            <v>2</v>
          </cell>
          <cell r="L114" t="str">
            <v>WINTER15</v>
          </cell>
          <cell r="M114" t="str">
            <v>Referral</v>
          </cell>
          <cell r="N114">
            <v>410.6</v>
          </cell>
        </row>
        <row r="115">
          <cell r="A115" t="str">
            <v>ORD200113</v>
          </cell>
          <cell r="B115">
            <v>45308</v>
          </cell>
          <cell r="C115" t="str">
            <v>C65905</v>
          </cell>
          <cell r="D115" t="str">
            <v>Laptop</v>
          </cell>
          <cell r="E115">
            <v>5</v>
          </cell>
          <cell r="F115">
            <v>190.08</v>
          </cell>
          <cell r="G115" t="str">
            <v>605 Main St</v>
          </cell>
          <cell r="H115" t="str">
            <v>Cash</v>
          </cell>
          <cell r="I115" t="str">
            <v>Shipped</v>
          </cell>
          <cell r="J115" t="str">
            <v>TRK73954365</v>
          </cell>
          <cell r="K115">
            <v>9</v>
          </cell>
          <cell r="L115" t="str">
            <v>FREESHIP</v>
          </cell>
          <cell r="M115" t="str">
            <v>Instagram</v>
          </cell>
          <cell r="N115">
            <v>950.40000000000009</v>
          </cell>
        </row>
        <row r="116">
          <cell r="A116" t="str">
            <v>ORD200114</v>
          </cell>
          <cell r="B116">
            <v>45684</v>
          </cell>
          <cell r="C116" t="str">
            <v>C77272</v>
          </cell>
          <cell r="D116" t="str">
            <v>Monitor</v>
          </cell>
          <cell r="E116">
            <v>5</v>
          </cell>
          <cell r="F116">
            <v>498.48</v>
          </cell>
          <cell r="G116" t="str">
            <v>115 Main St</v>
          </cell>
          <cell r="H116" t="str">
            <v>Online</v>
          </cell>
          <cell r="I116" t="str">
            <v>Pending</v>
          </cell>
          <cell r="J116" t="str">
            <v>TRK29708128</v>
          </cell>
          <cell r="K116">
            <v>8</v>
          </cell>
          <cell r="L116" t="str">
            <v>SAVE10</v>
          </cell>
          <cell r="M116" t="str">
            <v>Google</v>
          </cell>
          <cell r="N116">
            <v>2492.4</v>
          </cell>
        </row>
        <row r="117">
          <cell r="A117" t="str">
            <v>ORD200115</v>
          </cell>
          <cell r="B117">
            <v>45257</v>
          </cell>
          <cell r="C117" t="str">
            <v>C32580</v>
          </cell>
          <cell r="D117" t="str">
            <v>Phone</v>
          </cell>
          <cell r="E117">
            <v>5</v>
          </cell>
          <cell r="F117">
            <v>374.99</v>
          </cell>
          <cell r="G117" t="str">
            <v>122 Main St</v>
          </cell>
          <cell r="H117" t="str">
            <v>Online</v>
          </cell>
          <cell r="I117" t="str">
            <v>Shipped</v>
          </cell>
          <cell r="J117" t="str">
            <v>TRK23670394</v>
          </cell>
          <cell r="K117">
            <v>9</v>
          </cell>
          <cell r="L117" t="str">
            <v>SAVE10</v>
          </cell>
          <cell r="M117" t="str">
            <v>Facebook</v>
          </cell>
          <cell r="N117">
            <v>1874.95</v>
          </cell>
        </row>
        <row r="118">
          <cell r="A118" t="str">
            <v>ORD200116</v>
          </cell>
          <cell r="B118">
            <v>45004</v>
          </cell>
          <cell r="C118" t="str">
            <v>C47761</v>
          </cell>
          <cell r="D118" t="str">
            <v>Printer</v>
          </cell>
          <cell r="E118">
            <v>4</v>
          </cell>
          <cell r="F118">
            <v>291.35000000000002</v>
          </cell>
          <cell r="G118" t="str">
            <v>109 Main St</v>
          </cell>
          <cell r="H118" t="str">
            <v>Credit Card</v>
          </cell>
          <cell r="I118" t="str">
            <v>Cancelled</v>
          </cell>
          <cell r="J118" t="str">
            <v>TRK66669207</v>
          </cell>
          <cell r="K118">
            <v>6</v>
          </cell>
          <cell r="L118" t="str">
            <v>WINTER15</v>
          </cell>
          <cell r="M118" t="str">
            <v>Facebook</v>
          </cell>
          <cell r="N118">
            <v>1165.4000000000001</v>
          </cell>
        </row>
        <row r="119">
          <cell r="A119" t="str">
            <v>ORD200117</v>
          </cell>
          <cell r="B119">
            <v>44993</v>
          </cell>
          <cell r="C119" t="str">
            <v>C49187</v>
          </cell>
          <cell r="D119" t="str">
            <v>Tablet</v>
          </cell>
          <cell r="E119">
            <v>1</v>
          </cell>
          <cell r="F119">
            <v>535.5</v>
          </cell>
          <cell r="G119" t="str">
            <v>593 Main St</v>
          </cell>
          <cell r="H119" t="str">
            <v>Gift Card</v>
          </cell>
          <cell r="I119" t="str">
            <v>Cancelled</v>
          </cell>
          <cell r="J119" t="str">
            <v>TRK81888598</v>
          </cell>
          <cell r="K119">
            <v>5</v>
          </cell>
          <cell r="L119" t="str">
            <v>WINTER15</v>
          </cell>
          <cell r="M119" t="str">
            <v>Referral</v>
          </cell>
          <cell r="N119">
            <v>535.5</v>
          </cell>
        </row>
        <row r="120">
          <cell r="A120" t="str">
            <v>ORD200118</v>
          </cell>
          <cell r="B120">
            <v>45208</v>
          </cell>
          <cell r="C120" t="str">
            <v>C27898</v>
          </cell>
          <cell r="D120" t="str">
            <v>Printer</v>
          </cell>
          <cell r="E120">
            <v>5</v>
          </cell>
          <cell r="F120">
            <v>502.71</v>
          </cell>
          <cell r="G120" t="str">
            <v>807 Main St</v>
          </cell>
          <cell r="H120" t="str">
            <v>Gift Card</v>
          </cell>
          <cell r="I120" t="str">
            <v>Shipped</v>
          </cell>
          <cell r="J120" t="str">
            <v>TRK61957665</v>
          </cell>
          <cell r="K120">
            <v>7</v>
          </cell>
          <cell r="L120" t="str">
            <v>FREESHIP</v>
          </cell>
          <cell r="M120" t="str">
            <v>Google</v>
          </cell>
          <cell r="N120">
            <v>2513.5499999999997</v>
          </cell>
        </row>
        <row r="121">
          <cell r="A121" t="str">
            <v>ORD200119</v>
          </cell>
          <cell r="B121">
            <v>45819</v>
          </cell>
          <cell r="C121" t="str">
            <v>C14683</v>
          </cell>
          <cell r="D121" t="str">
            <v>Desk</v>
          </cell>
          <cell r="E121">
            <v>2</v>
          </cell>
          <cell r="F121">
            <v>534.66999999999996</v>
          </cell>
          <cell r="G121" t="str">
            <v>187 Main St</v>
          </cell>
          <cell r="H121" t="str">
            <v>Debit Card</v>
          </cell>
          <cell r="I121" t="str">
            <v>Shipped</v>
          </cell>
          <cell r="J121" t="str">
            <v>TRK47373682</v>
          </cell>
          <cell r="K121">
            <v>7</v>
          </cell>
          <cell r="L121" t="str">
            <v>FREESHIP</v>
          </cell>
          <cell r="M121" t="str">
            <v>Referral</v>
          </cell>
          <cell r="N121">
            <v>1069.3399999999999</v>
          </cell>
        </row>
        <row r="122">
          <cell r="A122" t="str">
            <v>ORD200120</v>
          </cell>
          <cell r="B122">
            <v>45027</v>
          </cell>
          <cell r="C122" t="str">
            <v>C58108</v>
          </cell>
          <cell r="D122" t="str">
            <v>Tablet</v>
          </cell>
          <cell r="E122">
            <v>4</v>
          </cell>
          <cell r="F122">
            <v>629.34</v>
          </cell>
          <cell r="G122" t="str">
            <v>986 Main St</v>
          </cell>
          <cell r="H122" t="str">
            <v>Cash</v>
          </cell>
          <cell r="I122" t="str">
            <v>Cancelled</v>
          </cell>
          <cell r="J122" t="str">
            <v>TRK66218053</v>
          </cell>
          <cell r="K122">
            <v>4</v>
          </cell>
          <cell r="L122" t="str">
            <v>WINTER15</v>
          </cell>
          <cell r="M122" t="str">
            <v>Instagram</v>
          </cell>
          <cell r="N122">
            <v>2517.36</v>
          </cell>
        </row>
        <row r="123">
          <cell r="A123" t="str">
            <v>ORD200121</v>
          </cell>
          <cell r="B123">
            <v>45260</v>
          </cell>
          <cell r="C123" t="str">
            <v>C89822</v>
          </cell>
          <cell r="D123" t="str">
            <v>Desk</v>
          </cell>
          <cell r="E123">
            <v>1</v>
          </cell>
          <cell r="F123">
            <v>410.78</v>
          </cell>
          <cell r="G123" t="str">
            <v>673 Main St</v>
          </cell>
          <cell r="H123" t="str">
            <v>Cash</v>
          </cell>
          <cell r="I123" t="str">
            <v>Cancelled</v>
          </cell>
          <cell r="J123" t="str">
            <v>TRK24138598</v>
          </cell>
          <cell r="K123">
            <v>1</v>
          </cell>
          <cell r="L123" t="str">
            <v>FREESHIP</v>
          </cell>
          <cell r="M123" t="str">
            <v>Instagram</v>
          </cell>
          <cell r="N123">
            <v>410.78</v>
          </cell>
        </row>
        <row r="124">
          <cell r="A124" t="str">
            <v>ORD200122</v>
          </cell>
          <cell r="B124">
            <v>45397</v>
          </cell>
          <cell r="C124" t="str">
            <v>C96787</v>
          </cell>
          <cell r="D124" t="str">
            <v>Laptop</v>
          </cell>
          <cell r="E124">
            <v>2</v>
          </cell>
          <cell r="F124">
            <v>533.02</v>
          </cell>
          <cell r="G124" t="str">
            <v>588 Main St</v>
          </cell>
          <cell r="H124" t="str">
            <v>Gift Card</v>
          </cell>
          <cell r="I124" t="str">
            <v>Shipped</v>
          </cell>
          <cell r="J124" t="str">
            <v>TRK30422853</v>
          </cell>
          <cell r="K124">
            <v>2</v>
          </cell>
          <cell r="L124" t="str">
            <v>No Coupon</v>
          </cell>
          <cell r="M124" t="str">
            <v>Facebook</v>
          </cell>
          <cell r="N124">
            <v>1066.04</v>
          </cell>
        </row>
        <row r="125">
          <cell r="A125" t="str">
            <v>ORD200123</v>
          </cell>
          <cell r="B125">
            <v>45113</v>
          </cell>
          <cell r="C125" t="str">
            <v>C86064</v>
          </cell>
          <cell r="D125" t="str">
            <v>Desk</v>
          </cell>
          <cell r="E125">
            <v>3</v>
          </cell>
          <cell r="F125">
            <v>278.04000000000002</v>
          </cell>
          <cell r="G125" t="str">
            <v>727 Main St</v>
          </cell>
          <cell r="H125" t="str">
            <v>Online</v>
          </cell>
          <cell r="I125" t="str">
            <v>Delivered</v>
          </cell>
          <cell r="J125" t="str">
            <v>TRK62182901</v>
          </cell>
          <cell r="K125">
            <v>5</v>
          </cell>
          <cell r="L125" t="str">
            <v>No Coupon</v>
          </cell>
          <cell r="M125" t="str">
            <v>Instagram</v>
          </cell>
          <cell r="N125">
            <v>834.12000000000012</v>
          </cell>
        </row>
        <row r="126">
          <cell r="A126" t="str">
            <v>ORD200124</v>
          </cell>
          <cell r="B126">
            <v>45501</v>
          </cell>
          <cell r="C126" t="str">
            <v>C97148</v>
          </cell>
          <cell r="D126" t="str">
            <v>Printer</v>
          </cell>
          <cell r="E126">
            <v>4</v>
          </cell>
          <cell r="F126">
            <v>283.79000000000002</v>
          </cell>
          <cell r="G126" t="str">
            <v>563 Main St</v>
          </cell>
          <cell r="H126" t="str">
            <v>Online</v>
          </cell>
          <cell r="I126" t="str">
            <v>Pending</v>
          </cell>
          <cell r="J126" t="str">
            <v>TRK85321126</v>
          </cell>
          <cell r="K126">
            <v>8</v>
          </cell>
          <cell r="L126" t="str">
            <v>No Coupon</v>
          </cell>
          <cell r="M126" t="str">
            <v>Google</v>
          </cell>
          <cell r="N126">
            <v>1135.1600000000001</v>
          </cell>
        </row>
        <row r="127">
          <cell r="A127" t="str">
            <v>ORD200125</v>
          </cell>
          <cell r="B127">
            <v>45602</v>
          </cell>
          <cell r="C127" t="str">
            <v>C91099</v>
          </cell>
          <cell r="D127" t="str">
            <v>Phone</v>
          </cell>
          <cell r="E127">
            <v>2</v>
          </cell>
          <cell r="F127">
            <v>512.65</v>
          </cell>
          <cell r="G127" t="str">
            <v>758 Main St</v>
          </cell>
          <cell r="H127" t="str">
            <v>Credit Card</v>
          </cell>
          <cell r="I127" t="str">
            <v>Shipped</v>
          </cell>
          <cell r="J127" t="str">
            <v>TRK81846174</v>
          </cell>
          <cell r="K127">
            <v>5</v>
          </cell>
          <cell r="L127" t="str">
            <v>SAVE10</v>
          </cell>
          <cell r="M127" t="str">
            <v>Email</v>
          </cell>
          <cell r="N127">
            <v>1025.3</v>
          </cell>
        </row>
        <row r="128">
          <cell r="A128" t="str">
            <v>ORD200126</v>
          </cell>
          <cell r="B128">
            <v>45780</v>
          </cell>
          <cell r="C128" t="str">
            <v>C55606</v>
          </cell>
          <cell r="D128" t="str">
            <v>Desk</v>
          </cell>
          <cell r="E128">
            <v>4</v>
          </cell>
          <cell r="F128">
            <v>275.5</v>
          </cell>
          <cell r="G128" t="str">
            <v>353 Main St</v>
          </cell>
          <cell r="H128" t="str">
            <v>Gift Card</v>
          </cell>
          <cell r="I128" t="str">
            <v>Shipped</v>
          </cell>
          <cell r="J128" t="str">
            <v>TRK68250319</v>
          </cell>
          <cell r="K128">
            <v>8</v>
          </cell>
          <cell r="L128" t="str">
            <v>FREESHIP</v>
          </cell>
          <cell r="M128" t="str">
            <v>Google</v>
          </cell>
          <cell r="N128">
            <v>1102</v>
          </cell>
        </row>
        <row r="129">
          <cell r="A129" t="str">
            <v>ORD200127</v>
          </cell>
          <cell r="B129">
            <v>45148</v>
          </cell>
          <cell r="C129" t="str">
            <v>C71486</v>
          </cell>
          <cell r="D129" t="str">
            <v>Desk</v>
          </cell>
          <cell r="E129">
            <v>3</v>
          </cell>
          <cell r="F129">
            <v>469.32</v>
          </cell>
          <cell r="G129" t="str">
            <v>365 Main St</v>
          </cell>
          <cell r="H129" t="str">
            <v>Debit Card</v>
          </cell>
          <cell r="I129" t="str">
            <v>Shipped</v>
          </cell>
          <cell r="J129" t="str">
            <v>TRK73929833</v>
          </cell>
          <cell r="K129">
            <v>3</v>
          </cell>
          <cell r="L129" t="str">
            <v>No Coupon</v>
          </cell>
          <cell r="M129" t="str">
            <v>Google</v>
          </cell>
          <cell r="N129">
            <v>1407.96</v>
          </cell>
        </row>
        <row r="130">
          <cell r="A130" t="str">
            <v>ORD200128</v>
          </cell>
          <cell r="B130">
            <v>44974</v>
          </cell>
          <cell r="C130" t="str">
            <v>C86408</v>
          </cell>
          <cell r="D130" t="str">
            <v>Tablet</v>
          </cell>
          <cell r="E130">
            <v>4</v>
          </cell>
          <cell r="F130">
            <v>21.07</v>
          </cell>
          <cell r="G130" t="str">
            <v>244 Main St</v>
          </cell>
          <cell r="H130" t="str">
            <v>Gift Card</v>
          </cell>
          <cell r="I130" t="str">
            <v>Delivered</v>
          </cell>
          <cell r="J130" t="str">
            <v>TRK41432648</v>
          </cell>
          <cell r="K130">
            <v>4</v>
          </cell>
          <cell r="L130" t="str">
            <v>FREESHIP</v>
          </cell>
          <cell r="M130" t="str">
            <v>Google</v>
          </cell>
          <cell r="N130">
            <v>84.28</v>
          </cell>
        </row>
        <row r="131">
          <cell r="A131" t="str">
            <v>ORD200129</v>
          </cell>
          <cell r="B131">
            <v>45226</v>
          </cell>
          <cell r="C131" t="str">
            <v>C52751</v>
          </cell>
          <cell r="D131" t="str">
            <v>Laptop</v>
          </cell>
          <cell r="E131">
            <v>4</v>
          </cell>
          <cell r="F131">
            <v>263.93</v>
          </cell>
          <cell r="G131" t="str">
            <v>427 Main St</v>
          </cell>
          <cell r="H131" t="str">
            <v>Debit Card</v>
          </cell>
          <cell r="I131" t="str">
            <v>Shipped</v>
          </cell>
          <cell r="J131" t="str">
            <v>TRK72481234</v>
          </cell>
          <cell r="K131">
            <v>4</v>
          </cell>
          <cell r="L131" t="str">
            <v>FREESHIP</v>
          </cell>
          <cell r="M131" t="str">
            <v>Facebook</v>
          </cell>
          <cell r="N131">
            <v>1055.72</v>
          </cell>
        </row>
        <row r="132">
          <cell r="A132" t="str">
            <v>ORD200130</v>
          </cell>
          <cell r="B132">
            <v>45679</v>
          </cell>
          <cell r="C132" t="str">
            <v>C29059</v>
          </cell>
          <cell r="D132" t="str">
            <v>Desk</v>
          </cell>
          <cell r="E132">
            <v>3</v>
          </cell>
          <cell r="F132">
            <v>501.3</v>
          </cell>
          <cell r="G132" t="str">
            <v>513 Main St</v>
          </cell>
          <cell r="H132" t="str">
            <v>Online</v>
          </cell>
          <cell r="I132" t="str">
            <v>Cancelled</v>
          </cell>
          <cell r="J132" t="str">
            <v>TRK88360704</v>
          </cell>
          <cell r="K132">
            <v>3</v>
          </cell>
          <cell r="L132" t="str">
            <v>WINTER15</v>
          </cell>
          <cell r="M132" t="str">
            <v>Facebook</v>
          </cell>
          <cell r="N132">
            <v>1503.9</v>
          </cell>
        </row>
        <row r="133">
          <cell r="A133" t="str">
            <v>ORD200131</v>
          </cell>
          <cell r="B133">
            <v>44934</v>
          </cell>
          <cell r="C133" t="str">
            <v>C72862</v>
          </cell>
          <cell r="D133" t="str">
            <v>Tablet</v>
          </cell>
          <cell r="E133">
            <v>1</v>
          </cell>
          <cell r="F133">
            <v>84.8</v>
          </cell>
          <cell r="G133" t="str">
            <v>606 Main St</v>
          </cell>
          <cell r="H133" t="str">
            <v>Gift Card</v>
          </cell>
          <cell r="I133" t="str">
            <v>Pending</v>
          </cell>
          <cell r="J133" t="str">
            <v>TRK51648833</v>
          </cell>
          <cell r="K133">
            <v>5</v>
          </cell>
          <cell r="L133" t="str">
            <v>No Coupon</v>
          </cell>
          <cell r="M133" t="str">
            <v>Instagram</v>
          </cell>
          <cell r="N133">
            <v>84.8</v>
          </cell>
        </row>
        <row r="134">
          <cell r="A134" t="str">
            <v>ORD200132</v>
          </cell>
          <cell r="B134">
            <v>45013</v>
          </cell>
          <cell r="C134" t="str">
            <v>C96257</v>
          </cell>
          <cell r="D134" t="str">
            <v>Tablet</v>
          </cell>
          <cell r="E134">
            <v>4</v>
          </cell>
          <cell r="F134">
            <v>450.75</v>
          </cell>
          <cell r="G134" t="str">
            <v>583 Main St</v>
          </cell>
          <cell r="H134" t="str">
            <v>Credit Card</v>
          </cell>
          <cell r="I134" t="str">
            <v>Shipped</v>
          </cell>
          <cell r="J134" t="str">
            <v>TRK13137948</v>
          </cell>
          <cell r="K134">
            <v>6</v>
          </cell>
          <cell r="L134" t="str">
            <v>WINTER15</v>
          </cell>
          <cell r="M134" t="str">
            <v>Email</v>
          </cell>
          <cell r="N134">
            <v>1803</v>
          </cell>
        </row>
        <row r="135">
          <cell r="A135" t="str">
            <v>ORD200133</v>
          </cell>
          <cell r="B135">
            <v>45828</v>
          </cell>
          <cell r="C135" t="str">
            <v>C87432</v>
          </cell>
          <cell r="D135" t="str">
            <v>Chair</v>
          </cell>
          <cell r="E135">
            <v>4</v>
          </cell>
          <cell r="F135">
            <v>302.05</v>
          </cell>
          <cell r="G135" t="str">
            <v>636 Main St</v>
          </cell>
          <cell r="H135" t="str">
            <v>Debit Card</v>
          </cell>
          <cell r="I135" t="str">
            <v>Cancelled</v>
          </cell>
          <cell r="J135" t="str">
            <v>TRK68969625</v>
          </cell>
          <cell r="K135">
            <v>6</v>
          </cell>
          <cell r="L135" t="str">
            <v>SAVE10</v>
          </cell>
          <cell r="M135" t="str">
            <v>Google</v>
          </cell>
          <cell r="N135">
            <v>1208.2</v>
          </cell>
        </row>
        <row r="136">
          <cell r="A136" t="str">
            <v>ORD200134</v>
          </cell>
          <cell r="B136">
            <v>45831</v>
          </cell>
          <cell r="C136" t="str">
            <v>C16253</v>
          </cell>
          <cell r="D136" t="str">
            <v>Laptop</v>
          </cell>
          <cell r="E136">
            <v>2</v>
          </cell>
          <cell r="F136">
            <v>199.7</v>
          </cell>
          <cell r="G136" t="str">
            <v>583 Main St</v>
          </cell>
          <cell r="H136" t="str">
            <v>Cash</v>
          </cell>
          <cell r="I136" t="str">
            <v>Pending</v>
          </cell>
          <cell r="J136" t="str">
            <v>TRK17354894</v>
          </cell>
          <cell r="K136">
            <v>4</v>
          </cell>
          <cell r="L136" t="str">
            <v>No Coupon</v>
          </cell>
          <cell r="M136" t="str">
            <v>Email</v>
          </cell>
          <cell r="N136">
            <v>399.4</v>
          </cell>
        </row>
        <row r="137">
          <cell r="A137" t="str">
            <v>ORD200135</v>
          </cell>
          <cell r="B137">
            <v>45142</v>
          </cell>
          <cell r="C137" t="str">
            <v>C79909</v>
          </cell>
          <cell r="D137" t="str">
            <v>Printer</v>
          </cell>
          <cell r="E137">
            <v>2</v>
          </cell>
          <cell r="F137">
            <v>68.81</v>
          </cell>
          <cell r="G137" t="str">
            <v>642 Main St</v>
          </cell>
          <cell r="H137" t="str">
            <v>Gift Card</v>
          </cell>
          <cell r="I137" t="str">
            <v>Shipped</v>
          </cell>
          <cell r="J137" t="str">
            <v>TRK86742257</v>
          </cell>
          <cell r="K137">
            <v>5</v>
          </cell>
          <cell r="L137" t="str">
            <v>SAVE10</v>
          </cell>
          <cell r="M137" t="str">
            <v>Referral</v>
          </cell>
          <cell r="N137">
            <v>137.62</v>
          </cell>
        </row>
        <row r="138">
          <cell r="A138" t="str">
            <v>ORD200136</v>
          </cell>
          <cell r="B138">
            <v>45409</v>
          </cell>
          <cell r="C138" t="str">
            <v>C73370</v>
          </cell>
          <cell r="D138" t="str">
            <v>Laptop</v>
          </cell>
          <cell r="E138">
            <v>1</v>
          </cell>
          <cell r="F138">
            <v>44.35</v>
          </cell>
          <cell r="G138" t="str">
            <v>595 Main St</v>
          </cell>
          <cell r="H138" t="str">
            <v>Gift Card</v>
          </cell>
          <cell r="I138" t="str">
            <v>Cancelled</v>
          </cell>
          <cell r="J138" t="str">
            <v>TRK67820278</v>
          </cell>
          <cell r="K138">
            <v>1</v>
          </cell>
          <cell r="L138" t="str">
            <v>SAVE10</v>
          </cell>
          <cell r="M138" t="str">
            <v>Instagram</v>
          </cell>
          <cell r="N138">
            <v>44.35</v>
          </cell>
        </row>
        <row r="139">
          <cell r="A139" t="str">
            <v>ORD200137</v>
          </cell>
          <cell r="B139">
            <v>45622</v>
          </cell>
          <cell r="C139" t="str">
            <v>C50682</v>
          </cell>
          <cell r="D139" t="str">
            <v>Monitor</v>
          </cell>
          <cell r="E139">
            <v>2</v>
          </cell>
          <cell r="F139">
            <v>250.98</v>
          </cell>
          <cell r="G139" t="str">
            <v>598 Main St</v>
          </cell>
          <cell r="H139" t="str">
            <v>Credit Card</v>
          </cell>
          <cell r="I139" t="str">
            <v>Delivered</v>
          </cell>
          <cell r="J139" t="str">
            <v>TRK12242337</v>
          </cell>
          <cell r="K139">
            <v>5</v>
          </cell>
          <cell r="L139" t="str">
            <v>No Coupon</v>
          </cell>
          <cell r="M139" t="str">
            <v>Google</v>
          </cell>
          <cell r="N139">
            <v>501.96</v>
          </cell>
        </row>
        <row r="140">
          <cell r="A140" t="str">
            <v>ORD200138</v>
          </cell>
          <cell r="B140">
            <v>45281</v>
          </cell>
          <cell r="C140" t="str">
            <v>C21905</v>
          </cell>
          <cell r="D140" t="str">
            <v>Tablet</v>
          </cell>
          <cell r="E140">
            <v>1</v>
          </cell>
          <cell r="F140">
            <v>298.06</v>
          </cell>
          <cell r="G140" t="str">
            <v>478 Main St</v>
          </cell>
          <cell r="H140" t="str">
            <v>Debit Card</v>
          </cell>
          <cell r="I140" t="str">
            <v>Pending</v>
          </cell>
          <cell r="J140" t="str">
            <v>TRK31863841</v>
          </cell>
          <cell r="K140">
            <v>3</v>
          </cell>
          <cell r="L140" t="str">
            <v>WINTER15</v>
          </cell>
          <cell r="M140" t="str">
            <v>Google</v>
          </cell>
          <cell r="N140">
            <v>298.06</v>
          </cell>
        </row>
        <row r="141">
          <cell r="A141" t="str">
            <v>ORD200139</v>
          </cell>
          <cell r="B141">
            <v>45026</v>
          </cell>
          <cell r="C141" t="str">
            <v>C61440</v>
          </cell>
          <cell r="D141" t="str">
            <v>Phone</v>
          </cell>
          <cell r="E141">
            <v>1</v>
          </cell>
          <cell r="F141">
            <v>583.9</v>
          </cell>
          <cell r="G141" t="str">
            <v>714 Main St</v>
          </cell>
          <cell r="H141" t="str">
            <v>Cash</v>
          </cell>
          <cell r="I141" t="str">
            <v>Returned</v>
          </cell>
          <cell r="J141" t="str">
            <v>TRK33114521</v>
          </cell>
          <cell r="K141">
            <v>1</v>
          </cell>
          <cell r="L141" t="str">
            <v>No Coupon</v>
          </cell>
          <cell r="M141" t="str">
            <v>Email</v>
          </cell>
          <cell r="N141">
            <v>583.9</v>
          </cell>
        </row>
        <row r="142">
          <cell r="A142" t="str">
            <v>ORD200140</v>
          </cell>
          <cell r="B142">
            <v>45808</v>
          </cell>
          <cell r="C142" t="str">
            <v>C33110</v>
          </cell>
          <cell r="D142" t="str">
            <v>Chair</v>
          </cell>
          <cell r="E142">
            <v>3</v>
          </cell>
          <cell r="F142">
            <v>528.14</v>
          </cell>
          <cell r="G142" t="str">
            <v>388 Main St</v>
          </cell>
          <cell r="H142" t="str">
            <v>Online</v>
          </cell>
          <cell r="I142" t="str">
            <v>Delivered</v>
          </cell>
          <cell r="J142" t="str">
            <v>TRK38624225</v>
          </cell>
          <cell r="K142">
            <v>3</v>
          </cell>
          <cell r="L142" t="str">
            <v>FREESHIP</v>
          </cell>
          <cell r="M142" t="str">
            <v>Email</v>
          </cell>
          <cell r="N142">
            <v>1584.42</v>
          </cell>
        </row>
        <row r="143">
          <cell r="A143" t="str">
            <v>ORD200141</v>
          </cell>
          <cell r="B143">
            <v>45248</v>
          </cell>
          <cell r="C143" t="str">
            <v>C80004</v>
          </cell>
          <cell r="D143" t="str">
            <v>Printer</v>
          </cell>
          <cell r="E143">
            <v>3</v>
          </cell>
          <cell r="F143">
            <v>684.14</v>
          </cell>
          <cell r="G143" t="str">
            <v>151 Main St</v>
          </cell>
          <cell r="H143" t="str">
            <v>Cash</v>
          </cell>
          <cell r="I143" t="str">
            <v>Cancelled</v>
          </cell>
          <cell r="J143" t="str">
            <v>TRK66230753</v>
          </cell>
          <cell r="K143">
            <v>3</v>
          </cell>
          <cell r="L143" t="str">
            <v>WINTER15</v>
          </cell>
          <cell r="M143" t="str">
            <v>Instagram</v>
          </cell>
          <cell r="N143">
            <v>2052.42</v>
          </cell>
        </row>
        <row r="144">
          <cell r="A144" t="str">
            <v>ORD200142</v>
          </cell>
          <cell r="B144">
            <v>45175</v>
          </cell>
          <cell r="C144" t="str">
            <v>C86374</v>
          </cell>
          <cell r="D144" t="str">
            <v>Desk</v>
          </cell>
          <cell r="E144">
            <v>5</v>
          </cell>
          <cell r="F144">
            <v>272.77</v>
          </cell>
          <cell r="G144" t="str">
            <v>573 Main St</v>
          </cell>
          <cell r="H144" t="str">
            <v>Cash</v>
          </cell>
          <cell r="I144" t="str">
            <v>Pending</v>
          </cell>
          <cell r="J144" t="str">
            <v>TRK79451491</v>
          </cell>
          <cell r="K144">
            <v>7</v>
          </cell>
          <cell r="L144" t="str">
            <v>WINTER15</v>
          </cell>
          <cell r="M144" t="str">
            <v>Email</v>
          </cell>
          <cell r="N144">
            <v>1363.85</v>
          </cell>
        </row>
        <row r="145">
          <cell r="A145" t="str">
            <v>ORD200143</v>
          </cell>
          <cell r="B145">
            <v>45456</v>
          </cell>
          <cell r="C145" t="str">
            <v>C66521</v>
          </cell>
          <cell r="D145" t="str">
            <v>Chair</v>
          </cell>
          <cell r="E145">
            <v>4</v>
          </cell>
          <cell r="F145">
            <v>400.07</v>
          </cell>
          <cell r="G145" t="str">
            <v>933 Main St</v>
          </cell>
          <cell r="H145" t="str">
            <v>Online</v>
          </cell>
          <cell r="I145" t="str">
            <v>Shipped</v>
          </cell>
          <cell r="J145" t="str">
            <v>TRK34654244</v>
          </cell>
          <cell r="K145">
            <v>5</v>
          </cell>
          <cell r="L145" t="str">
            <v>No Coupon</v>
          </cell>
          <cell r="M145" t="str">
            <v>Referral</v>
          </cell>
          <cell r="N145">
            <v>1600.28</v>
          </cell>
        </row>
        <row r="146">
          <cell r="A146" t="str">
            <v>ORD200144</v>
          </cell>
          <cell r="B146">
            <v>45142</v>
          </cell>
          <cell r="C146" t="str">
            <v>C63365</v>
          </cell>
          <cell r="D146" t="str">
            <v>Desk</v>
          </cell>
          <cell r="E146">
            <v>5</v>
          </cell>
          <cell r="F146">
            <v>219.78</v>
          </cell>
          <cell r="G146" t="str">
            <v>895 Main St</v>
          </cell>
          <cell r="H146" t="str">
            <v>Credit Card</v>
          </cell>
          <cell r="I146" t="str">
            <v>Pending</v>
          </cell>
          <cell r="J146" t="str">
            <v>TRK80100887</v>
          </cell>
          <cell r="K146">
            <v>8</v>
          </cell>
          <cell r="L146" t="str">
            <v>No Coupon</v>
          </cell>
          <cell r="M146" t="str">
            <v>Facebook</v>
          </cell>
          <cell r="N146">
            <v>1098.9000000000001</v>
          </cell>
        </row>
        <row r="147">
          <cell r="A147" t="str">
            <v>ORD200145</v>
          </cell>
          <cell r="B147">
            <v>45353</v>
          </cell>
          <cell r="C147" t="str">
            <v>C85929</v>
          </cell>
          <cell r="D147" t="str">
            <v>Printer</v>
          </cell>
          <cell r="E147">
            <v>3</v>
          </cell>
          <cell r="F147">
            <v>146.91</v>
          </cell>
          <cell r="G147" t="str">
            <v>798 Main St</v>
          </cell>
          <cell r="H147" t="str">
            <v>Credit Card</v>
          </cell>
          <cell r="I147" t="str">
            <v>Delivered</v>
          </cell>
          <cell r="J147" t="str">
            <v>TRK29318610</v>
          </cell>
          <cell r="K147">
            <v>6</v>
          </cell>
          <cell r="L147" t="str">
            <v>FREESHIP</v>
          </cell>
          <cell r="M147" t="str">
            <v>Google</v>
          </cell>
          <cell r="N147">
            <v>440.73</v>
          </cell>
        </row>
        <row r="148">
          <cell r="A148" t="str">
            <v>ORD200146</v>
          </cell>
          <cell r="B148">
            <v>45777</v>
          </cell>
          <cell r="C148" t="str">
            <v>C84645</v>
          </cell>
          <cell r="D148" t="str">
            <v>Tablet</v>
          </cell>
          <cell r="E148">
            <v>2</v>
          </cell>
          <cell r="F148">
            <v>411.49</v>
          </cell>
          <cell r="G148" t="str">
            <v>404 Main St</v>
          </cell>
          <cell r="H148" t="str">
            <v>Credit Card</v>
          </cell>
          <cell r="I148" t="str">
            <v>Returned</v>
          </cell>
          <cell r="J148" t="str">
            <v>TRK68893369</v>
          </cell>
          <cell r="K148">
            <v>4</v>
          </cell>
          <cell r="L148" t="str">
            <v>No Coupon</v>
          </cell>
          <cell r="M148" t="str">
            <v>Instagram</v>
          </cell>
          <cell r="N148">
            <v>822.98</v>
          </cell>
        </row>
        <row r="149">
          <cell r="A149" t="str">
            <v>ORD200147</v>
          </cell>
          <cell r="B149">
            <v>45783</v>
          </cell>
          <cell r="C149" t="str">
            <v>C46316</v>
          </cell>
          <cell r="D149" t="str">
            <v>Laptop</v>
          </cell>
          <cell r="E149">
            <v>2</v>
          </cell>
          <cell r="F149">
            <v>465.18</v>
          </cell>
          <cell r="G149" t="str">
            <v>893 Main St</v>
          </cell>
          <cell r="H149" t="str">
            <v>Credit Card</v>
          </cell>
          <cell r="I149" t="str">
            <v>Cancelled</v>
          </cell>
          <cell r="J149" t="str">
            <v>TRK16196000</v>
          </cell>
          <cell r="K149">
            <v>2</v>
          </cell>
          <cell r="L149" t="str">
            <v>SAVE10</v>
          </cell>
          <cell r="M149" t="str">
            <v>Google</v>
          </cell>
          <cell r="N149">
            <v>930.36</v>
          </cell>
        </row>
        <row r="150">
          <cell r="A150" t="str">
            <v>ORD200148</v>
          </cell>
          <cell r="B150">
            <v>45641</v>
          </cell>
          <cell r="C150" t="str">
            <v>C35100</v>
          </cell>
          <cell r="D150" t="str">
            <v>Phone</v>
          </cell>
          <cell r="E150">
            <v>2</v>
          </cell>
          <cell r="F150">
            <v>319.91000000000003</v>
          </cell>
          <cell r="G150" t="str">
            <v>139 Main St</v>
          </cell>
          <cell r="H150" t="str">
            <v>Credit Card</v>
          </cell>
          <cell r="I150" t="str">
            <v>Cancelled</v>
          </cell>
          <cell r="J150" t="str">
            <v>TRK56853491</v>
          </cell>
          <cell r="K150">
            <v>3</v>
          </cell>
          <cell r="L150" t="str">
            <v>WINTER15</v>
          </cell>
          <cell r="M150" t="str">
            <v>Google</v>
          </cell>
          <cell r="N150">
            <v>639.82000000000005</v>
          </cell>
        </row>
        <row r="151">
          <cell r="A151" t="str">
            <v>ORD200149</v>
          </cell>
          <cell r="B151">
            <v>45287</v>
          </cell>
          <cell r="C151" t="str">
            <v>C39671</v>
          </cell>
          <cell r="D151" t="str">
            <v>Laptop</v>
          </cell>
          <cell r="E151">
            <v>1</v>
          </cell>
          <cell r="F151">
            <v>217.56</v>
          </cell>
          <cell r="G151" t="str">
            <v>174 Main St</v>
          </cell>
          <cell r="H151" t="str">
            <v>Debit Card</v>
          </cell>
          <cell r="I151" t="str">
            <v>Delivered</v>
          </cell>
          <cell r="J151" t="str">
            <v>TRK47153818</v>
          </cell>
          <cell r="K151">
            <v>3</v>
          </cell>
          <cell r="L151" t="str">
            <v>No Coupon</v>
          </cell>
          <cell r="M151" t="str">
            <v>Facebook</v>
          </cell>
          <cell r="N151">
            <v>217.56</v>
          </cell>
        </row>
        <row r="152">
          <cell r="A152" t="str">
            <v>ORD200150</v>
          </cell>
          <cell r="B152">
            <v>45273</v>
          </cell>
          <cell r="C152" t="str">
            <v>C25503</v>
          </cell>
          <cell r="D152" t="str">
            <v>Phone</v>
          </cell>
          <cell r="E152">
            <v>2</v>
          </cell>
          <cell r="F152">
            <v>105.57</v>
          </cell>
          <cell r="G152" t="str">
            <v>981 Main St</v>
          </cell>
          <cell r="H152" t="str">
            <v>Debit Card</v>
          </cell>
          <cell r="I152" t="str">
            <v>Returned</v>
          </cell>
          <cell r="J152" t="str">
            <v>TRK29878837</v>
          </cell>
          <cell r="K152">
            <v>5</v>
          </cell>
          <cell r="L152" t="str">
            <v>WINTER15</v>
          </cell>
          <cell r="M152" t="str">
            <v>Google</v>
          </cell>
          <cell r="N152">
            <v>211.14</v>
          </cell>
        </row>
        <row r="153">
          <cell r="A153" t="str">
            <v>ORD200151</v>
          </cell>
          <cell r="B153">
            <v>45261</v>
          </cell>
          <cell r="C153" t="str">
            <v>C32960</v>
          </cell>
          <cell r="D153" t="str">
            <v>Printer</v>
          </cell>
          <cell r="E153">
            <v>5</v>
          </cell>
          <cell r="F153">
            <v>444.76</v>
          </cell>
          <cell r="G153" t="str">
            <v>947 Main St</v>
          </cell>
          <cell r="H153" t="str">
            <v>Debit Card</v>
          </cell>
          <cell r="I153" t="str">
            <v>Returned</v>
          </cell>
          <cell r="J153" t="str">
            <v>TRK91226500</v>
          </cell>
          <cell r="K153">
            <v>7</v>
          </cell>
          <cell r="L153" t="str">
            <v>No Coupon</v>
          </cell>
          <cell r="M153" t="str">
            <v>Email</v>
          </cell>
          <cell r="N153">
            <v>2223.8000000000002</v>
          </cell>
        </row>
        <row r="154">
          <cell r="A154" t="str">
            <v>ORD200152</v>
          </cell>
          <cell r="B154">
            <v>45659</v>
          </cell>
          <cell r="C154" t="str">
            <v>C77736</v>
          </cell>
          <cell r="D154" t="str">
            <v>Chair</v>
          </cell>
          <cell r="E154">
            <v>2</v>
          </cell>
          <cell r="F154">
            <v>399.04</v>
          </cell>
          <cell r="G154" t="str">
            <v>659 Main St</v>
          </cell>
          <cell r="H154" t="str">
            <v>Cash</v>
          </cell>
          <cell r="I154" t="str">
            <v>Cancelled</v>
          </cell>
          <cell r="J154" t="str">
            <v>TRK90329250</v>
          </cell>
          <cell r="K154">
            <v>3</v>
          </cell>
          <cell r="L154" t="str">
            <v>FREESHIP</v>
          </cell>
          <cell r="M154" t="str">
            <v>Referral</v>
          </cell>
          <cell r="N154">
            <v>798.08</v>
          </cell>
        </row>
        <row r="155">
          <cell r="A155" t="str">
            <v>ORD200153</v>
          </cell>
          <cell r="B155">
            <v>45644</v>
          </cell>
          <cell r="C155" t="str">
            <v>C71570</v>
          </cell>
          <cell r="D155" t="str">
            <v>Chair</v>
          </cell>
          <cell r="E155">
            <v>4</v>
          </cell>
          <cell r="F155">
            <v>534.48</v>
          </cell>
          <cell r="G155" t="str">
            <v>437 Main St</v>
          </cell>
          <cell r="H155" t="str">
            <v>Online</v>
          </cell>
          <cell r="I155" t="str">
            <v>Returned</v>
          </cell>
          <cell r="J155" t="str">
            <v>TRK95992269</v>
          </cell>
          <cell r="K155">
            <v>9</v>
          </cell>
          <cell r="L155" t="str">
            <v>WINTER15</v>
          </cell>
          <cell r="M155" t="str">
            <v>Instagram</v>
          </cell>
          <cell r="N155">
            <v>2137.92</v>
          </cell>
        </row>
        <row r="156">
          <cell r="A156" t="str">
            <v>ORD200154</v>
          </cell>
          <cell r="B156">
            <v>45127</v>
          </cell>
          <cell r="C156" t="str">
            <v>C73587</v>
          </cell>
          <cell r="D156" t="str">
            <v>Phone</v>
          </cell>
          <cell r="E156">
            <v>4</v>
          </cell>
          <cell r="F156">
            <v>408.21</v>
          </cell>
          <cell r="G156" t="str">
            <v>727 Main St</v>
          </cell>
          <cell r="H156" t="str">
            <v>Credit Card</v>
          </cell>
          <cell r="I156" t="str">
            <v>Pending</v>
          </cell>
          <cell r="J156" t="str">
            <v>TRK13955543</v>
          </cell>
          <cell r="K156">
            <v>9</v>
          </cell>
          <cell r="L156" t="str">
            <v>No Coupon</v>
          </cell>
          <cell r="M156" t="str">
            <v>Instagram</v>
          </cell>
          <cell r="N156">
            <v>1632.84</v>
          </cell>
        </row>
        <row r="157">
          <cell r="A157" t="str">
            <v>ORD200155</v>
          </cell>
          <cell r="B157">
            <v>44984</v>
          </cell>
          <cell r="C157" t="str">
            <v>C62740</v>
          </cell>
          <cell r="D157" t="str">
            <v>Phone</v>
          </cell>
          <cell r="E157">
            <v>1</v>
          </cell>
          <cell r="F157">
            <v>424.4</v>
          </cell>
          <cell r="G157" t="str">
            <v>446 Main St</v>
          </cell>
          <cell r="H157" t="str">
            <v>Online</v>
          </cell>
          <cell r="I157" t="str">
            <v>Shipped</v>
          </cell>
          <cell r="J157" t="str">
            <v>TRK20706408</v>
          </cell>
          <cell r="K157">
            <v>6</v>
          </cell>
          <cell r="L157" t="str">
            <v>WINTER15</v>
          </cell>
          <cell r="M157" t="str">
            <v>Referral</v>
          </cell>
          <cell r="N157">
            <v>424.4</v>
          </cell>
        </row>
        <row r="158">
          <cell r="A158" t="str">
            <v>ORD200156</v>
          </cell>
          <cell r="B158">
            <v>45604</v>
          </cell>
          <cell r="C158" t="str">
            <v>C58808</v>
          </cell>
          <cell r="D158" t="str">
            <v>Chair</v>
          </cell>
          <cell r="E158">
            <v>2</v>
          </cell>
          <cell r="F158">
            <v>269.83</v>
          </cell>
          <cell r="G158" t="str">
            <v>651 Main St</v>
          </cell>
          <cell r="H158" t="str">
            <v>Online</v>
          </cell>
          <cell r="I158" t="str">
            <v>Delivered</v>
          </cell>
          <cell r="J158" t="str">
            <v>TRK24451893</v>
          </cell>
          <cell r="K158">
            <v>4</v>
          </cell>
          <cell r="L158" t="str">
            <v>SAVE10</v>
          </cell>
          <cell r="M158" t="str">
            <v>Email</v>
          </cell>
          <cell r="N158">
            <v>539.66</v>
          </cell>
        </row>
        <row r="159">
          <cell r="A159" t="str">
            <v>ORD200157</v>
          </cell>
          <cell r="B159">
            <v>45709</v>
          </cell>
          <cell r="C159" t="str">
            <v>C50422</v>
          </cell>
          <cell r="D159" t="str">
            <v>Monitor</v>
          </cell>
          <cell r="E159">
            <v>2</v>
          </cell>
          <cell r="F159">
            <v>564.58000000000004</v>
          </cell>
          <cell r="G159" t="str">
            <v>636 Main St</v>
          </cell>
          <cell r="H159" t="str">
            <v>Online</v>
          </cell>
          <cell r="I159" t="str">
            <v>Returned</v>
          </cell>
          <cell r="J159" t="str">
            <v>TRK71227815</v>
          </cell>
          <cell r="K159">
            <v>4</v>
          </cell>
          <cell r="L159" t="str">
            <v>WINTER15</v>
          </cell>
          <cell r="M159" t="str">
            <v>Facebook</v>
          </cell>
          <cell r="N159">
            <v>1129.1600000000001</v>
          </cell>
        </row>
        <row r="160">
          <cell r="A160" t="str">
            <v>ORD200158</v>
          </cell>
          <cell r="B160">
            <v>45428</v>
          </cell>
          <cell r="C160" t="str">
            <v>C23334</v>
          </cell>
          <cell r="D160" t="str">
            <v>Tablet</v>
          </cell>
          <cell r="E160">
            <v>1</v>
          </cell>
          <cell r="F160">
            <v>331.06</v>
          </cell>
          <cell r="G160" t="str">
            <v>737 Main St</v>
          </cell>
          <cell r="H160" t="str">
            <v>Credit Card</v>
          </cell>
          <cell r="I160" t="str">
            <v>Pending</v>
          </cell>
          <cell r="J160" t="str">
            <v>TRK46335144</v>
          </cell>
          <cell r="K160">
            <v>5</v>
          </cell>
          <cell r="L160" t="str">
            <v>WINTER15</v>
          </cell>
          <cell r="M160" t="str">
            <v>Instagram</v>
          </cell>
          <cell r="N160">
            <v>331.06</v>
          </cell>
        </row>
        <row r="161">
          <cell r="A161" t="str">
            <v>ORD200159</v>
          </cell>
          <cell r="B161">
            <v>45230</v>
          </cell>
          <cell r="C161" t="str">
            <v>C48965</v>
          </cell>
          <cell r="D161" t="str">
            <v>Printer</v>
          </cell>
          <cell r="E161">
            <v>1</v>
          </cell>
          <cell r="F161">
            <v>299.35000000000002</v>
          </cell>
          <cell r="G161" t="str">
            <v>819 Main St</v>
          </cell>
          <cell r="H161" t="str">
            <v>Credit Card</v>
          </cell>
          <cell r="I161" t="str">
            <v>Cancelled</v>
          </cell>
          <cell r="J161" t="str">
            <v>TRK50921780</v>
          </cell>
          <cell r="K161">
            <v>5</v>
          </cell>
          <cell r="L161" t="str">
            <v>WINTER15</v>
          </cell>
          <cell r="M161" t="str">
            <v>Email</v>
          </cell>
          <cell r="N161">
            <v>299.35000000000002</v>
          </cell>
        </row>
        <row r="162">
          <cell r="A162" t="str">
            <v>ORD200160</v>
          </cell>
          <cell r="B162">
            <v>44974</v>
          </cell>
          <cell r="C162" t="str">
            <v>C38669</v>
          </cell>
          <cell r="D162" t="str">
            <v>Monitor</v>
          </cell>
          <cell r="E162">
            <v>4</v>
          </cell>
          <cell r="F162">
            <v>101.32</v>
          </cell>
          <cell r="G162" t="str">
            <v>240 Main St</v>
          </cell>
          <cell r="H162" t="str">
            <v>Cash</v>
          </cell>
          <cell r="I162" t="str">
            <v>Pending</v>
          </cell>
          <cell r="J162" t="str">
            <v>TRK81738254</v>
          </cell>
          <cell r="K162">
            <v>7</v>
          </cell>
          <cell r="L162" t="str">
            <v>No Coupon</v>
          </cell>
          <cell r="M162" t="str">
            <v>Referral</v>
          </cell>
          <cell r="N162">
            <v>405.28</v>
          </cell>
        </row>
        <row r="163">
          <cell r="A163" t="str">
            <v>ORD200161</v>
          </cell>
          <cell r="B163">
            <v>45380</v>
          </cell>
          <cell r="C163" t="str">
            <v>C35091</v>
          </cell>
          <cell r="D163" t="str">
            <v>Monitor</v>
          </cell>
          <cell r="E163">
            <v>1</v>
          </cell>
          <cell r="F163">
            <v>211.14</v>
          </cell>
          <cell r="G163" t="str">
            <v>513 Main St</v>
          </cell>
          <cell r="H163" t="str">
            <v>Credit Card</v>
          </cell>
          <cell r="I163" t="str">
            <v>Cancelled</v>
          </cell>
          <cell r="J163" t="str">
            <v>TRK53784452</v>
          </cell>
          <cell r="K163">
            <v>1</v>
          </cell>
          <cell r="L163" t="str">
            <v>SAVE10</v>
          </cell>
          <cell r="M163" t="str">
            <v>Facebook</v>
          </cell>
          <cell r="N163">
            <v>211.14</v>
          </cell>
        </row>
        <row r="164">
          <cell r="A164" t="str">
            <v>ORD200162</v>
          </cell>
          <cell r="B164">
            <v>45134</v>
          </cell>
          <cell r="C164" t="str">
            <v>C82313</v>
          </cell>
          <cell r="D164" t="str">
            <v>Chair</v>
          </cell>
          <cell r="E164">
            <v>3</v>
          </cell>
          <cell r="F164">
            <v>65.86</v>
          </cell>
          <cell r="G164" t="str">
            <v>917 Main St</v>
          </cell>
          <cell r="H164" t="str">
            <v>Online</v>
          </cell>
          <cell r="I164" t="str">
            <v>Pending</v>
          </cell>
          <cell r="J164" t="str">
            <v>TRK79854624</v>
          </cell>
          <cell r="K164">
            <v>8</v>
          </cell>
          <cell r="L164" t="str">
            <v>WINTER15</v>
          </cell>
          <cell r="M164" t="str">
            <v>Google</v>
          </cell>
          <cell r="N164">
            <v>197.57999999999998</v>
          </cell>
        </row>
        <row r="165">
          <cell r="A165" t="str">
            <v>ORD200163</v>
          </cell>
          <cell r="B165">
            <v>45832</v>
          </cell>
          <cell r="C165" t="str">
            <v>C99589</v>
          </cell>
          <cell r="D165" t="str">
            <v>Tablet</v>
          </cell>
          <cell r="E165">
            <v>1</v>
          </cell>
          <cell r="F165">
            <v>641.39</v>
          </cell>
          <cell r="G165" t="str">
            <v>277 Main St</v>
          </cell>
          <cell r="H165" t="str">
            <v>Online</v>
          </cell>
          <cell r="I165" t="str">
            <v>Cancelled</v>
          </cell>
          <cell r="J165" t="str">
            <v>TRK16695001</v>
          </cell>
          <cell r="K165">
            <v>1</v>
          </cell>
          <cell r="L165" t="str">
            <v>No Coupon</v>
          </cell>
          <cell r="M165" t="str">
            <v>Referral</v>
          </cell>
          <cell r="N165">
            <v>641.39</v>
          </cell>
        </row>
        <row r="166">
          <cell r="A166" t="str">
            <v>ORD200164</v>
          </cell>
          <cell r="B166">
            <v>45288</v>
          </cell>
          <cell r="C166" t="str">
            <v>C70566</v>
          </cell>
          <cell r="D166" t="str">
            <v>Desk</v>
          </cell>
          <cell r="E166">
            <v>5</v>
          </cell>
          <cell r="F166">
            <v>536.58000000000004</v>
          </cell>
          <cell r="G166" t="str">
            <v>667 Main St</v>
          </cell>
          <cell r="H166" t="str">
            <v>Gift Card</v>
          </cell>
          <cell r="I166" t="str">
            <v>Pending</v>
          </cell>
          <cell r="J166" t="str">
            <v>TRK49673411</v>
          </cell>
          <cell r="K166">
            <v>5</v>
          </cell>
          <cell r="L166" t="str">
            <v>SAVE10</v>
          </cell>
          <cell r="M166" t="str">
            <v>Google</v>
          </cell>
          <cell r="N166">
            <v>2682.9</v>
          </cell>
        </row>
        <row r="167">
          <cell r="A167" t="str">
            <v>ORD200165</v>
          </cell>
          <cell r="B167">
            <v>45549</v>
          </cell>
          <cell r="C167" t="str">
            <v>C60355</v>
          </cell>
          <cell r="D167" t="str">
            <v>Monitor</v>
          </cell>
          <cell r="E167">
            <v>2</v>
          </cell>
          <cell r="F167">
            <v>500.29</v>
          </cell>
          <cell r="G167" t="str">
            <v>226 Main St</v>
          </cell>
          <cell r="H167" t="str">
            <v>Online</v>
          </cell>
          <cell r="I167" t="str">
            <v>Returned</v>
          </cell>
          <cell r="J167" t="str">
            <v>TRK30155194</v>
          </cell>
          <cell r="K167">
            <v>7</v>
          </cell>
          <cell r="L167" t="str">
            <v>WINTER15</v>
          </cell>
          <cell r="M167" t="str">
            <v>Google</v>
          </cell>
          <cell r="N167">
            <v>1000.58</v>
          </cell>
        </row>
        <row r="168">
          <cell r="A168" t="str">
            <v>ORD200166</v>
          </cell>
          <cell r="B168">
            <v>45720</v>
          </cell>
          <cell r="C168" t="str">
            <v>C28889</v>
          </cell>
          <cell r="D168" t="str">
            <v>Chair</v>
          </cell>
          <cell r="E168">
            <v>3</v>
          </cell>
          <cell r="F168">
            <v>86.29</v>
          </cell>
          <cell r="G168" t="str">
            <v>565 Main St</v>
          </cell>
          <cell r="H168" t="str">
            <v>Cash</v>
          </cell>
          <cell r="I168" t="str">
            <v>Delivered</v>
          </cell>
          <cell r="J168" t="str">
            <v>TRK23791726</v>
          </cell>
          <cell r="K168">
            <v>6</v>
          </cell>
          <cell r="L168" t="str">
            <v>WINTER15</v>
          </cell>
          <cell r="M168" t="str">
            <v>Instagram</v>
          </cell>
          <cell r="N168">
            <v>258.87</v>
          </cell>
        </row>
        <row r="169">
          <cell r="A169" t="str">
            <v>ORD200167</v>
          </cell>
          <cell r="B169">
            <v>45073</v>
          </cell>
          <cell r="C169" t="str">
            <v>C88304</v>
          </cell>
          <cell r="D169" t="str">
            <v>Chair</v>
          </cell>
          <cell r="E169">
            <v>2</v>
          </cell>
          <cell r="F169">
            <v>384.14</v>
          </cell>
          <cell r="G169" t="str">
            <v>219 Main St</v>
          </cell>
          <cell r="H169" t="str">
            <v>Online</v>
          </cell>
          <cell r="I169" t="str">
            <v>Returned</v>
          </cell>
          <cell r="J169" t="str">
            <v>TRK44268941</v>
          </cell>
          <cell r="K169">
            <v>2</v>
          </cell>
          <cell r="L169" t="str">
            <v>WINTER15</v>
          </cell>
          <cell r="M169" t="str">
            <v>Email</v>
          </cell>
          <cell r="N169">
            <v>768.28</v>
          </cell>
        </row>
        <row r="170">
          <cell r="A170" t="str">
            <v>ORD200168</v>
          </cell>
          <cell r="B170">
            <v>45661</v>
          </cell>
          <cell r="C170" t="str">
            <v>C49517</v>
          </cell>
          <cell r="D170" t="str">
            <v>Printer</v>
          </cell>
          <cell r="E170">
            <v>1</v>
          </cell>
          <cell r="F170">
            <v>594.96</v>
          </cell>
          <cell r="G170" t="str">
            <v>878 Main St</v>
          </cell>
          <cell r="H170" t="str">
            <v>Cash</v>
          </cell>
          <cell r="I170" t="str">
            <v>Returned</v>
          </cell>
          <cell r="J170" t="str">
            <v>TRK78551375</v>
          </cell>
          <cell r="K170">
            <v>6</v>
          </cell>
          <cell r="L170" t="str">
            <v>No Coupon</v>
          </cell>
          <cell r="M170" t="str">
            <v>Facebook</v>
          </cell>
          <cell r="N170">
            <v>594.96</v>
          </cell>
        </row>
        <row r="171">
          <cell r="A171" t="str">
            <v>ORD200169</v>
          </cell>
          <cell r="B171">
            <v>45389</v>
          </cell>
          <cell r="C171" t="str">
            <v>C35785</v>
          </cell>
          <cell r="D171" t="str">
            <v>Printer</v>
          </cell>
          <cell r="E171">
            <v>1</v>
          </cell>
          <cell r="F171">
            <v>427.82</v>
          </cell>
          <cell r="G171" t="str">
            <v>732 Main St</v>
          </cell>
          <cell r="H171" t="str">
            <v>Online</v>
          </cell>
          <cell r="I171" t="str">
            <v>Delivered</v>
          </cell>
          <cell r="J171" t="str">
            <v>TRK78923089</v>
          </cell>
          <cell r="K171">
            <v>2</v>
          </cell>
          <cell r="L171" t="str">
            <v>WINTER15</v>
          </cell>
          <cell r="M171" t="str">
            <v>Email</v>
          </cell>
          <cell r="N171">
            <v>427.82</v>
          </cell>
        </row>
        <row r="172">
          <cell r="A172" t="str">
            <v>ORD200170</v>
          </cell>
          <cell r="B172">
            <v>45751</v>
          </cell>
          <cell r="C172" t="str">
            <v>C80223</v>
          </cell>
          <cell r="D172" t="str">
            <v>Desk</v>
          </cell>
          <cell r="E172">
            <v>4</v>
          </cell>
          <cell r="F172">
            <v>662.94</v>
          </cell>
          <cell r="G172" t="str">
            <v>535 Main St</v>
          </cell>
          <cell r="H172" t="str">
            <v>Cash</v>
          </cell>
          <cell r="I172" t="str">
            <v>Cancelled</v>
          </cell>
          <cell r="J172" t="str">
            <v>TRK68632951</v>
          </cell>
          <cell r="K172">
            <v>8</v>
          </cell>
          <cell r="L172" t="str">
            <v>SAVE10</v>
          </cell>
          <cell r="M172" t="str">
            <v>Instagram</v>
          </cell>
          <cell r="N172">
            <v>2651.76</v>
          </cell>
        </row>
        <row r="173">
          <cell r="A173" t="str">
            <v>ORD200171</v>
          </cell>
          <cell r="B173">
            <v>45153</v>
          </cell>
          <cell r="C173" t="str">
            <v>C20448</v>
          </cell>
          <cell r="D173" t="str">
            <v>Tablet</v>
          </cell>
          <cell r="E173">
            <v>2</v>
          </cell>
          <cell r="F173">
            <v>148.22</v>
          </cell>
          <cell r="G173" t="str">
            <v>336 Main St</v>
          </cell>
          <cell r="H173" t="str">
            <v>Credit Card</v>
          </cell>
          <cell r="I173" t="str">
            <v>Delivered</v>
          </cell>
          <cell r="J173" t="str">
            <v>TRK67379895</v>
          </cell>
          <cell r="K173">
            <v>7</v>
          </cell>
          <cell r="L173" t="str">
            <v>WINTER15</v>
          </cell>
          <cell r="M173" t="str">
            <v>Instagram</v>
          </cell>
          <cell r="N173">
            <v>296.44</v>
          </cell>
        </row>
        <row r="174">
          <cell r="A174" t="str">
            <v>ORD200172</v>
          </cell>
          <cell r="B174">
            <v>45753</v>
          </cell>
          <cell r="C174" t="str">
            <v>C34134</v>
          </cell>
          <cell r="D174" t="str">
            <v>Printer</v>
          </cell>
          <cell r="E174">
            <v>1</v>
          </cell>
          <cell r="F174">
            <v>254.12</v>
          </cell>
          <cell r="G174" t="str">
            <v>365 Main St</v>
          </cell>
          <cell r="H174" t="str">
            <v>Online</v>
          </cell>
          <cell r="I174" t="str">
            <v>Delivered</v>
          </cell>
          <cell r="J174" t="str">
            <v>TRK43074303</v>
          </cell>
          <cell r="K174">
            <v>1</v>
          </cell>
          <cell r="L174" t="str">
            <v>WINTER15</v>
          </cell>
          <cell r="M174" t="str">
            <v>Email</v>
          </cell>
          <cell r="N174">
            <v>254.12</v>
          </cell>
        </row>
        <row r="175">
          <cell r="A175" t="str">
            <v>ORD200173</v>
          </cell>
          <cell r="B175">
            <v>45375</v>
          </cell>
          <cell r="C175" t="str">
            <v>C95901</v>
          </cell>
          <cell r="D175" t="str">
            <v>Phone</v>
          </cell>
          <cell r="E175">
            <v>3</v>
          </cell>
          <cell r="F175">
            <v>664.46</v>
          </cell>
          <cell r="G175" t="str">
            <v>806 Main St</v>
          </cell>
          <cell r="H175" t="str">
            <v>Online</v>
          </cell>
          <cell r="I175" t="str">
            <v>Delivered</v>
          </cell>
          <cell r="J175" t="str">
            <v>TRK56989066</v>
          </cell>
          <cell r="K175">
            <v>4</v>
          </cell>
          <cell r="L175" t="str">
            <v>FREESHIP</v>
          </cell>
          <cell r="M175" t="str">
            <v>Google</v>
          </cell>
          <cell r="N175">
            <v>1993.38</v>
          </cell>
        </row>
        <row r="176">
          <cell r="A176" t="str">
            <v>ORD200174</v>
          </cell>
          <cell r="B176">
            <v>45398</v>
          </cell>
          <cell r="C176" t="str">
            <v>C51145</v>
          </cell>
          <cell r="D176" t="str">
            <v>Printer</v>
          </cell>
          <cell r="E176">
            <v>4</v>
          </cell>
          <cell r="F176">
            <v>600.80999999999995</v>
          </cell>
          <cell r="G176" t="str">
            <v>790 Main St</v>
          </cell>
          <cell r="H176" t="str">
            <v>Debit Card</v>
          </cell>
          <cell r="I176" t="str">
            <v>Delivered</v>
          </cell>
          <cell r="J176" t="str">
            <v>TRK59154274</v>
          </cell>
          <cell r="K176">
            <v>9</v>
          </cell>
          <cell r="L176" t="str">
            <v>SAVE10</v>
          </cell>
          <cell r="M176" t="str">
            <v>Email</v>
          </cell>
          <cell r="N176">
            <v>2403.2399999999998</v>
          </cell>
        </row>
        <row r="177">
          <cell r="A177" t="str">
            <v>ORD200175</v>
          </cell>
          <cell r="B177">
            <v>45696</v>
          </cell>
          <cell r="C177" t="str">
            <v>C78170</v>
          </cell>
          <cell r="D177" t="str">
            <v>Chair</v>
          </cell>
          <cell r="E177">
            <v>5</v>
          </cell>
          <cell r="F177">
            <v>68.34</v>
          </cell>
          <cell r="G177" t="str">
            <v>332 Main St</v>
          </cell>
          <cell r="H177" t="str">
            <v>Debit Card</v>
          </cell>
          <cell r="I177" t="str">
            <v>Pending</v>
          </cell>
          <cell r="J177" t="str">
            <v>TRK71410605</v>
          </cell>
          <cell r="K177">
            <v>6</v>
          </cell>
          <cell r="L177" t="str">
            <v>WINTER15</v>
          </cell>
          <cell r="M177" t="str">
            <v>Referral</v>
          </cell>
          <cell r="N177">
            <v>341.70000000000005</v>
          </cell>
        </row>
        <row r="178">
          <cell r="A178" t="str">
            <v>ORD200176</v>
          </cell>
          <cell r="B178">
            <v>45836</v>
          </cell>
          <cell r="C178" t="str">
            <v>C80151</v>
          </cell>
          <cell r="D178" t="str">
            <v>Tablet</v>
          </cell>
          <cell r="E178">
            <v>4</v>
          </cell>
          <cell r="F178">
            <v>430.83</v>
          </cell>
          <cell r="G178" t="str">
            <v>553 Main St</v>
          </cell>
          <cell r="H178" t="str">
            <v>Gift Card</v>
          </cell>
          <cell r="I178" t="str">
            <v>Pending</v>
          </cell>
          <cell r="J178" t="str">
            <v>TRK88251529</v>
          </cell>
          <cell r="K178">
            <v>8</v>
          </cell>
          <cell r="L178" t="str">
            <v>WINTER15</v>
          </cell>
          <cell r="M178" t="str">
            <v>Referral</v>
          </cell>
          <cell r="N178">
            <v>1723.32</v>
          </cell>
        </row>
        <row r="179">
          <cell r="A179" t="str">
            <v>ORD200177</v>
          </cell>
          <cell r="B179">
            <v>45143</v>
          </cell>
          <cell r="C179" t="str">
            <v>C55632</v>
          </cell>
          <cell r="D179" t="str">
            <v>Chair</v>
          </cell>
          <cell r="E179">
            <v>5</v>
          </cell>
          <cell r="F179">
            <v>431.69</v>
          </cell>
          <cell r="G179" t="str">
            <v>354 Main St</v>
          </cell>
          <cell r="H179" t="str">
            <v>Credit Card</v>
          </cell>
          <cell r="I179" t="str">
            <v>Pending</v>
          </cell>
          <cell r="J179" t="str">
            <v>TRK13003066</v>
          </cell>
          <cell r="K179">
            <v>10</v>
          </cell>
          <cell r="L179" t="str">
            <v>No Coupon</v>
          </cell>
          <cell r="M179" t="str">
            <v>Facebook</v>
          </cell>
          <cell r="N179">
            <v>2158.4499999999998</v>
          </cell>
        </row>
        <row r="180">
          <cell r="A180" t="str">
            <v>ORD200178</v>
          </cell>
          <cell r="B180">
            <v>45393</v>
          </cell>
          <cell r="C180" t="str">
            <v>C53070</v>
          </cell>
          <cell r="D180" t="str">
            <v>Chair</v>
          </cell>
          <cell r="E180">
            <v>4</v>
          </cell>
          <cell r="F180">
            <v>512.05999999999995</v>
          </cell>
          <cell r="G180" t="str">
            <v>283 Main St</v>
          </cell>
          <cell r="H180" t="str">
            <v>Online</v>
          </cell>
          <cell r="I180" t="str">
            <v>Delivered</v>
          </cell>
          <cell r="J180" t="str">
            <v>TRK49791755</v>
          </cell>
          <cell r="K180">
            <v>5</v>
          </cell>
          <cell r="L180" t="str">
            <v>SAVE10</v>
          </cell>
          <cell r="M180" t="str">
            <v>Google</v>
          </cell>
          <cell r="N180">
            <v>2048.2399999999998</v>
          </cell>
        </row>
        <row r="181">
          <cell r="A181" t="str">
            <v>ORD200179</v>
          </cell>
          <cell r="B181">
            <v>45620</v>
          </cell>
          <cell r="C181" t="str">
            <v>C27401</v>
          </cell>
          <cell r="D181" t="str">
            <v>Laptop</v>
          </cell>
          <cell r="E181">
            <v>3</v>
          </cell>
          <cell r="F181">
            <v>539.91</v>
          </cell>
          <cell r="G181" t="str">
            <v>500 Main St</v>
          </cell>
          <cell r="H181" t="str">
            <v>Credit Card</v>
          </cell>
          <cell r="I181" t="str">
            <v>Delivered</v>
          </cell>
          <cell r="J181" t="str">
            <v>TRK14332053</v>
          </cell>
          <cell r="K181">
            <v>8</v>
          </cell>
          <cell r="L181" t="str">
            <v>No Coupon</v>
          </cell>
          <cell r="M181" t="str">
            <v>Email</v>
          </cell>
          <cell r="N181">
            <v>1619.73</v>
          </cell>
        </row>
        <row r="182">
          <cell r="A182" t="str">
            <v>ORD200180</v>
          </cell>
          <cell r="B182">
            <v>45003</v>
          </cell>
          <cell r="C182" t="str">
            <v>C87216</v>
          </cell>
          <cell r="D182" t="str">
            <v>Tablet</v>
          </cell>
          <cell r="E182">
            <v>5</v>
          </cell>
          <cell r="F182">
            <v>316.07</v>
          </cell>
          <cell r="G182" t="str">
            <v>970 Main St</v>
          </cell>
          <cell r="H182" t="str">
            <v>Cash</v>
          </cell>
          <cell r="I182" t="str">
            <v>Returned</v>
          </cell>
          <cell r="J182" t="str">
            <v>TRK18713727</v>
          </cell>
          <cell r="K182">
            <v>10</v>
          </cell>
          <cell r="L182" t="str">
            <v>No Coupon</v>
          </cell>
          <cell r="M182" t="str">
            <v>Google</v>
          </cell>
          <cell r="N182">
            <v>1580.35</v>
          </cell>
        </row>
        <row r="183">
          <cell r="A183" t="str">
            <v>ORD200181</v>
          </cell>
          <cell r="B183">
            <v>45535</v>
          </cell>
          <cell r="C183" t="str">
            <v>C38966</v>
          </cell>
          <cell r="D183" t="str">
            <v>Printer</v>
          </cell>
          <cell r="E183">
            <v>5</v>
          </cell>
          <cell r="F183">
            <v>404.39</v>
          </cell>
          <cell r="G183" t="str">
            <v>247 Main St</v>
          </cell>
          <cell r="H183" t="str">
            <v>Online</v>
          </cell>
          <cell r="I183" t="str">
            <v>Shipped</v>
          </cell>
          <cell r="J183" t="str">
            <v>TRK17205146</v>
          </cell>
          <cell r="K183">
            <v>10</v>
          </cell>
          <cell r="L183" t="str">
            <v>No Coupon</v>
          </cell>
          <cell r="M183" t="str">
            <v>Referral</v>
          </cell>
          <cell r="N183">
            <v>2021.9499999999998</v>
          </cell>
        </row>
        <row r="184">
          <cell r="A184" t="str">
            <v>ORD200182</v>
          </cell>
          <cell r="B184">
            <v>45735</v>
          </cell>
          <cell r="C184" t="str">
            <v>C16612</v>
          </cell>
          <cell r="D184" t="str">
            <v>Desk</v>
          </cell>
          <cell r="E184">
            <v>1</v>
          </cell>
          <cell r="F184">
            <v>600.54</v>
          </cell>
          <cell r="G184" t="str">
            <v>596 Main St</v>
          </cell>
          <cell r="H184" t="str">
            <v>Debit Card</v>
          </cell>
          <cell r="I184" t="str">
            <v>Pending</v>
          </cell>
          <cell r="J184" t="str">
            <v>TRK96188223</v>
          </cell>
          <cell r="K184">
            <v>4</v>
          </cell>
          <cell r="L184" t="str">
            <v>WINTER15</v>
          </cell>
          <cell r="M184" t="str">
            <v>Google</v>
          </cell>
          <cell r="N184">
            <v>600.54</v>
          </cell>
        </row>
        <row r="185">
          <cell r="A185" t="str">
            <v>ORD200183</v>
          </cell>
          <cell r="B185">
            <v>45400</v>
          </cell>
          <cell r="C185" t="str">
            <v>C39246</v>
          </cell>
          <cell r="D185" t="str">
            <v>Monitor</v>
          </cell>
          <cell r="E185">
            <v>5</v>
          </cell>
          <cell r="F185">
            <v>186.28</v>
          </cell>
          <cell r="G185" t="str">
            <v>258 Main St</v>
          </cell>
          <cell r="H185" t="str">
            <v>Debit Card</v>
          </cell>
          <cell r="I185" t="str">
            <v>Delivered</v>
          </cell>
          <cell r="J185" t="str">
            <v>TRK16658182</v>
          </cell>
          <cell r="K185">
            <v>8</v>
          </cell>
          <cell r="L185" t="str">
            <v>SAVE10</v>
          </cell>
          <cell r="M185" t="str">
            <v>Email</v>
          </cell>
          <cell r="N185">
            <v>931.4</v>
          </cell>
        </row>
        <row r="186">
          <cell r="A186" t="str">
            <v>ORD200184</v>
          </cell>
          <cell r="B186">
            <v>45386</v>
          </cell>
          <cell r="C186" t="str">
            <v>C65180</v>
          </cell>
          <cell r="D186" t="str">
            <v>Tablet</v>
          </cell>
          <cell r="E186">
            <v>4</v>
          </cell>
          <cell r="F186">
            <v>214.54</v>
          </cell>
          <cell r="G186" t="str">
            <v>231 Main St</v>
          </cell>
          <cell r="H186" t="str">
            <v>Gift Card</v>
          </cell>
          <cell r="I186" t="str">
            <v>Cancelled</v>
          </cell>
          <cell r="J186" t="str">
            <v>TRK39255469</v>
          </cell>
          <cell r="K186">
            <v>7</v>
          </cell>
          <cell r="L186" t="str">
            <v>No Coupon</v>
          </cell>
          <cell r="M186" t="str">
            <v>Referral</v>
          </cell>
          <cell r="N186">
            <v>858.16</v>
          </cell>
        </row>
        <row r="187">
          <cell r="A187" t="str">
            <v>ORD200185</v>
          </cell>
          <cell r="B187">
            <v>45690</v>
          </cell>
          <cell r="C187" t="str">
            <v>C46877</v>
          </cell>
          <cell r="D187" t="str">
            <v>Laptop</v>
          </cell>
          <cell r="E187">
            <v>1</v>
          </cell>
          <cell r="F187">
            <v>210.7</v>
          </cell>
          <cell r="G187" t="str">
            <v>572 Main St</v>
          </cell>
          <cell r="H187" t="str">
            <v>Online</v>
          </cell>
          <cell r="I187" t="str">
            <v>Shipped</v>
          </cell>
          <cell r="J187" t="str">
            <v>TRK96935978</v>
          </cell>
          <cell r="K187">
            <v>2</v>
          </cell>
          <cell r="L187" t="str">
            <v>WINTER15</v>
          </cell>
          <cell r="M187" t="str">
            <v>Referral</v>
          </cell>
          <cell r="N187">
            <v>210.7</v>
          </cell>
        </row>
        <row r="188">
          <cell r="A188" t="str">
            <v>ORD200186</v>
          </cell>
          <cell r="B188">
            <v>45267</v>
          </cell>
          <cell r="C188" t="str">
            <v>C30334</v>
          </cell>
          <cell r="D188" t="str">
            <v>Phone</v>
          </cell>
          <cell r="E188">
            <v>2</v>
          </cell>
          <cell r="F188">
            <v>133.55000000000001</v>
          </cell>
          <cell r="G188" t="str">
            <v>322 Main St</v>
          </cell>
          <cell r="H188" t="str">
            <v>Cash</v>
          </cell>
          <cell r="I188" t="str">
            <v>Pending</v>
          </cell>
          <cell r="J188" t="str">
            <v>TRK66388885</v>
          </cell>
          <cell r="K188">
            <v>7</v>
          </cell>
          <cell r="L188" t="str">
            <v>FREESHIP</v>
          </cell>
          <cell r="M188" t="str">
            <v>Facebook</v>
          </cell>
          <cell r="N188">
            <v>267.10000000000002</v>
          </cell>
        </row>
        <row r="189">
          <cell r="A189" t="str">
            <v>ORD200187</v>
          </cell>
          <cell r="B189">
            <v>44965</v>
          </cell>
          <cell r="C189" t="str">
            <v>C21227</v>
          </cell>
          <cell r="D189" t="str">
            <v>Chair</v>
          </cell>
          <cell r="E189">
            <v>1</v>
          </cell>
          <cell r="F189">
            <v>590.87</v>
          </cell>
          <cell r="G189" t="str">
            <v>689 Main St</v>
          </cell>
          <cell r="H189" t="str">
            <v>Gift Card</v>
          </cell>
          <cell r="I189" t="str">
            <v>Returned</v>
          </cell>
          <cell r="J189" t="str">
            <v>TRK79129657</v>
          </cell>
          <cell r="K189">
            <v>6</v>
          </cell>
          <cell r="L189" t="str">
            <v>FREESHIP</v>
          </cell>
          <cell r="M189" t="str">
            <v>Referral</v>
          </cell>
          <cell r="N189">
            <v>590.87</v>
          </cell>
        </row>
        <row r="190">
          <cell r="A190" t="str">
            <v>ORD200188</v>
          </cell>
          <cell r="B190">
            <v>45731</v>
          </cell>
          <cell r="C190" t="str">
            <v>C97715</v>
          </cell>
          <cell r="D190" t="str">
            <v>Chair</v>
          </cell>
          <cell r="E190">
            <v>2</v>
          </cell>
          <cell r="F190">
            <v>363.91</v>
          </cell>
          <cell r="G190" t="str">
            <v>927 Main St</v>
          </cell>
          <cell r="H190" t="str">
            <v>Gift Card</v>
          </cell>
          <cell r="I190" t="str">
            <v>Shipped</v>
          </cell>
          <cell r="J190" t="str">
            <v>TRK19515949</v>
          </cell>
          <cell r="K190">
            <v>2</v>
          </cell>
          <cell r="L190" t="str">
            <v>FREESHIP</v>
          </cell>
          <cell r="M190" t="str">
            <v>Referral</v>
          </cell>
          <cell r="N190">
            <v>727.82</v>
          </cell>
        </row>
        <row r="191">
          <cell r="A191" t="str">
            <v>ORD200189</v>
          </cell>
          <cell r="B191">
            <v>45112</v>
          </cell>
          <cell r="C191" t="str">
            <v>C48939</v>
          </cell>
          <cell r="D191" t="str">
            <v>Printer</v>
          </cell>
          <cell r="E191">
            <v>5</v>
          </cell>
          <cell r="F191">
            <v>429.45</v>
          </cell>
          <cell r="G191" t="str">
            <v>597 Main St</v>
          </cell>
          <cell r="H191" t="str">
            <v>Gift Card</v>
          </cell>
          <cell r="I191" t="str">
            <v>Cancelled</v>
          </cell>
          <cell r="J191" t="str">
            <v>TRK62786764</v>
          </cell>
          <cell r="K191">
            <v>5</v>
          </cell>
          <cell r="L191" t="str">
            <v>WINTER15</v>
          </cell>
          <cell r="M191" t="str">
            <v>Email</v>
          </cell>
          <cell r="N191">
            <v>2147.25</v>
          </cell>
        </row>
        <row r="192">
          <cell r="A192" t="str">
            <v>ORD200190</v>
          </cell>
          <cell r="B192">
            <v>45535</v>
          </cell>
          <cell r="C192" t="str">
            <v>C35483</v>
          </cell>
          <cell r="D192" t="str">
            <v>Printer</v>
          </cell>
          <cell r="E192">
            <v>3</v>
          </cell>
          <cell r="F192">
            <v>223.7</v>
          </cell>
          <cell r="G192" t="str">
            <v>725 Main St</v>
          </cell>
          <cell r="H192" t="str">
            <v>Cash</v>
          </cell>
          <cell r="I192" t="str">
            <v>Returned</v>
          </cell>
          <cell r="J192" t="str">
            <v>TRK79638203</v>
          </cell>
          <cell r="K192">
            <v>3</v>
          </cell>
          <cell r="L192" t="str">
            <v>SAVE10</v>
          </cell>
          <cell r="M192" t="str">
            <v>Email</v>
          </cell>
          <cell r="N192">
            <v>671.09999999999991</v>
          </cell>
        </row>
        <row r="193">
          <cell r="A193" t="str">
            <v>ORD200191</v>
          </cell>
          <cell r="B193">
            <v>45724</v>
          </cell>
          <cell r="C193" t="str">
            <v>C51494</v>
          </cell>
          <cell r="D193" t="str">
            <v>Laptop</v>
          </cell>
          <cell r="E193">
            <v>2</v>
          </cell>
          <cell r="F193">
            <v>488.87</v>
          </cell>
          <cell r="G193" t="str">
            <v>505 Main St</v>
          </cell>
          <cell r="H193" t="str">
            <v>Online</v>
          </cell>
          <cell r="I193" t="str">
            <v>Cancelled</v>
          </cell>
          <cell r="J193" t="str">
            <v>TRK58520306</v>
          </cell>
          <cell r="K193">
            <v>4</v>
          </cell>
          <cell r="L193" t="str">
            <v>FREESHIP</v>
          </cell>
          <cell r="M193" t="str">
            <v>Google</v>
          </cell>
          <cell r="N193">
            <v>977.74</v>
          </cell>
        </row>
        <row r="194">
          <cell r="A194" t="str">
            <v>ORD200192</v>
          </cell>
          <cell r="B194">
            <v>45149</v>
          </cell>
          <cell r="C194" t="str">
            <v>C58410</v>
          </cell>
          <cell r="D194" t="str">
            <v>Desk</v>
          </cell>
          <cell r="E194">
            <v>1</v>
          </cell>
          <cell r="F194">
            <v>645.46</v>
          </cell>
          <cell r="G194" t="str">
            <v>151 Main St</v>
          </cell>
          <cell r="H194" t="str">
            <v>Gift Card</v>
          </cell>
          <cell r="I194" t="str">
            <v>Cancelled</v>
          </cell>
          <cell r="J194" t="str">
            <v>TRK19749672</v>
          </cell>
          <cell r="K194">
            <v>5</v>
          </cell>
          <cell r="L194" t="str">
            <v>SAVE10</v>
          </cell>
          <cell r="M194" t="str">
            <v>Google</v>
          </cell>
          <cell r="N194">
            <v>645.46</v>
          </cell>
        </row>
        <row r="195">
          <cell r="A195" t="str">
            <v>ORD200193</v>
          </cell>
          <cell r="B195">
            <v>45128</v>
          </cell>
          <cell r="C195" t="str">
            <v>C11644</v>
          </cell>
          <cell r="D195" t="str">
            <v>Printer</v>
          </cell>
          <cell r="E195">
            <v>1</v>
          </cell>
          <cell r="F195">
            <v>46.66</v>
          </cell>
          <cell r="G195" t="str">
            <v>429 Main St</v>
          </cell>
          <cell r="H195" t="str">
            <v>Cash</v>
          </cell>
          <cell r="I195" t="str">
            <v>Cancelled</v>
          </cell>
          <cell r="J195" t="str">
            <v>TRK81320339</v>
          </cell>
          <cell r="K195">
            <v>6</v>
          </cell>
          <cell r="L195" t="str">
            <v>No Coupon</v>
          </cell>
          <cell r="M195" t="str">
            <v>Google</v>
          </cell>
          <cell r="N195">
            <v>46.66</v>
          </cell>
        </row>
        <row r="196">
          <cell r="A196" t="str">
            <v>ORD200194</v>
          </cell>
          <cell r="B196">
            <v>45451</v>
          </cell>
          <cell r="C196" t="str">
            <v>C53501</v>
          </cell>
          <cell r="D196" t="str">
            <v>Monitor</v>
          </cell>
          <cell r="E196">
            <v>1</v>
          </cell>
          <cell r="F196">
            <v>249.57</v>
          </cell>
          <cell r="G196" t="str">
            <v>899 Main St</v>
          </cell>
          <cell r="H196" t="str">
            <v>Cash</v>
          </cell>
          <cell r="I196" t="str">
            <v>Shipped</v>
          </cell>
          <cell r="J196" t="str">
            <v>TRK90144892</v>
          </cell>
          <cell r="K196">
            <v>3</v>
          </cell>
          <cell r="L196" t="str">
            <v>FREESHIP</v>
          </cell>
          <cell r="M196" t="str">
            <v>Google</v>
          </cell>
          <cell r="N196">
            <v>249.57</v>
          </cell>
        </row>
        <row r="197">
          <cell r="A197" t="str">
            <v>ORD200195</v>
          </cell>
          <cell r="B197">
            <v>45404</v>
          </cell>
          <cell r="C197" t="str">
            <v>C63619</v>
          </cell>
          <cell r="D197" t="str">
            <v>Chair</v>
          </cell>
          <cell r="E197">
            <v>3</v>
          </cell>
          <cell r="F197">
            <v>619.21</v>
          </cell>
          <cell r="G197" t="str">
            <v>801 Main St</v>
          </cell>
          <cell r="H197" t="str">
            <v>Debit Card</v>
          </cell>
          <cell r="I197" t="str">
            <v>Cancelled</v>
          </cell>
          <cell r="J197" t="str">
            <v>TRK65385674</v>
          </cell>
          <cell r="K197">
            <v>6</v>
          </cell>
          <cell r="L197" t="str">
            <v>No Coupon</v>
          </cell>
          <cell r="M197" t="str">
            <v>Email</v>
          </cell>
          <cell r="N197">
            <v>1857.63</v>
          </cell>
        </row>
        <row r="198">
          <cell r="A198" t="str">
            <v>ORD200196</v>
          </cell>
          <cell r="B198">
            <v>45681</v>
          </cell>
          <cell r="C198" t="str">
            <v>C40882</v>
          </cell>
          <cell r="D198" t="str">
            <v>Desk</v>
          </cell>
          <cell r="E198">
            <v>4</v>
          </cell>
          <cell r="F198">
            <v>217.13</v>
          </cell>
          <cell r="G198" t="str">
            <v>719 Main St</v>
          </cell>
          <cell r="H198" t="str">
            <v>Cash</v>
          </cell>
          <cell r="I198" t="str">
            <v>Delivered</v>
          </cell>
          <cell r="J198" t="str">
            <v>TRK64165503</v>
          </cell>
          <cell r="K198">
            <v>8</v>
          </cell>
          <cell r="L198" t="str">
            <v>WINTER15</v>
          </cell>
          <cell r="M198" t="str">
            <v>Email</v>
          </cell>
          <cell r="N198">
            <v>868.52</v>
          </cell>
        </row>
        <row r="199">
          <cell r="A199" t="str">
            <v>ORD200197</v>
          </cell>
          <cell r="B199">
            <v>45165</v>
          </cell>
          <cell r="C199" t="str">
            <v>C80135</v>
          </cell>
          <cell r="D199" t="str">
            <v>Laptop</v>
          </cell>
          <cell r="E199">
            <v>5</v>
          </cell>
          <cell r="F199">
            <v>221.51</v>
          </cell>
          <cell r="G199" t="str">
            <v>723 Main St</v>
          </cell>
          <cell r="H199" t="str">
            <v>Cash</v>
          </cell>
          <cell r="I199" t="str">
            <v>Returned</v>
          </cell>
          <cell r="J199" t="str">
            <v>TRK95222269</v>
          </cell>
          <cell r="K199">
            <v>5</v>
          </cell>
          <cell r="L199" t="str">
            <v>WINTER15</v>
          </cell>
          <cell r="M199" t="str">
            <v>Referral</v>
          </cell>
          <cell r="N199">
            <v>1107.55</v>
          </cell>
        </row>
        <row r="200">
          <cell r="A200" t="str">
            <v>ORD200198</v>
          </cell>
          <cell r="B200">
            <v>45454</v>
          </cell>
          <cell r="C200" t="str">
            <v>C37594</v>
          </cell>
          <cell r="D200" t="str">
            <v>Laptop</v>
          </cell>
          <cell r="E200">
            <v>4</v>
          </cell>
          <cell r="F200">
            <v>340.3</v>
          </cell>
          <cell r="G200" t="str">
            <v>926 Main St</v>
          </cell>
          <cell r="H200" t="str">
            <v>Cash</v>
          </cell>
          <cell r="I200" t="str">
            <v>Cancelled</v>
          </cell>
          <cell r="J200" t="str">
            <v>TRK94405162</v>
          </cell>
          <cell r="K200">
            <v>8</v>
          </cell>
          <cell r="L200" t="str">
            <v>SAVE10</v>
          </cell>
          <cell r="M200" t="str">
            <v>Referral</v>
          </cell>
          <cell r="N200">
            <v>1361.2</v>
          </cell>
        </row>
        <row r="201">
          <cell r="A201" t="str">
            <v>ORD200199</v>
          </cell>
          <cell r="B201">
            <v>45680</v>
          </cell>
          <cell r="C201" t="str">
            <v>C87524</v>
          </cell>
          <cell r="D201" t="str">
            <v>Phone</v>
          </cell>
          <cell r="E201">
            <v>1</v>
          </cell>
          <cell r="F201">
            <v>625</v>
          </cell>
          <cell r="G201" t="str">
            <v>358 Main St</v>
          </cell>
          <cell r="H201" t="str">
            <v>Online</v>
          </cell>
          <cell r="I201" t="str">
            <v>Returned</v>
          </cell>
          <cell r="J201" t="str">
            <v>TRK21114341</v>
          </cell>
          <cell r="K201">
            <v>5</v>
          </cell>
          <cell r="L201" t="str">
            <v>WINTER15</v>
          </cell>
          <cell r="M201" t="str">
            <v>Google</v>
          </cell>
          <cell r="N201">
            <v>625</v>
          </cell>
        </row>
        <row r="202">
          <cell r="A202" t="str">
            <v>ORD200200</v>
          </cell>
          <cell r="B202">
            <v>45815</v>
          </cell>
          <cell r="C202" t="str">
            <v>C97681</v>
          </cell>
          <cell r="D202" t="str">
            <v>Tablet</v>
          </cell>
          <cell r="E202">
            <v>5</v>
          </cell>
          <cell r="F202">
            <v>433.26</v>
          </cell>
          <cell r="G202" t="str">
            <v>895 Main St</v>
          </cell>
          <cell r="H202" t="str">
            <v>Credit Card</v>
          </cell>
          <cell r="I202" t="str">
            <v>Delivered</v>
          </cell>
          <cell r="J202" t="str">
            <v>TRK37531040</v>
          </cell>
          <cell r="K202">
            <v>9</v>
          </cell>
          <cell r="L202" t="str">
            <v>SAVE10</v>
          </cell>
          <cell r="M202" t="str">
            <v>Google</v>
          </cell>
          <cell r="N202">
            <v>2166.3000000000002</v>
          </cell>
        </row>
        <row r="203">
          <cell r="A203" t="str">
            <v>ORD200201</v>
          </cell>
          <cell r="B203">
            <v>45095</v>
          </cell>
          <cell r="C203" t="str">
            <v>C10126</v>
          </cell>
          <cell r="D203" t="str">
            <v>Monitor</v>
          </cell>
          <cell r="E203">
            <v>2</v>
          </cell>
          <cell r="F203">
            <v>674.9</v>
          </cell>
          <cell r="G203" t="str">
            <v>146 Main St</v>
          </cell>
          <cell r="H203" t="str">
            <v>Online</v>
          </cell>
          <cell r="I203" t="str">
            <v>Shipped</v>
          </cell>
          <cell r="J203" t="str">
            <v>TRK75607531</v>
          </cell>
          <cell r="K203">
            <v>4</v>
          </cell>
          <cell r="L203" t="str">
            <v>SAVE10</v>
          </cell>
          <cell r="M203" t="str">
            <v>Facebook</v>
          </cell>
          <cell r="N203">
            <v>1349.8</v>
          </cell>
        </row>
        <row r="204">
          <cell r="A204" t="str">
            <v>ORD200202</v>
          </cell>
          <cell r="B204">
            <v>45694</v>
          </cell>
          <cell r="C204" t="str">
            <v>C36938</v>
          </cell>
          <cell r="D204" t="str">
            <v>Monitor</v>
          </cell>
          <cell r="E204">
            <v>3</v>
          </cell>
          <cell r="F204">
            <v>253.98</v>
          </cell>
          <cell r="G204" t="str">
            <v>636 Main St</v>
          </cell>
          <cell r="H204" t="str">
            <v>Credit Card</v>
          </cell>
          <cell r="I204" t="str">
            <v>Cancelled</v>
          </cell>
          <cell r="J204" t="str">
            <v>TRK52522904</v>
          </cell>
          <cell r="K204">
            <v>3</v>
          </cell>
          <cell r="L204" t="str">
            <v>FREESHIP</v>
          </cell>
          <cell r="M204" t="str">
            <v>Email</v>
          </cell>
          <cell r="N204">
            <v>761.93999999999994</v>
          </cell>
        </row>
        <row r="205">
          <cell r="A205" t="str">
            <v>ORD200203</v>
          </cell>
          <cell r="B205">
            <v>45678</v>
          </cell>
          <cell r="C205" t="str">
            <v>C99173</v>
          </cell>
          <cell r="D205" t="str">
            <v>Printer</v>
          </cell>
          <cell r="E205">
            <v>3</v>
          </cell>
          <cell r="F205">
            <v>356.84</v>
          </cell>
          <cell r="G205" t="str">
            <v>172 Main St</v>
          </cell>
          <cell r="H205" t="str">
            <v>Online</v>
          </cell>
          <cell r="I205" t="str">
            <v>Shipped</v>
          </cell>
          <cell r="J205" t="str">
            <v>TRK89849342</v>
          </cell>
          <cell r="K205">
            <v>5</v>
          </cell>
          <cell r="L205" t="str">
            <v>SAVE10</v>
          </cell>
          <cell r="M205" t="str">
            <v>Instagram</v>
          </cell>
          <cell r="N205">
            <v>1070.52</v>
          </cell>
        </row>
        <row r="206">
          <cell r="A206" t="str">
            <v>ORD200204</v>
          </cell>
          <cell r="B206">
            <v>45174</v>
          </cell>
          <cell r="C206" t="str">
            <v>C99775</v>
          </cell>
          <cell r="D206" t="str">
            <v>Laptop</v>
          </cell>
          <cell r="E206">
            <v>4</v>
          </cell>
          <cell r="F206">
            <v>413.71</v>
          </cell>
          <cell r="G206" t="str">
            <v>478 Main St</v>
          </cell>
          <cell r="H206" t="str">
            <v>Gift Card</v>
          </cell>
          <cell r="I206" t="str">
            <v>Cancelled</v>
          </cell>
          <cell r="J206" t="str">
            <v>TRK21638425</v>
          </cell>
          <cell r="K206">
            <v>9</v>
          </cell>
          <cell r="L206" t="str">
            <v>FREESHIP</v>
          </cell>
          <cell r="M206" t="str">
            <v>Facebook</v>
          </cell>
          <cell r="N206">
            <v>1654.84</v>
          </cell>
        </row>
        <row r="207">
          <cell r="A207" t="str">
            <v>ORD200205</v>
          </cell>
          <cell r="B207">
            <v>44989</v>
          </cell>
          <cell r="C207" t="str">
            <v>C19266</v>
          </cell>
          <cell r="D207" t="str">
            <v>Desk</v>
          </cell>
          <cell r="E207">
            <v>3</v>
          </cell>
          <cell r="F207">
            <v>147.38999999999999</v>
          </cell>
          <cell r="G207" t="str">
            <v>609 Main St</v>
          </cell>
          <cell r="H207" t="str">
            <v>Debit Card</v>
          </cell>
          <cell r="I207" t="str">
            <v>Returned</v>
          </cell>
          <cell r="J207" t="str">
            <v>TRK58357269</v>
          </cell>
          <cell r="K207">
            <v>3</v>
          </cell>
          <cell r="L207" t="str">
            <v>No Coupon</v>
          </cell>
          <cell r="M207" t="str">
            <v>Email</v>
          </cell>
          <cell r="N207">
            <v>442.16999999999996</v>
          </cell>
        </row>
        <row r="208">
          <cell r="A208" t="str">
            <v>ORD200206</v>
          </cell>
          <cell r="B208">
            <v>45398</v>
          </cell>
          <cell r="C208" t="str">
            <v>C31072</v>
          </cell>
          <cell r="D208" t="str">
            <v>Laptop</v>
          </cell>
          <cell r="E208">
            <v>4</v>
          </cell>
          <cell r="F208">
            <v>229.1</v>
          </cell>
          <cell r="G208" t="str">
            <v>729 Main St</v>
          </cell>
          <cell r="H208" t="str">
            <v>Gift Card</v>
          </cell>
          <cell r="I208" t="str">
            <v>Returned</v>
          </cell>
          <cell r="J208" t="str">
            <v>TRK77172975</v>
          </cell>
          <cell r="K208">
            <v>8</v>
          </cell>
          <cell r="L208" t="str">
            <v>WINTER15</v>
          </cell>
          <cell r="M208" t="str">
            <v>Email</v>
          </cell>
          <cell r="N208">
            <v>916.4</v>
          </cell>
        </row>
        <row r="209">
          <cell r="A209" t="str">
            <v>ORD200207</v>
          </cell>
          <cell r="B209">
            <v>45734</v>
          </cell>
          <cell r="C209" t="str">
            <v>C54595</v>
          </cell>
          <cell r="D209" t="str">
            <v>Phone</v>
          </cell>
          <cell r="E209">
            <v>1</v>
          </cell>
          <cell r="F209">
            <v>121.96</v>
          </cell>
          <cell r="G209" t="str">
            <v>999 Main St</v>
          </cell>
          <cell r="H209" t="str">
            <v>Debit Card</v>
          </cell>
          <cell r="I209" t="str">
            <v>Delivered</v>
          </cell>
          <cell r="J209" t="str">
            <v>TRK44416659</v>
          </cell>
          <cell r="K209">
            <v>3</v>
          </cell>
          <cell r="L209" t="str">
            <v>No Coupon</v>
          </cell>
          <cell r="M209" t="str">
            <v>Google</v>
          </cell>
          <cell r="N209">
            <v>121.96</v>
          </cell>
        </row>
        <row r="210">
          <cell r="A210" t="str">
            <v>ORD200208</v>
          </cell>
          <cell r="B210">
            <v>45573</v>
          </cell>
          <cell r="C210" t="str">
            <v>C87777</v>
          </cell>
          <cell r="D210" t="str">
            <v>Desk</v>
          </cell>
          <cell r="E210">
            <v>2</v>
          </cell>
          <cell r="F210">
            <v>408.32</v>
          </cell>
          <cell r="G210" t="str">
            <v>597 Main St</v>
          </cell>
          <cell r="H210" t="str">
            <v>Online</v>
          </cell>
          <cell r="I210" t="str">
            <v>Shipped</v>
          </cell>
          <cell r="J210" t="str">
            <v>TRK29003608</v>
          </cell>
          <cell r="K210">
            <v>3</v>
          </cell>
          <cell r="L210" t="str">
            <v>FREESHIP</v>
          </cell>
          <cell r="M210" t="str">
            <v>Facebook</v>
          </cell>
          <cell r="N210">
            <v>816.64</v>
          </cell>
        </row>
        <row r="211">
          <cell r="A211" t="str">
            <v>ORD200209</v>
          </cell>
          <cell r="B211">
            <v>45167</v>
          </cell>
          <cell r="C211" t="str">
            <v>C35854</v>
          </cell>
          <cell r="D211" t="str">
            <v>Tablet</v>
          </cell>
          <cell r="E211">
            <v>5</v>
          </cell>
          <cell r="F211">
            <v>187.97</v>
          </cell>
          <cell r="G211" t="str">
            <v>706 Main St</v>
          </cell>
          <cell r="H211" t="str">
            <v>Cash</v>
          </cell>
          <cell r="I211" t="str">
            <v>Returned</v>
          </cell>
          <cell r="J211" t="str">
            <v>TRK30615168</v>
          </cell>
          <cell r="K211">
            <v>9</v>
          </cell>
          <cell r="L211" t="str">
            <v>SAVE10</v>
          </cell>
          <cell r="M211" t="str">
            <v>Google</v>
          </cell>
          <cell r="N211">
            <v>939.85</v>
          </cell>
        </row>
        <row r="212">
          <cell r="A212" t="str">
            <v>ORD200210</v>
          </cell>
          <cell r="B212">
            <v>45631</v>
          </cell>
          <cell r="C212" t="str">
            <v>C93821</v>
          </cell>
          <cell r="D212" t="str">
            <v>Chair</v>
          </cell>
          <cell r="E212">
            <v>3</v>
          </cell>
          <cell r="F212">
            <v>358.48</v>
          </cell>
          <cell r="G212" t="str">
            <v>513 Main St</v>
          </cell>
          <cell r="H212" t="str">
            <v>Gift Card</v>
          </cell>
          <cell r="I212" t="str">
            <v>Delivered</v>
          </cell>
          <cell r="J212" t="str">
            <v>TRK10658539</v>
          </cell>
          <cell r="K212">
            <v>7</v>
          </cell>
          <cell r="L212" t="str">
            <v>FREESHIP</v>
          </cell>
          <cell r="M212" t="str">
            <v>Facebook</v>
          </cell>
          <cell r="N212">
            <v>1075.44</v>
          </cell>
        </row>
        <row r="213">
          <cell r="A213" t="str">
            <v>ORD200211</v>
          </cell>
          <cell r="B213">
            <v>45660</v>
          </cell>
          <cell r="C213" t="str">
            <v>C54390</v>
          </cell>
          <cell r="D213" t="str">
            <v>Printer</v>
          </cell>
          <cell r="E213">
            <v>3</v>
          </cell>
          <cell r="F213">
            <v>193.58</v>
          </cell>
          <cell r="G213" t="str">
            <v>185 Main St</v>
          </cell>
          <cell r="H213" t="str">
            <v>Gift Card</v>
          </cell>
          <cell r="I213" t="str">
            <v>Pending</v>
          </cell>
          <cell r="J213" t="str">
            <v>TRK83853742</v>
          </cell>
          <cell r="K213">
            <v>7</v>
          </cell>
          <cell r="L213" t="str">
            <v>FREESHIP</v>
          </cell>
          <cell r="M213" t="str">
            <v>Email</v>
          </cell>
          <cell r="N213">
            <v>580.74</v>
          </cell>
        </row>
        <row r="214">
          <cell r="A214" t="str">
            <v>ORD200212</v>
          </cell>
          <cell r="B214">
            <v>45097</v>
          </cell>
          <cell r="C214" t="str">
            <v>C53215</v>
          </cell>
          <cell r="D214" t="str">
            <v>Monitor</v>
          </cell>
          <cell r="E214">
            <v>1</v>
          </cell>
          <cell r="F214">
            <v>265.38</v>
          </cell>
          <cell r="G214" t="str">
            <v>367 Main St</v>
          </cell>
          <cell r="H214" t="str">
            <v>Credit Card</v>
          </cell>
          <cell r="I214" t="str">
            <v>Cancelled</v>
          </cell>
          <cell r="J214" t="str">
            <v>TRK34751835</v>
          </cell>
          <cell r="K214">
            <v>6</v>
          </cell>
          <cell r="L214" t="str">
            <v>WINTER15</v>
          </cell>
          <cell r="M214" t="str">
            <v>Email</v>
          </cell>
          <cell r="N214">
            <v>265.38</v>
          </cell>
        </row>
        <row r="215">
          <cell r="A215" t="str">
            <v>ORD200213</v>
          </cell>
          <cell r="B215">
            <v>45036</v>
          </cell>
          <cell r="C215" t="str">
            <v>C71122</v>
          </cell>
          <cell r="D215" t="str">
            <v>Laptop</v>
          </cell>
          <cell r="E215">
            <v>1</v>
          </cell>
          <cell r="F215">
            <v>634.4</v>
          </cell>
          <cell r="G215" t="str">
            <v>317 Main St</v>
          </cell>
          <cell r="H215" t="str">
            <v>Cash</v>
          </cell>
          <cell r="I215" t="str">
            <v>Cancelled</v>
          </cell>
          <cell r="J215" t="str">
            <v>TRK54757882</v>
          </cell>
          <cell r="K215">
            <v>6</v>
          </cell>
          <cell r="L215" t="str">
            <v>SAVE10</v>
          </cell>
          <cell r="M215" t="str">
            <v>Email</v>
          </cell>
          <cell r="N215">
            <v>634.4</v>
          </cell>
        </row>
        <row r="216">
          <cell r="A216" t="str">
            <v>ORD200214</v>
          </cell>
          <cell r="B216">
            <v>45525</v>
          </cell>
          <cell r="C216" t="str">
            <v>C29483</v>
          </cell>
          <cell r="D216" t="str">
            <v>Desk</v>
          </cell>
          <cell r="E216">
            <v>4</v>
          </cell>
          <cell r="F216">
            <v>305.72000000000003</v>
          </cell>
          <cell r="G216" t="str">
            <v>673 Main St</v>
          </cell>
          <cell r="H216" t="str">
            <v>Online</v>
          </cell>
          <cell r="I216" t="str">
            <v>Delivered</v>
          </cell>
          <cell r="J216" t="str">
            <v>TRK89423603</v>
          </cell>
          <cell r="K216">
            <v>5</v>
          </cell>
          <cell r="L216" t="str">
            <v>No Coupon</v>
          </cell>
          <cell r="M216" t="str">
            <v>Facebook</v>
          </cell>
          <cell r="N216">
            <v>1222.8800000000001</v>
          </cell>
        </row>
        <row r="217">
          <cell r="A217" t="str">
            <v>ORD200215</v>
          </cell>
          <cell r="B217">
            <v>45148</v>
          </cell>
          <cell r="C217" t="str">
            <v>C26767</v>
          </cell>
          <cell r="D217" t="str">
            <v>Printer</v>
          </cell>
          <cell r="E217">
            <v>1</v>
          </cell>
          <cell r="F217">
            <v>303.60000000000002</v>
          </cell>
          <cell r="G217" t="str">
            <v>432 Main St</v>
          </cell>
          <cell r="H217" t="str">
            <v>Cash</v>
          </cell>
          <cell r="I217" t="str">
            <v>Shipped</v>
          </cell>
          <cell r="J217" t="str">
            <v>TRK24585307</v>
          </cell>
          <cell r="K217">
            <v>5</v>
          </cell>
          <cell r="L217" t="str">
            <v>FREESHIP</v>
          </cell>
          <cell r="M217" t="str">
            <v>Facebook</v>
          </cell>
          <cell r="N217">
            <v>303.60000000000002</v>
          </cell>
        </row>
        <row r="218">
          <cell r="A218" t="str">
            <v>ORD200216</v>
          </cell>
          <cell r="B218">
            <v>45762</v>
          </cell>
          <cell r="C218" t="str">
            <v>C70492</v>
          </cell>
          <cell r="D218" t="str">
            <v>Monitor</v>
          </cell>
          <cell r="E218">
            <v>4</v>
          </cell>
          <cell r="F218">
            <v>496</v>
          </cell>
          <cell r="G218" t="str">
            <v>811 Main St</v>
          </cell>
          <cell r="H218" t="str">
            <v>Online</v>
          </cell>
          <cell r="I218" t="str">
            <v>Cancelled</v>
          </cell>
          <cell r="J218" t="str">
            <v>TRK84625405</v>
          </cell>
          <cell r="K218">
            <v>8</v>
          </cell>
          <cell r="L218" t="str">
            <v>WINTER15</v>
          </cell>
          <cell r="M218" t="str">
            <v>Google</v>
          </cell>
          <cell r="N218">
            <v>1984</v>
          </cell>
        </row>
        <row r="219">
          <cell r="A219" t="str">
            <v>ORD200217</v>
          </cell>
          <cell r="B219">
            <v>45432</v>
          </cell>
          <cell r="C219" t="str">
            <v>C61549</v>
          </cell>
          <cell r="D219" t="str">
            <v>Desk</v>
          </cell>
          <cell r="E219">
            <v>4</v>
          </cell>
          <cell r="F219">
            <v>321.51</v>
          </cell>
          <cell r="G219" t="str">
            <v>908 Main St</v>
          </cell>
          <cell r="H219" t="str">
            <v>Cash</v>
          </cell>
          <cell r="I219" t="str">
            <v>Returned</v>
          </cell>
          <cell r="J219" t="str">
            <v>TRK65596914</v>
          </cell>
          <cell r="K219">
            <v>9</v>
          </cell>
          <cell r="L219" t="str">
            <v>No Coupon</v>
          </cell>
          <cell r="M219" t="str">
            <v>Google</v>
          </cell>
          <cell r="N219">
            <v>1286.04</v>
          </cell>
        </row>
        <row r="220">
          <cell r="A220" t="str">
            <v>ORD200218</v>
          </cell>
          <cell r="B220">
            <v>45044</v>
          </cell>
          <cell r="C220" t="str">
            <v>C11665</v>
          </cell>
          <cell r="D220" t="str">
            <v>Tablet</v>
          </cell>
          <cell r="E220">
            <v>3</v>
          </cell>
          <cell r="F220">
            <v>112.46</v>
          </cell>
          <cell r="G220" t="str">
            <v>882 Main St</v>
          </cell>
          <cell r="H220" t="str">
            <v>Gift Card</v>
          </cell>
          <cell r="I220" t="str">
            <v>Shipped</v>
          </cell>
          <cell r="J220" t="str">
            <v>TRK10993930</v>
          </cell>
          <cell r="K220">
            <v>6</v>
          </cell>
          <cell r="L220" t="str">
            <v>SAVE10</v>
          </cell>
          <cell r="M220" t="str">
            <v>Instagram</v>
          </cell>
          <cell r="N220">
            <v>337.38</v>
          </cell>
        </row>
        <row r="221">
          <cell r="A221" t="str">
            <v>ORD200219</v>
          </cell>
          <cell r="B221">
            <v>45779</v>
          </cell>
          <cell r="C221" t="str">
            <v>C48946</v>
          </cell>
          <cell r="D221" t="str">
            <v>Laptop</v>
          </cell>
          <cell r="E221">
            <v>5</v>
          </cell>
          <cell r="F221">
            <v>61.97</v>
          </cell>
          <cell r="G221" t="str">
            <v>457 Main St</v>
          </cell>
          <cell r="H221" t="str">
            <v>Cash</v>
          </cell>
          <cell r="I221" t="str">
            <v>Delivered</v>
          </cell>
          <cell r="J221" t="str">
            <v>TRK99387220</v>
          </cell>
          <cell r="K221">
            <v>6</v>
          </cell>
          <cell r="L221" t="str">
            <v>SAVE10</v>
          </cell>
          <cell r="M221" t="str">
            <v>Email</v>
          </cell>
          <cell r="N221">
            <v>309.85000000000002</v>
          </cell>
        </row>
        <row r="222">
          <cell r="A222" t="str">
            <v>ORD200220</v>
          </cell>
          <cell r="B222">
            <v>45125</v>
          </cell>
          <cell r="C222" t="str">
            <v>C79506</v>
          </cell>
          <cell r="D222" t="str">
            <v>Laptop</v>
          </cell>
          <cell r="E222">
            <v>2</v>
          </cell>
          <cell r="F222">
            <v>373.17</v>
          </cell>
          <cell r="G222" t="str">
            <v>497 Main St</v>
          </cell>
          <cell r="H222" t="str">
            <v>Credit Card</v>
          </cell>
          <cell r="I222" t="str">
            <v>Pending</v>
          </cell>
          <cell r="J222" t="str">
            <v>TRK95188748</v>
          </cell>
          <cell r="K222">
            <v>6</v>
          </cell>
          <cell r="L222" t="str">
            <v>SAVE10</v>
          </cell>
          <cell r="M222" t="str">
            <v>Referral</v>
          </cell>
          <cell r="N222">
            <v>746.34</v>
          </cell>
        </row>
        <row r="223">
          <cell r="A223" t="str">
            <v>ORD200221</v>
          </cell>
          <cell r="B223">
            <v>45345</v>
          </cell>
          <cell r="C223" t="str">
            <v>C93473</v>
          </cell>
          <cell r="D223" t="str">
            <v>Tablet</v>
          </cell>
          <cell r="E223">
            <v>5</v>
          </cell>
          <cell r="F223">
            <v>639.37</v>
          </cell>
          <cell r="G223" t="str">
            <v>552 Main St</v>
          </cell>
          <cell r="H223" t="str">
            <v>Debit Card</v>
          </cell>
          <cell r="I223" t="str">
            <v>Pending</v>
          </cell>
          <cell r="J223" t="str">
            <v>TRK50003989</v>
          </cell>
          <cell r="K223">
            <v>6</v>
          </cell>
          <cell r="L223" t="str">
            <v>SAVE10</v>
          </cell>
          <cell r="M223" t="str">
            <v>Google</v>
          </cell>
          <cell r="N223">
            <v>3196.85</v>
          </cell>
        </row>
        <row r="224">
          <cell r="A224" t="str">
            <v>ORD200222</v>
          </cell>
          <cell r="B224">
            <v>45050</v>
          </cell>
          <cell r="C224" t="str">
            <v>C43124</v>
          </cell>
          <cell r="D224" t="str">
            <v>Chair</v>
          </cell>
          <cell r="E224">
            <v>4</v>
          </cell>
          <cell r="F224">
            <v>693.36</v>
          </cell>
          <cell r="G224" t="str">
            <v>931 Main St</v>
          </cell>
          <cell r="H224" t="str">
            <v>Online</v>
          </cell>
          <cell r="I224" t="str">
            <v>Shipped</v>
          </cell>
          <cell r="J224" t="str">
            <v>TRK17293348</v>
          </cell>
          <cell r="K224">
            <v>8</v>
          </cell>
          <cell r="L224" t="str">
            <v>No Coupon</v>
          </cell>
          <cell r="M224" t="str">
            <v>Instagram</v>
          </cell>
          <cell r="N224">
            <v>2773.44</v>
          </cell>
        </row>
        <row r="225">
          <cell r="A225" t="str">
            <v>ORD200223</v>
          </cell>
          <cell r="B225">
            <v>45546</v>
          </cell>
          <cell r="C225" t="str">
            <v>C22783</v>
          </cell>
          <cell r="D225" t="str">
            <v>Phone</v>
          </cell>
          <cell r="E225">
            <v>4</v>
          </cell>
          <cell r="F225">
            <v>692.91</v>
          </cell>
          <cell r="G225" t="str">
            <v>673 Main St</v>
          </cell>
          <cell r="H225" t="str">
            <v>Credit Card</v>
          </cell>
          <cell r="I225" t="str">
            <v>Pending</v>
          </cell>
          <cell r="J225" t="str">
            <v>TRK55009149</v>
          </cell>
          <cell r="K225">
            <v>9</v>
          </cell>
          <cell r="L225" t="str">
            <v>SAVE10</v>
          </cell>
          <cell r="M225" t="str">
            <v>Instagram</v>
          </cell>
          <cell r="N225">
            <v>2771.64</v>
          </cell>
        </row>
        <row r="226">
          <cell r="A226" t="str">
            <v>ORD200224</v>
          </cell>
          <cell r="B226">
            <v>45192</v>
          </cell>
          <cell r="C226" t="str">
            <v>C18567</v>
          </cell>
          <cell r="D226" t="str">
            <v>Printer</v>
          </cell>
          <cell r="E226">
            <v>4</v>
          </cell>
          <cell r="F226">
            <v>91.46</v>
          </cell>
          <cell r="G226" t="str">
            <v>507 Main St</v>
          </cell>
          <cell r="H226" t="str">
            <v>Cash</v>
          </cell>
          <cell r="I226" t="str">
            <v>Cancelled</v>
          </cell>
          <cell r="J226" t="str">
            <v>TRK17554673</v>
          </cell>
          <cell r="K226">
            <v>9</v>
          </cell>
          <cell r="L226" t="str">
            <v>SAVE10</v>
          </cell>
          <cell r="M226" t="str">
            <v>Referral</v>
          </cell>
          <cell r="N226">
            <v>365.84</v>
          </cell>
        </row>
        <row r="227">
          <cell r="A227" t="str">
            <v>ORD200225</v>
          </cell>
          <cell r="B227">
            <v>45364</v>
          </cell>
          <cell r="C227" t="str">
            <v>C99879</v>
          </cell>
          <cell r="D227" t="str">
            <v>Phone</v>
          </cell>
          <cell r="E227">
            <v>3</v>
          </cell>
          <cell r="F227">
            <v>273.95999999999998</v>
          </cell>
          <cell r="G227" t="str">
            <v>692 Main St</v>
          </cell>
          <cell r="H227" t="str">
            <v>Debit Card</v>
          </cell>
          <cell r="I227" t="str">
            <v>Returned</v>
          </cell>
          <cell r="J227" t="str">
            <v>TRK50246700</v>
          </cell>
          <cell r="K227">
            <v>8</v>
          </cell>
          <cell r="L227" t="str">
            <v>SAVE10</v>
          </cell>
          <cell r="M227" t="str">
            <v>Google</v>
          </cell>
          <cell r="N227">
            <v>821.87999999999988</v>
          </cell>
        </row>
        <row r="228">
          <cell r="A228" t="str">
            <v>ORD200226</v>
          </cell>
          <cell r="B228">
            <v>45835</v>
          </cell>
          <cell r="C228" t="str">
            <v>C31501</v>
          </cell>
          <cell r="D228" t="str">
            <v>Desk</v>
          </cell>
          <cell r="E228">
            <v>3</v>
          </cell>
          <cell r="F228">
            <v>588.04999999999995</v>
          </cell>
          <cell r="G228" t="str">
            <v>242 Main St</v>
          </cell>
          <cell r="H228" t="str">
            <v>Gift Card</v>
          </cell>
          <cell r="I228" t="str">
            <v>Delivered</v>
          </cell>
          <cell r="J228" t="str">
            <v>TRK93063929</v>
          </cell>
          <cell r="K228">
            <v>8</v>
          </cell>
          <cell r="L228" t="str">
            <v>No Coupon</v>
          </cell>
          <cell r="M228" t="str">
            <v>Instagram</v>
          </cell>
          <cell r="N228">
            <v>1764.1499999999999</v>
          </cell>
        </row>
        <row r="229">
          <cell r="A229" t="str">
            <v>ORD200227</v>
          </cell>
          <cell r="B229">
            <v>45232</v>
          </cell>
          <cell r="C229" t="str">
            <v>C93220</v>
          </cell>
          <cell r="D229" t="str">
            <v>Monitor</v>
          </cell>
          <cell r="E229">
            <v>2</v>
          </cell>
          <cell r="F229">
            <v>365.17</v>
          </cell>
          <cell r="G229" t="str">
            <v>353 Main St</v>
          </cell>
          <cell r="H229" t="str">
            <v>Online</v>
          </cell>
          <cell r="I229" t="str">
            <v>Cancelled</v>
          </cell>
          <cell r="J229" t="str">
            <v>TRK89023251</v>
          </cell>
          <cell r="K229">
            <v>4</v>
          </cell>
          <cell r="L229" t="str">
            <v>FREESHIP</v>
          </cell>
          <cell r="M229" t="str">
            <v>Facebook</v>
          </cell>
          <cell r="N229">
            <v>730.34</v>
          </cell>
        </row>
        <row r="230">
          <cell r="A230" t="str">
            <v>ORD200228</v>
          </cell>
          <cell r="B230">
            <v>45063</v>
          </cell>
          <cell r="C230" t="str">
            <v>C57867</v>
          </cell>
          <cell r="D230" t="str">
            <v>Chair</v>
          </cell>
          <cell r="E230">
            <v>4</v>
          </cell>
          <cell r="F230">
            <v>385.92</v>
          </cell>
          <cell r="G230" t="str">
            <v>579 Main St</v>
          </cell>
          <cell r="H230" t="str">
            <v>Credit Card</v>
          </cell>
          <cell r="I230" t="str">
            <v>Cancelled</v>
          </cell>
          <cell r="J230" t="str">
            <v>TRK92055007</v>
          </cell>
          <cell r="K230">
            <v>8</v>
          </cell>
          <cell r="L230" t="str">
            <v>No Coupon</v>
          </cell>
          <cell r="M230" t="str">
            <v>Instagram</v>
          </cell>
          <cell r="N230">
            <v>1543.68</v>
          </cell>
        </row>
        <row r="231">
          <cell r="A231" t="str">
            <v>ORD200229</v>
          </cell>
          <cell r="B231">
            <v>45744</v>
          </cell>
          <cell r="C231" t="str">
            <v>C62622</v>
          </cell>
          <cell r="D231" t="str">
            <v>Tablet</v>
          </cell>
          <cell r="E231">
            <v>1</v>
          </cell>
          <cell r="F231">
            <v>562.61</v>
          </cell>
          <cell r="G231" t="str">
            <v>762 Main St</v>
          </cell>
          <cell r="H231" t="str">
            <v>Credit Card</v>
          </cell>
          <cell r="I231" t="str">
            <v>Delivered</v>
          </cell>
          <cell r="J231" t="str">
            <v>TRK70997648</v>
          </cell>
          <cell r="K231">
            <v>3</v>
          </cell>
          <cell r="L231" t="str">
            <v>WINTER15</v>
          </cell>
          <cell r="M231" t="str">
            <v>Facebook</v>
          </cell>
          <cell r="N231">
            <v>562.61</v>
          </cell>
        </row>
        <row r="232">
          <cell r="A232" t="str">
            <v>ORD200230</v>
          </cell>
          <cell r="B232">
            <v>45276</v>
          </cell>
          <cell r="C232" t="str">
            <v>C94595</v>
          </cell>
          <cell r="D232" t="str">
            <v>Desk</v>
          </cell>
          <cell r="E232">
            <v>4</v>
          </cell>
          <cell r="F232">
            <v>61.91</v>
          </cell>
          <cell r="G232" t="str">
            <v>948 Main St</v>
          </cell>
          <cell r="H232" t="str">
            <v>Gift Card</v>
          </cell>
          <cell r="I232" t="str">
            <v>Delivered</v>
          </cell>
          <cell r="J232" t="str">
            <v>TRK24497305</v>
          </cell>
          <cell r="K232">
            <v>6</v>
          </cell>
          <cell r="L232" t="str">
            <v>WINTER15</v>
          </cell>
          <cell r="M232" t="str">
            <v>Email</v>
          </cell>
          <cell r="N232">
            <v>247.64</v>
          </cell>
        </row>
        <row r="233">
          <cell r="A233" t="str">
            <v>ORD200231</v>
          </cell>
          <cell r="B233">
            <v>45235</v>
          </cell>
          <cell r="C233" t="str">
            <v>C30955</v>
          </cell>
          <cell r="D233" t="str">
            <v>Phone</v>
          </cell>
          <cell r="E233">
            <v>4</v>
          </cell>
          <cell r="F233">
            <v>41.9</v>
          </cell>
          <cell r="G233" t="str">
            <v>327 Main St</v>
          </cell>
          <cell r="H233" t="str">
            <v>Gift Card</v>
          </cell>
          <cell r="I233" t="str">
            <v>Pending</v>
          </cell>
          <cell r="J233" t="str">
            <v>TRK46898848</v>
          </cell>
          <cell r="K233">
            <v>9</v>
          </cell>
          <cell r="L233" t="str">
            <v>FREESHIP</v>
          </cell>
          <cell r="M233" t="str">
            <v>Instagram</v>
          </cell>
          <cell r="N233">
            <v>167.6</v>
          </cell>
        </row>
        <row r="234">
          <cell r="A234" t="str">
            <v>ORD200232</v>
          </cell>
          <cell r="B234">
            <v>45065</v>
          </cell>
          <cell r="C234" t="str">
            <v>C20731</v>
          </cell>
          <cell r="D234" t="str">
            <v>Printer</v>
          </cell>
          <cell r="E234">
            <v>4</v>
          </cell>
          <cell r="F234">
            <v>444.44</v>
          </cell>
          <cell r="G234" t="str">
            <v>610 Main St</v>
          </cell>
          <cell r="H234" t="str">
            <v>Debit Card</v>
          </cell>
          <cell r="I234" t="str">
            <v>Cancelled</v>
          </cell>
          <cell r="J234" t="str">
            <v>TRK75568437</v>
          </cell>
          <cell r="K234">
            <v>8</v>
          </cell>
          <cell r="L234" t="str">
            <v>WINTER15</v>
          </cell>
          <cell r="M234" t="str">
            <v>Google</v>
          </cell>
          <cell r="N234">
            <v>1777.76</v>
          </cell>
        </row>
        <row r="235">
          <cell r="A235" t="str">
            <v>ORD200233</v>
          </cell>
          <cell r="B235">
            <v>45528</v>
          </cell>
          <cell r="C235" t="str">
            <v>C30168</v>
          </cell>
          <cell r="D235" t="str">
            <v>Phone</v>
          </cell>
          <cell r="E235">
            <v>3</v>
          </cell>
          <cell r="F235">
            <v>311.33</v>
          </cell>
          <cell r="G235" t="str">
            <v>146 Main St</v>
          </cell>
          <cell r="H235" t="str">
            <v>Cash</v>
          </cell>
          <cell r="I235" t="str">
            <v>Cancelled</v>
          </cell>
          <cell r="J235" t="str">
            <v>TRK73699939</v>
          </cell>
          <cell r="K235">
            <v>3</v>
          </cell>
          <cell r="L235" t="str">
            <v>WINTER15</v>
          </cell>
          <cell r="M235" t="str">
            <v>Instagram</v>
          </cell>
          <cell r="N235">
            <v>933.99</v>
          </cell>
        </row>
        <row r="236">
          <cell r="A236" t="str">
            <v>ORD200234</v>
          </cell>
          <cell r="B236">
            <v>45622</v>
          </cell>
          <cell r="C236" t="str">
            <v>C79842</v>
          </cell>
          <cell r="D236" t="str">
            <v>Printer</v>
          </cell>
          <cell r="E236">
            <v>4</v>
          </cell>
          <cell r="F236">
            <v>236.41</v>
          </cell>
          <cell r="G236" t="str">
            <v>337 Main St</v>
          </cell>
          <cell r="H236" t="str">
            <v>Debit Card</v>
          </cell>
          <cell r="I236" t="str">
            <v>Pending</v>
          </cell>
          <cell r="J236" t="str">
            <v>TRK26957950</v>
          </cell>
          <cell r="K236">
            <v>7</v>
          </cell>
          <cell r="L236" t="str">
            <v>SAVE10</v>
          </cell>
          <cell r="M236" t="str">
            <v>Google</v>
          </cell>
          <cell r="N236">
            <v>945.64</v>
          </cell>
        </row>
        <row r="237">
          <cell r="A237" t="str">
            <v>ORD200235</v>
          </cell>
          <cell r="B237">
            <v>44977</v>
          </cell>
          <cell r="C237" t="str">
            <v>C32854</v>
          </cell>
          <cell r="D237" t="str">
            <v>Desk</v>
          </cell>
          <cell r="E237">
            <v>1</v>
          </cell>
          <cell r="F237">
            <v>65.45</v>
          </cell>
          <cell r="G237" t="str">
            <v>815 Main St</v>
          </cell>
          <cell r="H237" t="str">
            <v>Cash</v>
          </cell>
          <cell r="I237" t="str">
            <v>Pending</v>
          </cell>
          <cell r="J237" t="str">
            <v>TRK30009218</v>
          </cell>
          <cell r="K237">
            <v>2</v>
          </cell>
          <cell r="L237" t="str">
            <v>WINTER15</v>
          </cell>
          <cell r="M237" t="str">
            <v>Google</v>
          </cell>
          <cell r="N237">
            <v>65.45</v>
          </cell>
        </row>
        <row r="238">
          <cell r="A238" t="str">
            <v>ORD200236</v>
          </cell>
          <cell r="B238">
            <v>44927</v>
          </cell>
          <cell r="C238" t="str">
            <v>C14847</v>
          </cell>
          <cell r="D238" t="str">
            <v>Monitor</v>
          </cell>
          <cell r="E238">
            <v>1</v>
          </cell>
          <cell r="F238">
            <v>318.81</v>
          </cell>
          <cell r="G238" t="str">
            <v>562 Main St</v>
          </cell>
          <cell r="H238" t="str">
            <v>Debit Card</v>
          </cell>
          <cell r="I238" t="str">
            <v>Pending</v>
          </cell>
          <cell r="J238" t="str">
            <v>TRK39663243</v>
          </cell>
          <cell r="K238">
            <v>3</v>
          </cell>
          <cell r="L238" t="str">
            <v>WINTER15</v>
          </cell>
          <cell r="M238" t="str">
            <v>Email</v>
          </cell>
          <cell r="N238">
            <v>318.81</v>
          </cell>
        </row>
        <row r="239">
          <cell r="A239" t="str">
            <v>ORD200237</v>
          </cell>
          <cell r="B239">
            <v>45365</v>
          </cell>
          <cell r="C239" t="str">
            <v>C88645</v>
          </cell>
          <cell r="D239" t="str">
            <v>Monitor</v>
          </cell>
          <cell r="E239">
            <v>3</v>
          </cell>
          <cell r="F239">
            <v>583.72</v>
          </cell>
          <cell r="G239" t="str">
            <v>783 Main St</v>
          </cell>
          <cell r="H239" t="str">
            <v>Credit Card</v>
          </cell>
          <cell r="I239" t="str">
            <v>Shipped</v>
          </cell>
          <cell r="J239" t="str">
            <v>TRK74097570</v>
          </cell>
          <cell r="K239">
            <v>5</v>
          </cell>
          <cell r="L239" t="str">
            <v>FREESHIP</v>
          </cell>
          <cell r="M239" t="str">
            <v>Facebook</v>
          </cell>
          <cell r="N239">
            <v>1751.16</v>
          </cell>
        </row>
        <row r="240">
          <cell r="A240" t="str">
            <v>ORD200238</v>
          </cell>
          <cell r="B240">
            <v>45639</v>
          </cell>
          <cell r="C240" t="str">
            <v>C66149</v>
          </cell>
          <cell r="D240" t="str">
            <v>Desk</v>
          </cell>
          <cell r="E240">
            <v>4</v>
          </cell>
          <cell r="F240">
            <v>384.32</v>
          </cell>
          <cell r="G240" t="str">
            <v>770 Main St</v>
          </cell>
          <cell r="H240" t="str">
            <v>Credit Card</v>
          </cell>
          <cell r="I240" t="str">
            <v>Pending</v>
          </cell>
          <cell r="J240" t="str">
            <v>TRK76307307</v>
          </cell>
          <cell r="K240">
            <v>6</v>
          </cell>
          <cell r="L240" t="str">
            <v>WINTER15</v>
          </cell>
          <cell r="M240" t="str">
            <v>Google</v>
          </cell>
          <cell r="N240">
            <v>1537.28</v>
          </cell>
        </row>
        <row r="241">
          <cell r="A241" t="str">
            <v>ORD200239</v>
          </cell>
          <cell r="B241">
            <v>45637</v>
          </cell>
          <cell r="C241" t="str">
            <v>C20256</v>
          </cell>
          <cell r="D241" t="str">
            <v>Tablet</v>
          </cell>
          <cell r="E241">
            <v>3</v>
          </cell>
          <cell r="F241">
            <v>538.74</v>
          </cell>
          <cell r="G241" t="str">
            <v>456 Main St</v>
          </cell>
          <cell r="H241" t="str">
            <v>Online</v>
          </cell>
          <cell r="I241" t="str">
            <v>Shipped</v>
          </cell>
          <cell r="J241" t="str">
            <v>TRK71127943</v>
          </cell>
          <cell r="K241">
            <v>6</v>
          </cell>
          <cell r="L241" t="str">
            <v>FREESHIP</v>
          </cell>
          <cell r="M241" t="str">
            <v>Email</v>
          </cell>
          <cell r="N241">
            <v>1616.22</v>
          </cell>
        </row>
        <row r="242">
          <cell r="A242" t="str">
            <v>ORD200240</v>
          </cell>
          <cell r="B242">
            <v>45119</v>
          </cell>
          <cell r="C242" t="str">
            <v>C14983</v>
          </cell>
          <cell r="D242" t="str">
            <v>Tablet</v>
          </cell>
          <cell r="E242">
            <v>1</v>
          </cell>
          <cell r="F242">
            <v>17.239999999999998</v>
          </cell>
          <cell r="G242" t="str">
            <v>255 Main St</v>
          </cell>
          <cell r="H242" t="str">
            <v>Online</v>
          </cell>
          <cell r="I242" t="str">
            <v>Pending</v>
          </cell>
          <cell r="J242" t="str">
            <v>TRK93444157</v>
          </cell>
          <cell r="K242">
            <v>2</v>
          </cell>
          <cell r="L242" t="str">
            <v>FREESHIP</v>
          </cell>
          <cell r="M242" t="str">
            <v>Instagram</v>
          </cell>
          <cell r="N242">
            <v>17.239999999999998</v>
          </cell>
        </row>
        <row r="243">
          <cell r="A243" t="str">
            <v>ORD200241</v>
          </cell>
          <cell r="B243">
            <v>45062</v>
          </cell>
          <cell r="C243" t="str">
            <v>C20817</v>
          </cell>
          <cell r="D243" t="str">
            <v>Chair</v>
          </cell>
          <cell r="E243">
            <v>5</v>
          </cell>
          <cell r="F243">
            <v>615.66999999999996</v>
          </cell>
          <cell r="G243" t="str">
            <v>407 Main St</v>
          </cell>
          <cell r="H243" t="str">
            <v>Online</v>
          </cell>
          <cell r="I243" t="str">
            <v>Pending</v>
          </cell>
          <cell r="J243" t="str">
            <v>TRK44164590</v>
          </cell>
          <cell r="K243">
            <v>6</v>
          </cell>
          <cell r="L243" t="str">
            <v>SAVE10</v>
          </cell>
          <cell r="M243" t="str">
            <v>Email</v>
          </cell>
          <cell r="N243">
            <v>3078.35</v>
          </cell>
        </row>
        <row r="244">
          <cell r="A244" t="str">
            <v>ORD200242</v>
          </cell>
          <cell r="B244">
            <v>45055</v>
          </cell>
          <cell r="C244" t="str">
            <v>C94921</v>
          </cell>
          <cell r="D244" t="str">
            <v>Printer</v>
          </cell>
          <cell r="E244">
            <v>2</v>
          </cell>
          <cell r="F244">
            <v>219.1</v>
          </cell>
          <cell r="G244" t="str">
            <v>134 Main St</v>
          </cell>
          <cell r="H244" t="str">
            <v>Online</v>
          </cell>
          <cell r="I244" t="str">
            <v>Pending</v>
          </cell>
          <cell r="J244" t="str">
            <v>TRK97794327</v>
          </cell>
          <cell r="K244">
            <v>4</v>
          </cell>
          <cell r="L244" t="str">
            <v>SAVE10</v>
          </cell>
          <cell r="M244" t="str">
            <v>Referral</v>
          </cell>
          <cell r="N244">
            <v>438.2</v>
          </cell>
        </row>
        <row r="245">
          <cell r="A245" t="str">
            <v>ORD200243</v>
          </cell>
          <cell r="B245">
            <v>45786</v>
          </cell>
          <cell r="C245" t="str">
            <v>C54725</v>
          </cell>
          <cell r="D245" t="str">
            <v>Chair</v>
          </cell>
          <cell r="E245">
            <v>2</v>
          </cell>
          <cell r="F245">
            <v>144.66</v>
          </cell>
          <cell r="G245" t="str">
            <v>506 Main St</v>
          </cell>
          <cell r="H245" t="str">
            <v>Online</v>
          </cell>
          <cell r="I245" t="str">
            <v>Cancelled</v>
          </cell>
          <cell r="J245" t="str">
            <v>TRK30601940</v>
          </cell>
          <cell r="K245">
            <v>7</v>
          </cell>
          <cell r="L245" t="str">
            <v>FREESHIP</v>
          </cell>
          <cell r="M245" t="str">
            <v>Google</v>
          </cell>
          <cell r="N245">
            <v>289.32</v>
          </cell>
        </row>
        <row r="246">
          <cell r="A246" t="str">
            <v>ORD200244</v>
          </cell>
          <cell r="B246">
            <v>44973</v>
          </cell>
          <cell r="C246" t="str">
            <v>C98096</v>
          </cell>
          <cell r="D246" t="str">
            <v>Desk</v>
          </cell>
          <cell r="E246">
            <v>2</v>
          </cell>
          <cell r="F246">
            <v>317.77</v>
          </cell>
          <cell r="G246" t="str">
            <v>838 Main St</v>
          </cell>
          <cell r="H246" t="str">
            <v>Debit Card</v>
          </cell>
          <cell r="I246" t="str">
            <v>Cancelled</v>
          </cell>
          <cell r="J246" t="str">
            <v>TRK51518631</v>
          </cell>
          <cell r="K246">
            <v>4</v>
          </cell>
          <cell r="L246" t="str">
            <v>WINTER15</v>
          </cell>
          <cell r="M246" t="str">
            <v>Facebook</v>
          </cell>
          <cell r="N246">
            <v>635.54</v>
          </cell>
        </row>
        <row r="247">
          <cell r="A247" t="str">
            <v>ORD200245</v>
          </cell>
          <cell r="B247">
            <v>45767</v>
          </cell>
          <cell r="C247" t="str">
            <v>C12667</v>
          </cell>
          <cell r="D247" t="str">
            <v>Laptop</v>
          </cell>
          <cell r="E247">
            <v>1</v>
          </cell>
          <cell r="F247">
            <v>223.3</v>
          </cell>
          <cell r="G247" t="str">
            <v>306 Main St</v>
          </cell>
          <cell r="H247" t="str">
            <v>Online</v>
          </cell>
          <cell r="I247" t="str">
            <v>Returned</v>
          </cell>
          <cell r="J247" t="str">
            <v>TRK25390491</v>
          </cell>
          <cell r="K247">
            <v>1</v>
          </cell>
          <cell r="L247" t="str">
            <v>No Coupon</v>
          </cell>
          <cell r="M247" t="str">
            <v>Facebook</v>
          </cell>
          <cell r="N247">
            <v>223.3</v>
          </cell>
        </row>
        <row r="248">
          <cell r="A248" t="str">
            <v>ORD200246</v>
          </cell>
          <cell r="B248">
            <v>45534</v>
          </cell>
          <cell r="C248" t="str">
            <v>C55354</v>
          </cell>
          <cell r="D248" t="str">
            <v>Desk</v>
          </cell>
          <cell r="E248">
            <v>2</v>
          </cell>
          <cell r="F248">
            <v>342.11</v>
          </cell>
          <cell r="G248" t="str">
            <v>164 Main St</v>
          </cell>
          <cell r="H248" t="str">
            <v>Gift Card</v>
          </cell>
          <cell r="I248" t="str">
            <v>Shipped</v>
          </cell>
          <cell r="J248" t="str">
            <v>TRK15439493</v>
          </cell>
          <cell r="K248">
            <v>2</v>
          </cell>
          <cell r="L248" t="str">
            <v>WINTER15</v>
          </cell>
          <cell r="M248" t="str">
            <v>Instagram</v>
          </cell>
          <cell r="N248">
            <v>684.22</v>
          </cell>
        </row>
        <row r="249">
          <cell r="A249" t="str">
            <v>ORD200247</v>
          </cell>
          <cell r="B249">
            <v>45127</v>
          </cell>
          <cell r="C249" t="str">
            <v>C14600</v>
          </cell>
          <cell r="D249" t="str">
            <v>Printer</v>
          </cell>
          <cell r="E249">
            <v>2</v>
          </cell>
          <cell r="F249">
            <v>220.9</v>
          </cell>
          <cell r="G249" t="str">
            <v>785 Main St</v>
          </cell>
          <cell r="H249" t="str">
            <v>Gift Card</v>
          </cell>
          <cell r="I249" t="str">
            <v>Shipped</v>
          </cell>
          <cell r="J249" t="str">
            <v>TRK84984764</v>
          </cell>
          <cell r="K249">
            <v>4</v>
          </cell>
          <cell r="L249" t="str">
            <v>No Coupon</v>
          </cell>
          <cell r="M249" t="str">
            <v>Email</v>
          </cell>
          <cell r="N249">
            <v>441.8</v>
          </cell>
        </row>
        <row r="250">
          <cell r="A250" t="str">
            <v>ORD200248</v>
          </cell>
          <cell r="B250">
            <v>45109</v>
          </cell>
          <cell r="C250" t="str">
            <v>C97187</v>
          </cell>
          <cell r="D250" t="str">
            <v>Laptop</v>
          </cell>
          <cell r="E250">
            <v>1</v>
          </cell>
          <cell r="F250">
            <v>670.54</v>
          </cell>
          <cell r="G250" t="str">
            <v>471 Main St</v>
          </cell>
          <cell r="H250" t="str">
            <v>Cash</v>
          </cell>
          <cell r="I250" t="str">
            <v>Shipped</v>
          </cell>
          <cell r="J250" t="str">
            <v>TRK62283713</v>
          </cell>
          <cell r="K250">
            <v>6</v>
          </cell>
          <cell r="L250" t="str">
            <v>FREESHIP</v>
          </cell>
          <cell r="M250" t="str">
            <v>Referral</v>
          </cell>
          <cell r="N250">
            <v>670.54</v>
          </cell>
        </row>
        <row r="251">
          <cell r="A251" t="str">
            <v>ORD200249</v>
          </cell>
          <cell r="B251">
            <v>45329</v>
          </cell>
          <cell r="C251" t="str">
            <v>C39106</v>
          </cell>
          <cell r="D251" t="str">
            <v>Printer</v>
          </cell>
          <cell r="E251">
            <v>1</v>
          </cell>
          <cell r="F251">
            <v>546.19000000000005</v>
          </cell>
          <cell r="G251" t="str">
            <v>245 Main St</v>
          </cell>
          <cell r="H251" t="str">
            <v>Cash</v>
          </cell>
          <cell r="I251" t="str">
            <v>Pending</v>
          </cell>
          <cell r="J251" t="str">
            <v>TRK35464433</v>
          </cell>
          <cell r="K251">
            <v>5</v>
          </cell>
          <cell r="L251" t="str">
            <v>FREESHIP</v>
          </cell>
          <cell r="M251" t="str">
            <v>Referral</v>
          </cell>
          <cell r="N251">
            <v>546.19000000000005</v>
          </cell>
        </row>
        <row r="252">
          <cell r="A252" t="str">
            <v>ORD200250</v>
          </cell>
          <cell r="B252">
            <v>45021</v>
          </cell>
          <cell r="C252" t="str">
            <v>C93379</v>
          </cell>
          <cell r="D252" t="str">
            <v>Desk</v>
          </cell>
          <cell r="E252">
            <v>3</v>
          </cell>
          <cell r="F252">
            <v>42.95</v>
          </cell>
          <cell r="G252" t="str">
            <v>318 Main St</v>
          </cell>
          <cell r="H252" t="str">
            <v>Gift Card</v>
          </cell>
          <cell r="I252" t="str">
            <v>Returned</v>
          </cell>
          <cell r="J252" t="str">
            <v>TRK67954150</v>
          </cell>
          <cell r="K252">
            <v>8</v>
          </cell>
          <cell r="L252" t="str">
            <v>SAVE10</v>
          </cell>
          <cell r="M252" t="str">
            <v>Email</v>
          </cell>
          <cell r="N252">
            <v>128.85000000000002</v>
          </cell>
        </row>
        <row r="253">
          <cell r="A253" t="str">
            <v>ORD200251</v>
          </cell>
          <cell r="B253">
            <v>45792</v>
          </cell>
          <cell r="C253" t="str">
            <v>C93175</v>
          </cell>
          <cell r="D253" t="str">
            <v>Monitor</v>
          </cell>
          <cell r="E253">
            <v>4</v>
          </cell>
          <cell r="F253">
            <v>14.69</v>
          </cell>
          <cell r="G253" t="str">
            <v>814 Main St</v>
          </cell>
          <cell r="H253" t="str">
            <v>Cash</v>
          </cell>
          <cell r="I253" t="str">
            <v>Cancelled</v>
          </cell>
          <cell r="J253" t="str">
            <v>TRK32995144</v>
          </cell>
          <cell r="K253">
            <v>9</v>
          </cell>
          <cell r="L253" t="str">
            <v>No Coupon</v>
          </cell>
          <cell r="M253" t="str">
            <v>Email</v>
          </cell>
          <cell r="N253">
            <v>58.76</v>
          </cell>
        </row>
        <row r="254">
          <cell r="A254" t="str">
            <v>ORD200252</v>
          </cell>
          <cell r="B254">
            <v>45555</v>
          </cell>
          <cell r="C254" t="str">
            <v>C19648</v>
          </cell>
          <cell r="D254" t="str">
            <v>Phone</v>
          </cell>
          <cell r="E254">
            <v>4</v>
          </cell>
          <cell r="F254">
            <v>668.36</v>
          </cell>
          <cell r="G254" t="str">
            <v>821 Main St</v>
          </cell>
          <cell r="H254" t="str">
            <v>Gift Card</v>
          </cell>
          <cell r="I254" t="str">
            <v>Cancelled</v>
          </cell>
          <cell r="J254" t="str">
            <v>TRK51297879</v>
          </cell>
          <cell r="K254">
            <v>5</v>
          </cell>
          <cell r="L254" t="str">
            <v>FREESHIP</v>
          </cell>
          <cell r="M254" t="str">
            <v>Facebook</v>
          </cell>
          <cell r="N254">
            <v>2673.44</v>
          </cell>
        </row>
        <row r="255">
          <cell r="A255" t="str">
            <v>ORD200253</v>
          </cell>
          <cell r="B255">
            <v>45374</v>
          </cell>
          <cell r="C255" t="str">
            <v>C14891</v>
          </cell>
          <cell r="D255" t="str">
            <v>Chair</v>
          </cell>
          <cell r="E255">
            <v>4</v>
          </cell>
          <cell r="F255">
            <v>413.74</v>
          </cell>
          <cell r="G255" t="str">
            <v>743 Main St</v>
          </cell>
          <cell r="H255" t="str">
            <v>Gift Card</v>
          </cell>
          <cell r="I255" t="str">
            <v>Returned</v>
          </cell>
          <cell r="J255" t="str">
            <v>TRK79471534</v>
          </cell>
          <cell r="K255">
            <v>7</v>
          </cell>
          <cell r="L255" t="str">
            <v>FREESHIP</v>
          </cell>
          <cell r="M255" t="str">
            <v>Instagram</v>
          </cell>
          <cell r="N255">
            <v>1654.96</v>
          </cell>
        </row>
        <row r="256">
          <cell r="A256" t="str">
            <v>ORD200254</v>
          </cell>
          <cell r="B256">
            <v>45286</v>
          </cell>
          <cell r="C256" t="str">
            <v>C10866</v>
          </cell>
          <cell r="D256" t="str">
            <v>Monitor</v>
          </cell>
          <cell r="E256">
            <v>3</v>
          </cell>
          <cell r="F256">
            <v>263.19</v>
          </cell>
          <cell r="G256" t="str">
            <v>770 Main St</v>
          </cell>
          <cell r="H256" t="str">
            <v>Online</v>
          </cell>
          <cell r="I256" t="str">
            <v>Delivered</v>
          </cell>
          <cell r="J256" t="str">
            <v>TRK34809583</v>
          </cell>
          <cell r="K256">
            <v>5</v>
          </cell>
          <cell r="L256" t="str">
            <v>No Coupon</v>
          </cell>
          <cell r="M256" t="str">
            <v>Instagram</v>
          </cell>
          <cell r="N256">
            <v>789.56999999999994</v>
          </cell>
        </row>
        <row r="257">
          <cell r="A257" t="str">
            <v>ORD200255</v>
          </cell>
          <cell r="B257">
            <v>45425</v>
          </cell>
          <cell r="C257" t="str">
            <v>C47283</v>
          </cell>
          <cell r="D257" t="str">
            <v>Monitor</v>
          </cell>
          <cell r="E257">
            <v>1</v>
          </cell>
          <cell r="F257">
            <v>263.95999999999998</v>
          </cell>
          <cell r="G257" t="str">
            <v>806 Main St</v>
          </cell>
          <cell r="H257" t="str">
            <v>Gift Card</v>
          </cell>
          <cell r="I257" t="str">
            <v>Returned</v>
          </cell>
          <cell r="J257" t="str">
            <v>TRK56235117</v>
          </cell>
          <cell r="K257">
            <v>2</v>
          </cell>
          <cell r="L257" t="str">
            <v>SAVE10</v>
          </cell>
          <cell r="M257" t="str">
            <v>Google</v>
          </cell>
          <cell r="N257">
            <v>263.95999999999998</v>
          </cell>
        </row>
        <row r="258">
          <cell r="A258" t="str">
            <v>ORD200256</v>
          </cell>
          <cell r="B258">
            <v>45838</v>
          </cell>
          <cell r="C258" t="str">
            <v>C94323</v>
          </cell>
          <cell r="D258" t="str">
            <v>Chair</v>
          </cell>
          <cell r="E258">
            <v>5</v>
          </cell>
          <cell r="F258">
            <v>75.81</v>
          </cell>
          <cell r="G258" t="str">
            <v>463 Main St</v>
          </cell>
          <cell r="H258" t="str">
            <v>Gift Card</v>
          </cell>
          <cell r="I258" t="str">
            <v>Returned</v>
          </cell>
          <cell r="J258" t="str">
            <v>TRK22663277</v>
          </cell>
          <cell r="K258">
            <v>10</v>
          </cell>
          <cell r="L258" t="str">
            <v>WINTER15</v>
          </cell>
          <cell r="M258" t="str">
            <v>Instagram</v>
          </cell>
          <cell r="N258">
            <v>379.05</v>
          </cell>
        </row>
        <row r="259">
          <cell r="A259" t="str">
            <v>ORD200257</v>
          </cell>
          <cell r="B259">
            <v>45405</v>
          </cell>
          <cell r="C259" t="str">
            <v>C89732</v>
          </cell>
          <cell r="D259" t="str">
            <v>Phone</v>
          </cell>
          <cell r="E259">
            <v>1</v>
          </cell>
          <cell r="F259">
            <v>406.22</v>
          </cell>
          <cell r="G259" t="str">
            <v>712 Main St</v>
          </cell>
          <cell r="H259" t="str">
            <v>Credit Card</v>
          </cell>
          <cell r="I259" t="str">
            <v>Cancelled</v>
          </cell>
          <cell r="J259" t="str">
            <v>TRK41059233</v>
          </cell>
          <cell r="K259">
            <v>5</v>
          </cell>
          <cell r="L259" t="str">
            <v>SAVE10</v>
          </cell>
          <cell r="M259" t="str">
            <v>Referral</v>
          </cell>
          <cell r="N259">
            <v>406.22</v>
          </cell>
        </row>
        <row r="260">
          <cell r="A260" t="str">
            <v>ORD200258</v>
          </cell>
          <cell r="B260">
            <v>45348</v>
          </cell>
          <cell r="C260" t="str">
            <v>C87764</v>
          </cell>
          <cell r="D260" t="str">
            <v>Tablet</v>
          </cell>
          <cell r="E260">
            <v>2</v>
          </cell>
          <cell r="F260">
            <v>103.41</v>
          </cell>
          <cell r="G260" t="str">
            <v>294 Main St</v>
          </cell>
          <cell r="H260" t="str">
            <v>Online</v>
          </cell>
          <cell r="I260" t="str">
            <v>Shipped</v>
          </cell>
          <cell r="J260" t="str">
            <v>TRK94082469</v>
          </cell>
          <cell r="K260">
            <v>2</v>
          </cell>
          <cell r="L260" t="str">
            <v>FREESHIP</v>
          </cell>
          <cell r="M260" t="str">
            <v>Referral</v>
          </cell>
          <cell r="N260">
            <v>206.82</v>
          </cell>
        </row>
        <row r="261">
          <cell r="A261" t="str">
            <v>ORD200259</v>
          </cell>
          <cell r="B261">
            <v>45088</v>
          </cell>
          <cell r="C261" t="str">
            <v>C20977</v>
          </cell>
          <cell r="D261" t="str">
            <v>Chair</v>
          </cell>
          <cell r="E261">
            <v>4</v>
          </cell>
          <cell r="F261">
            <v>435.12</v>
          </cell>
          <cell r="G261" t="str">
            <v>636 Main St</v>
          </cell>
          <cell r="H261" t="str">
            <v>Credit Card</v>
          </cell>
          <cell r="I261" t="str">
            <v>Delivered</v>
          </cell>
          <cell r="J261" t="str">
            <v>TRK54991561</v>
          </cell>
          <cell r="K261">
            <v>9</v>
          </cell>
          <cell r="L261" t="str">
            <v>SAVE10</v>
          </cell>
          <cell r="M261" t="str">
            <v>Instagram</v>
          </cell>
          <cell r="N261">
            <v>1740.48</v>
          </cell>
        </row>
        <row r="262">
          <cell r="A262" t="str">
            <v>ORD200260</v>
          </cell>
          <cell r="B262">
            <v>45063</v>
          </cell>
          <cell r="C262" t="str">
            <v>C12245</v>
          </cell>
          <cell r="D262" t="str">
            <v>Monitor</v>
          </cell>
          <cell r="E262">
            <v>2</v>
          </cell>
          <cell r="F262">
            <v>407.79</v>
          </cell>
          <cell r="G262" t="str">
            <v>153 Main St</v>
          </cell>
          <cell r="H262" t="str">
            <v>Debit Card</v>
          </cell>
          <cell r="I262" t="str">
            <v>Shipped</v>
          </cell>
          <cell r="J262" t="str">
            <v>TRK22000463</v>
          </cell>
          <cell r="K262">
            <v>3</v>
          </cell>
          <cell r="L262" t="str">
            <v>No Coupon</v>
          </cell>
          <cell r="M262" t="str">
            <v>Google</v>
          </cell>
          <cell r="N262">
            <v>815.58</v>
          </cell>
        </row>
        <row r="263">
          <cell r="A263" t="str">
            <v>ORD200261</v>
          </cell>
          <cell r="B263">
            <v>45805</v>
          </cell>
          <cell r="C263" t="str">
            <v>C68976</v>
          </cell>
          <cell r="D263" t="str">
            <v>Phone</v>
          </cell>
          <cell r="E263">
            <v>5</v>
          </cell>
          <cell r="F263">
            <v>173.65</v>
          </cell>
          <cell r="G263" t="str">
            <v>460 Main St</v>
          </cell>
          <cell r="H263" t="str">
            <v>Gift Card</v>
          </cell>
          <cell r="I263" t="str">
            <v>Delivered</v>
          </cell>
          <cell r="J263" t="str">
            <v>TRK25491356</v>
          </cell>
          <cell r="K263">
            <v>9</v>
          </cell>
          <cell r="L263" t="str">
            <v>SAVE10</v>
          </cell>
          <cell r="M263" t="str">
            <v>Email</v>
          </cell>
          <cell r="N263">
            <v>868.25</v>
          </cell>
        </row>
        <row r="264">
          <cell r="A264" t="str">
            <v>ORD200262</v>
          </cell>
          <cell r="B264">
            <v>44936</v>
          </cell>
          <cell r="C264" t="str">
            <v>C69476</v>
          </cell>
          <cell r="D264" t="str">
            <v>Phone</v>
          </cell>
          <cell r="E264">
            <v>4</v>
          </cell>
          <cell r="F264">
            <v>249.07</v>
          </cell>
          <cell r="G264" t="str">
            <v>642 Main St</v>
          </cell>
          <cell r="H264" t="str">
            <v>Credit Card</v>
          </cell>
          <cell r="I264" t="str">
            <v>Returned</v>
          </cell>
          <cell r="J264" t="str">
            <v>TRK65869386</v>
          </cell>
          <cell r="K264">
            <v>5</v>
          </cell>
          <cell r="L264" t="str">
            <v>WINTER15</v>
          </cell>
          <cell r="M264" t="str">
            <v>Referral</v>
          </cell>
          <cell r="N264">
            <v>996.28</v>
          </cell>
        </row>
        <row r="265">
          <cell r="A265" t="str">
            <v>ORD200263</v>
          </cell>
          <cell r="B265">
            <v>45010</v>
          </cell>
          <cell r="C265" t="str">
            <v>C71040</v>
          </cell>
          <cell r="D265" t="str">
            <v>Phone</v>
          </cell>
          <cell r="E265">
            <v>4</v>
          </cell>
          <cell r="F265">
            <v>434.85</v>
          </cell>
          <cell r="G265" t="str">
            <v>250 Main St</v>
          </cell>
          <cell r="H265" t="str">
            <v>Credit Card</v>
          </cell>
          <cell r="I265" t="str">
            <v>Pending</v>
          </cell>
          <cell r="J265" t="str">
            <v>TRK41397604</v>
          </cell>
          <cell r="K265">
            <v>4</v>
          </cell>
          <cell r="L265" t="str">
            <v>WINTER15</v>
          </cell>
          <cell r="M265" t="str">
            <v>Google</v>
          </cell>
          <cell r="N265">
            <v>1739.4</v>
          </cell>
        </row>
        <row r="266">
          <cell r="A266" t="str">
            <v>ORD200264</v>
          </cell>
          <cell r="B266">
            <v>45507</v>
          </cell>
          <cell r="C266" t="str">
            <v>C71035</v>
          </cell>
          <cell r="D266" t="str">
            <v>Tablet</v>
          </cell>
          <cell r="E266">
            <v>1</v>
          </cell>
          <cell r="F266">
            <v>436.77</v>
          </cell>
          <cell r="G266" t="str">
            <v>977 Main St</v>
          </cell>
          <cell r="H266" t="str">
            <v>Cash</v>
          </cell>
          <cell r="I266" t="str">
            <v>Returned</v>
          </cell>
          <cell r="J266" t="str">
            <v>TRK19599578</v>
          </cell>
          <cell r="K266">
            <v>5</v>
          </cell>
          <cell r="L266" t="str">
            <v>FREESHIP</v>
          </cell>
          <cell r="M266" t="str">
            <v>Google</v>
          </cell>
          <cell r="N266">
            <v>436.77</v>
          </cell>
        </row>
        <row r="267">
          <cell r="A267" t="str">
            <v>ORD200265</v>
          </cell>
          <cell r="B267">
            <v>45282</v>
          </cell>
          <cell r="C267" t="str">
            <v>C20752</v>
          </cell>
          <cell r="D267" t="str">
            <v>Printer</v>
          </cell>
          <cell r="E267">
            <v>1</v>
          </cell>
          <cell r="F267">
            <v>572.13</v>
          </cell>
          <cell r="G267" t="str">
            <v>150 Main St</v>
          </cell>
          <cell r="H267" t="str">
            <v>Debit Card</v>
          </cell>
          <cell r="I267" t="str">
            <v>Cancelled</v>
          </cell>
          <cell r="J267" t="str">
            <v>TRK22298450</v>
          </cell>
          <cell r="K267">
            <v>4</v>
          </cell>
          <cell r="L267" t="str">
            <v>SAVE10</v>
          </cell>
          <cell r="M267" t="str">
            <v>Google</v>
          </cell>
          <cell r="N267">
            <v>572.13</v>
          </cell>
        </row>
        <row r="268">
          <cell r="A268" t="str">
            <v>ORD200266</v>
          </cell>
          <cell r="B268">
            <v>45451</v>
          </cell>
          <cell r="C268" t="str">
            <v>C38840</v>
          </cell>
          <cell r="D268" t="str">
            <v>Chair</v>
          </cell>
          <cell r="E268">
            <v>4</v>
          </cell>
          <cell r="F268">
            <v>583.07000000000005</v>
          </cell>
          <cell r="G268" t="str">
            <v>589 Main St</v>
          </cell>
          <cell r="H268" t="str">
            <v>Credit Card</v>
          </cell>
          <cell r="I268" t="str">
            <v>Cancelled</v>
          </cell>
          <cell r="J268" t="str">
            <v>TRK48484633</v>
          </cell>
          <cell r="K268">
            <v>6</v>
          </cell>
          <cell r="L268" t="str">
            <v>FREESHIP</v>
          </cell>
          <cell r="M268" t="str">
            <v>Referral</v>
          </cell>
          <cell r="N268">
            <v>2332.2800000000002</v>
          </cell>
        </row>
        <row r="269">
          <cell r="A269" t="str">
            <v>ORD200267</v>
          </cell>
          <cell r="B269">
            <v>45764</v>
          </cell>
          <cell r="C269" t="str">
            <v>C84480</v>
          </cell>
          <cell r="D269" t="str">
            <v>Chair</v>
          </cell>
          <cell r="E269">
            <v>5</v>
          </cell>
          <cell r="F269">
            <v>468.51</v>
          </cell>
          <cell r="G269" t="str">
            <v>803 Main St</v>
          </cell>
          <cell r="H269" t="str">
            <v>Debit Card</v>
          </cell>
          <cell r="I269" t="str">
            <v>Delivered</v>
          </cell>
          <cell r="J269" t="str">
            <v>TRK62361867</v>
          </cell>
          <cell r="K269">
            <v>9</v>
          </cell>
          <cell r="L269" t="str">
            <v>No Coupon</v>
          </cell>
          <cell r="M269" t="str">
            <v>Facebook</v>
          </cell>
          <cell r="N269">
            <v>2342.5500000000002</v>
          </cell>
        </row>
        <row r="270">
          <cell r="A270" t="str">
            <v>ORD200268</v>
          </cell>
          <cell r="B270">
            <v>45149</v>
          </cell>
          <cell r="C270" t="str">
            <v>C37032</v>
          </cell>
          <cell r="D270" t="str">
            <v>Phone</v>
          </cell>
          <cell r="E270">
            <v>2</v>
          </cell>
          <cell r="F270">
            <v>423.88</v>
          </cell>
          <cell r="G270" t="str">
            <v>655 Main St</v>
          </cell>
          <cell r="H270" t="str">
            <v>Debit Card</v>
          </cell>
          <cell r="I270" t="str">
            <v>Delivered</v>
          </cell>
          <cell r="J270" t="str">
            <v>TRK48639226</v>
          </cell>
          <cell r="K270">
            <v>7</v>
          </cell>
          <cell r="L270" t="str">
            <v>SAVE10</v>
          </cell>
          <cell r="M270" t="str">
            <v>Referral</v>
          </cell>
          <cell r="N270">
            <v>847.76</v>
          </cell>
        </row>
        <row r="271">
          <cell r="A271" t="str">
            <v>ORD200269</v>
          </cell>
          <cell r="B271">
            <v>45255</v>
          </cell>
          <cell r="C271" t="str">
            <v>C48942</v>
          </cell>
          <cell r="D271" t="str">
            <v>Tablet</v>
          </cell>
          <cell r="E271">
            <v>4</v>
          </cell>
          <cell r="F271">
            <v>663.67</v>
          </cell>
          <cell r="G271" t="str">
            <v>129 Main St</v>
          </cell>
          <cell r="H271" t="str">
            <v>Credit Card</v>
          </cell>
          <cell r="I271" t="str">
            <v>Pending</v>
          </cell>
          <cell r="J271" t="str">
            <v>TRK29355120</v>
          </cell>
          <cell r="K271">
            <v>7</v>
          </cell>
          <cell r="L271" t="str">
            <v>FREESHIP</v>
          </cell>
          <cell r="M271" t="str">
            <v>Google</v>
          </cell>
          <cell r="N271">
            <v>2654.68</v>
          </cell>
        </row>
        <row r="272">
          <cell r="A272" t="str">
            <v>ORD200270</v>
          </cell>
          <cell r="B272">
            <v>45081</v>
          </cell>
          <cell r="C272" t="str">
            <v>C13540</v>
          </cell>
          <cell r="D272" t="str">
            <v>Printer</v>
          </cell>
          <cell r="E272">
            <v>4</v>
          </cell>
          <cell r="F272">
            <v>309.91000000000003</v>
          </cell>
          <cell r="G272" t="str">
            <v>127 Main St</v>
          </cell>
          <cell r="H272" t="str">
            <v>Debit Card</v>
          </cell>
          <cell r="I272" t="str">
            <v>Shipped</v>
          </cell>
          <cell r="J272" t="str">
            <v>TRK81087373</v>
          </cell>
          <cell r="K272">
            <v>5</v>
          </cell>
          <cell r="L272" t="str">
            <v>WINTER15</v>
          </cell>
          <cell r="M272" t="str">
            <v>Google</v>
          </cell>
          <cell r="N272">
            <v>1239.6400000000001</v>
          </cell>
        </row>
        <row r="273">
          <cell r="A273" t="str">
            <v>ORD200271</v>
          </cell>
          <cell r="B273">
            <v>45013</v>
          </cell>
          <cell r="C273" t="str">
            <v>C59572</v>
          </cell>
          <cell r="D273" t="str">
            <v>Monitor</v>
          </cell>
          <cell r="E273">
            <v>1</v>
          </cell>
          <cell r="F273">
            <v>542.07000000000005</v>
          </cell>
          <cell r="G273" t="str">
            <v>791 Main St</v>
          </cell>
          <cell r="H273" t="str">
            <v>Cash</v>
          </cell>
          <cell r="I273" t="str">
            <v>Shipped</v>
          </cell>
          <cell r="J273" t="str">
            <v>TRK16792991</v>
          </cell>
          <cell r="K273">
            <v>6</v>
          </cell>
          <cell r="L273" t="str">
            <v>WINTER15</v>
          </cell>
          <cell r="M273" t="str">
            <v>Referral</v>
          </cell>
          <cell r="N273">
            <v>542.07000000000005</v>
          </cell>
        </row>
        <row r="274">
          <cell r="A274" t="str">
            <v>ORD200272</v>
          </cell>
          <cell r="B274">
            <v>45188</v>
          </cell>
          <cell r="C274" t="str">
            <v>C29758</v>
          </cell>
          <cell r="D274" t="str">
            <v>Chair</v>
          </cell>
          <cell r="E274">
            <v>2</v>
          </cell>
          <cell r="F274">
            <v>399.32</v>
          </cell>
          <cell r="G274" t="str">
            <v>119 Main St</v>
          </cell>
          <cell r="H274" t="str">
            <v>Online</v>
          </cell>
          <cell r="I274" t="str">
            <v>Pending</v>
          </cell>
          <cell r="J274" t="str">
            <v>TRK12990043</v>
          </cell>
          <cell r="K274">
            <v>6</v>
          </cell>
          <cell r="L274" t="str">
            <v>WINTER15</v>
          </cell>
          <cell r="M274" t="str">
            <v>Instagram</v>
          </cell>
          <cell r="N274">
            <v>798.64</v>
          </cell>
        </row>
        <row r="275">
          <cell r="A275" t="str">
            <v>ORD200273</v>
          </cell>
          <cell r="B275">
            <v>45592</v>
          </cell>
          <cell r="C275" t="str">
            <v>C11849</v>
          </cell>
          <cell r="D275" t="str">
            <v>Tablet</v>
          </cell>
          <cell r="E275">
            <v>2</v>
          </cell>
          <cell r="F275">
            <v>238.25</v>
          </cell>
          <cell r="G275" t="str">
            <v>974 Main St</v>
          </cell>
          <cell r="H275" t="str">
            <v>Online</v>
          </cell>
          <cell r="I275" t="str">
            <v>Cancelled</v>
          </cell>
          <cell r="J275" t="str">
            <v>TRK91195261</v>
          </cell>
          <cell r="K275">
            <v>7</v>
          </cell>
          <cell r="L275" t="str">
            <v>FREESHIP</v>
          </cell>
          <cell r="M275" t="str">
            <v>Email</v>
          </cell>
          <cell r="N275">
            <v>476.5</v>
          </cell>
        </row>
        <row r="276">
          <cell r="A276" t="str">
            <v>ORD200274</v>
          </cell>
          <cell r="B276">
            <v>44961</v>
          </cell>
          <cell r="C276" t="str">
            <v>C50967</v>
          </cell>
          <cell r="D276" t="str">
            <v>Phone</v>
          </cell>
          <cell r="E276">
            <v>2</v>
          </cell>
          <cell r="F276">
            <v>182.4</v>
          </cell>
          <cell r="G276" t="str">
            <v>884 Main St</v>
          </cell>
          <cell r="H276" t="str">
            <v>Gift Card</v>
          </cell>
          <cell r="I276" t="str">
            <v>Cancelled</v>
          </cell>
          <cell r="J276" t="str">
            <v>TRK65300814</v>
          </cell>
          <cell r="K276">
            <v>5</v>
          </cell>
          <cell r="L276" t="str">
            <v>SAVE10</v>
          </cell>
          <cell r="M276" t="str">
            <v>Referral</v>
          </cell>
          <cell r="N276">
            <v>364.8</v>
          </cell>
        </row>
        <row r="277">
          <cell r="A277" t="str">
            <v>ORD200275</v>
          </cell>
          <cell r="B277">
            <v>45234</v>
          </cell>
          <cell r="C277" t="str">
            <v>C80735</v>
          </cell>
          <cell r="D277" t="str">
            <v>Chair</v>
          </cell>
          <cell r="E277">
            <v>2</v>
          </cell>
          <cell r="F277">
            <v>65.069999999999993</v>
          </cell>
          <cell r="G277" t="str">
            <v>360 Main St</v>
          </cell>
          <cell r="H277" t="str">
            <v>Credit Card</v>
          </cell>
          <cell r="I277" t="str">
            <v>Cancelled</v>
          </cell>
          <cell r="J277" t="str">
            <v>TRK99880231</v>
          </cell>
          <cell r="K277">
            <v>4</v>
          </cell>
          <cell r="L277" t="str">
            <v>SAVE10</v>
          </cell>
          <cell r="M277" t="str">
            <v>Google</v>
          </cell>
          <cell r="N277">
            <v>130.13999999999999</v>
          </cell>
        </row>
        <row r="278">
          <cell r="A278" t="str">
            <v>ORD200276</v>
          </cell>
          <cell r="B278">
            <v>45745</v>
          </cell>
          <cell r="C278" t="str">
            <v>C99050</v>
          </cell>
          <cell r="D278" t="str">
            <v>Printer</v>
          </cell>
          <cell r="E278">
            <v>2</v>
          </cell>
          <cell r="F278">
            <v>600.57000000000005</v>
          </cell>
          <cell r="G278" t="str">
            <v>654 Main St</v>
          </cell>
          <cell r="H278" t="str">
            <v>Debit Card</v>
          </cell>
          <cell r="I278" t="str">
            <v>Returned</v>
          </cell>
          <cell r="J278" t="str">
            <v>TRK56927089</v>
          </cell>
          <cell r="K278">
            <v>3</v>
          </cell>
          <cell r="L278" t="str">
            <v>WINTER15</v>
          </cell>
          <cell r="M278" t="str">
            <v>Instagram</v>
          </cell>
          <cell r="N278">
            <v>1201.1400000000001</v>
          </cell>
        </row>
        <row r="279">
          <cell r="A279" t="str">
            <v>ORD200277</v>
          </cell>
          <cell r="B279">
            <v>45544</v>
          </cell>
          <cell r="C279" t="str">
            <v>C11210</v>
          </cell>
          <cell r="D279" t="str">
            <v>Chair</v>
          </cell>
          <cell r="E279">
            <v>5</v>
          </cell>
          <cell r="F279">
            <v>90.92</v>
          </cell>
          <cell r="G279" t="str">
            <v>910 Main St</v>
          </cell>
          <cell r="H279" t="str">
            <v>Credit Card</v>
          </cell>
          <cell r="I279" t="str">
            <v>Delivered</v>
          </cell>
          <cell r="J279" t="str">
            <v>TRK44929965</v>
          </cell>
          <cell r="K279">
            <v>9</v>
          </cell>
          <cell r="L279" t="str">
            <v>SAVE10</v>
          </cell>
          <cell r="M279" t="str">
            <v>Facebook</v>
          </cell>
          <cell r="N279">
            <v>454.6</v>
          </cell>
        </row>
        <row r="280">
          <cell r="A280" t="str">
            <v>ORD200278</v>
          </cell>
          <cell r="B280">
            <v>45614</v>
          </cell>
          <cell r="C280" t="str">
            <v>C46015</v>
          </cell>
          <cell r="D280" t="str">
            <v>Laptop</v>
          </cell>
          <cell r="E280">
            <v>5</v>
          </cell>
          <cell r="F280">
            <v>362.46</v>
          </cell>
          <cell r="G280" t="str">
            <v>299 Main St</v>
          </cell>
          <cell r="H280" t="str">
            <v>Cash</v>
          </cell>
          <cell r="I280" t="str">
            <v>Delivered</v>
          </cell>
          <cell r="J280" t="str">
            <v>TRK46598430</v>
          </cell>
          <cell r="K280">
            <v>6</v>
          </cell>
          <cell r="L280" t="str">
            <v>FREESHIP</v>
          </cell>
          <cell r="M280" t="str">
            <v>Instagram</v>
          </cell>
          <cell r="N280">
            <v>1812.3</v>
          </cell>
        </row>
        <row r="281">
          <cell r="A281" t="str">
            <v>ORD200279</v>
          </cell>
          <cell r="B281">
            <v>45219</v>
          </cell>
          <cell r="C281" t="str">
            <v>C69167</v>
          </cell>
          <cell r="D281" t="str">
            <v>Chair</v>
          </cell>
          <cell r="E281">
            <v>3</v>
          </cell>
          <cell r="F281">
            <v>55.01</v>
          </cell>
          <cell r="G281" t="str">
            <v>263 Main St</v>
          </cell>
          <cell r="H281" t="str">
            <v>Online</v>
          </cell>
          <cell r="I281" t="str">
            <v>Pending</v>
          </cell>
          <cell r="J281" t="str">
            <v>TRK12425655</v>
          </cell>
          <cell r="K281">
            <v>7</v>
          </cell>
          <cell r="L281" t="str">
            <v>WINTER15</v>
          </cell>
          <cell r="M281" t="str">
            <v>Email</v>
          </cell>
          <cell r="N281">
            <v>165.03</v>
          </cell>
        </row>
        <row r="282">
          <cell r="A282" t="str">
            <v>ORD200280</v>
          </cell>
          <cell r="B282">
            <v>45012</v>
          </cell>
          <cell r="C282" t="str">
            <v>C55388</v>
          </cell>
          <cell r="D282" t="str">
            <v>Tablet</v>
          </cell>
          <cell r="E282">
            <v>3</v>
          </cell>
          <cell r="F282">
            <v>404.62</v>
          </cell>
          <cell r="G282" t="str">
            <v>740 Main St</v>
          </cell>
          <cell r="H282" t="str">
            <v>Gift Card</v>
          </cell>
          <cell r="I282" t="str">
            <v>Delivered</v>
          </cell>
          <cell r="J282" t="str">
            <v>TRK75741001</v>
          </cell>
          <cell r="K282">
            <v>6</v>
          </cell>
          <cell r="L282" t="str">
            <v>FREESHIP</v>
          </cell>
          <cell r="M282" t="str">
            <v>Instagram</v>
          </cell>
          <cell r="N282">
            <v>1213.8600000000001</v>
          </cell>
        </row>
        <row r="283">
          <cell r="A283" t="str">
            <v>ORD200281</v>
          </cell>
          <cell r="B283">
            <v>45134</v>
          </cell>
          <cell r="C283" t="str">
            <v>C87181</v>
          </cell>
          <cell r="D283" t="str">
            <v>Desk</v>
          </cell>
          <cell r="E283">
            <v>4</v>
          </cell>
          <cell r="F283">
            <v>654.79</v>
          </cell>
          <cell r="G283" t="str">
            <v>195 Main St</v>
          </cell>
          <cell r="H283" t="str">
            <v>Cash</v>
          </cell>
          <cell r="I283" t="str">
            <v>Pending</v>
          </cell>
          <cell r="J283" t="str">
            <v>TRK60093390</v>
          </cell>
          <cell r="K283">
            <v>9</v>
          </cell>
          <cell r="L283" t="str">
            <v>No Coupon</v>
          </cell>
          <cell r="M283" t="str">
            <v>Referral</v>
          </cell>
          <cell r="N283">
            <v>2619.16</v>
          </cell>
        </row>
        <row r="284">
          <cell r="A284" t="str">
            <v>ORD200282</v>
          </cell>
          <cell r="B284">
            <v>45769</v>
          </cell>
          <cell r="C284" t="str">
            <v>C30411</v>
          </cell>
          <cell r="D284" t="str">
            <v>Printer</v>
          </cell>
          <cell r="E284">
            <v>4</v>
          </cell>
          <cell r="F284">
            <v>637.79</v>
          </cell>
          <cell r="G284" t="str">
            <v>375 Main St</v>
          </cell>
          <cell r="H284" t="str">
            <v>Gift Card</v>
          </cell>
          <cell r="I284" t="str">
            <v>Cancelled</v>
          </cell>
          <cell r="J284" t="str">
            <v>TRK71810536</v>
          </cell>
          <cell r="K284">
            <v>9</v>
          </cell>
          <cell r="L284" t="str">
            <v>FREESHIP</v>
          </cell>
          <cell r="M284" t="str">
            <v>Google</v>
          </cell>
          <cell r="N284">
            <v>2551.16</v>
          </cell>
        </row>
        <row r="285">
          <cell r="A285" t="str">
            <v>ORD200283</v>
          </cell>
          <cell r="B285">
            <v>45716</v>
          </cell>
          <cell r="C285" t="str">
            <v>C39638</v>
          </cell>
          <cell r="D285" t="str">
            <v>Laptop</v>
          </cell>
          <cell r="E285">
            <v>4</v>
          </cell>
          <cell r="F285">
            <v>540.33000000000004</v>
          </cell>
          <cell r="G285" t="str">
            <v>990 Main St</v>
          </cell>
          <cell r="H285" t="str">
            <v>Cash</v>
          </cell>
          <cell r="I285" t="str">
            <v>Shipped</v>
          </cell>
          <cell r="J285" t="str">
            <v>TRK69745608</v>
          </cell>
          <cell r="K285">
            <v>6</v>
          </cell>
          <cell r="L285" t="str">
            <v>No Coupon</v>
          </cell>
          <cell r="M285" t="str">
            <v>Google</v>
          </cell>
          <cell r="N285">
            <v>2161.3200000000002</v>
          </cell>
        </row>
        <row r="286">
          <cell r="A286" t="str">
            <v>ORD200284</v>
          </cell>
          <cell r="B286">
            <v>44973</v>
          </cell>
          <cell r="C286" t="str">
            <v>C27203</v>
          </cell>
          <cell r="D286" t="str">
            <v>Laptop</v>
          </cell>
          <cell r="E286">
            <v>5</v>
          </cell>
          <cell r="F286">
            <v>208.17</v>
          </cell>
          <cell r="G286" t="str">
            <v>516 Main St</v>
          </cell>
          <cell r="H286" t="str">
            <v>Credit Card</v>
          </cell>
          <cell r="I286" t="str">
            <v>Returned</v>
          </cell>
          <cell r="J286" t="str">
            <v>TRK22023906</v>
          </cell>
          <cell r="K286">
            <v>6</v>
          </cell>
          <cell r="L286" t="str">
            <v>SAVE10</v>
          </cell>
          <cell r="M286" t="str">
            <v>Facebook</v>
          </cell>
          <cell r="N286">
            <v>1040.8499999999999</v>
          </cell>
        </row>
        <row r="287">
          <cell r="A287" t="str">
            <v>ORD200285</v>
          </cell>
          <cell r="B287">
            <v>45818</v>
          </cell>
          <cell r="C287" t="str">
            <v>C67583</v>
          </cell>
          <cell r="D287" t="str">
            <v>Phone</v>
          </cell>
          <cell r="E287">
            <v>1</v>
          </cell>
          <cell r="F287">
            <v>338.31</v>
          </cell>
          <cell r="G287" t="str">
            <v>974 Main St</v>
          </cell>
          <cell r="H287" t="str">
            <v>Online</v>
          </cell>
          <cell r="I287" t="str">
            <v>Delivered</v>
          </cell>
          <cell r="J287" t="str">
            <v>TRK93281700</v>
          </cell>
          <cell r="K287">
            <v>3</v>
          </cell>
          <cell r="L287" t="str">
            <v>No Coupon</v>
          </cell>
          <cell r="M287" t="str">
            <v>Google</v>
          </cell>
          <cell r="N287">
            <v>338.31</v>
          </cell>
        </row>
        <row r="288">
          <cell r="A288" t="str">
            <v>ORD200286</v>
          </cell>
          <cell r="B288">
            <v>45754</v>
          </cell>
          <cell r="C288" t="str">
            <v>C70554</v>
          </cell>
          <cell r="D288" t="str">
            <v>Monitor</v>
          </cell>
          <cell r="E288">
            <v>3</v>
          </cell>
          <cell r="F288">
            <v>139.44999999999999</v>
          </cell>
          <cell r="G288" t="str">
            <v>187 Main St</v>
          </cell>
          <cell r="H288" t="str">
            <v>Gift Card</v>
          </cell>
          <cell r="I288" t="str">
            <v>Returned</v>
          </cell>
          <cell r="J288" t="str">
            <v>TRK61086952</v>
          </cell>
          <cell r="K288">
            <v>8</v>
          </cell>
          <cell r="L288" t="str">
            <v>WINTER15</v>
          </cell>
          <cell r="M288" t="str">
            <v>Google</v>
          </cell>
          <cell r="N288">
            <v>418.34999999999997</v>
          </cell>
        </row>
        <row r="289">
          <cell r="A289" t="str">
            <v>ORD200287</v>
          </cell>
          <cell r="B289">
            <v>45254</v>
          </cell>
          <cell r="C289" t="str">
            <v>C70437</v>
          </cell>
          <cell r="D289" t="str">
            <v>Chair</v>
          </cell>
          <cell r="E289">
            <v>4</v>
          </cell>
          <cell r="F289">
            <v>655.17999999999995</v>
          </cell>
          <cell r="G289" t="str">
            <v>630 Main St</v>
          </cell>
          <cell r="H289" t="str">
            <v>Online</v>
          </cell>
          <cell r="I289" t="str">
            <v>Shipped</v>
          </cell>
          <cell r="J289" t="str">
            <v>TRK26628830</v>
          </cell>
          <cell r="K289">
            <v>5</v>
          </cell>
          <cell r="L289" t="str">
            <v>No Coupon</v>
          </cell>
          <cell r="M289" t="str">
            <v>Facebook</v>
          </cell>
          <cell r="N289">
            <v>2620.7199999999998</v>
          </cell>
        </row>
        <row r="290">
          <cell r="A290" t="str">
            <v>ORD200288</v>
          </cell>
          <cell r="B290">
            <v>44997</v>
          </cell>
          <cell r="C290" t="str">
            <v>C97643</v>
          </cell>
          <cell r="D290" t="str">
            <v>Laptop</v>
          </cell>
          <cell r="E290">
            <v>4</v>
          </cell>
          <cell r="F290">
            <v>512.75</v>
          </cell>
          <cell r="G290" t="str">
            <v>537 Main St</v>
          </cell>
          <cell r="H290" t="str">
            <v>Debit Card</v>
          </cell>
          <cell r="I290" t="str">
            <v>Returned</v>
          </cell>
          <cell r="J290" t="str">
            <v>TRK60831391</v>
          </cell>
          <cell r="K290">
            <v>8</v>
          </cell>
          <cell r="L290" t="str">
            <v>WINTER15</v>
          </cell>
          <cell r="M290" t="str">
            <v>Google</v>
          </cell>
          <cell r="N290">
            <v>2051</v>
          </cell>
        </row>
        <row r="291">
          <cell r="A291" t="str">
            <v>ORD200289</v>
          </cell>
          <cell r="B291">
            <v>45133</v>
          </cell>
          <cell r="C291" t="str">
            <v>C17136</v>
          </cell>
          <cell r="D291" t="str">
            <v>Chair</v>
          </cell>
          <cell r="E291">
            <v>4</v>
          </cell>
          <cell r="F291">
            <v>160.49</v>
          </cell>
          <cell r="G291" t="str">
            <v>333 Main St</v>
          </cell>
          <cell r="H291" t="str">
            <v>Credit Card</v>
          </cell>
          <cell r="I291" t="str">
            <v>Shipped</v>
          </cell>
          <cell r="J291" t="str">
            <v>TRK55362541</v>
          </cell>
          <cell r="K291">
            <v>8</v>
          </cell>
          <cell r="L291" t="str">
            <v>WINTER15</v>
          </cell>
          <cell r="M291" t="str">
            <v>Referral</v>
          </cell>
          <cell r="N291">
            <v>641.96</v>
          </cell>
        </row>
        <row r="292">
          <cell r="A292" t="str">
            <v>ORD200290</v>
          </cell>
          <cell r="B292">
            <v>45051</v>
          </cell>
          <cell r="C292" t="str">
            <v>C24901</v>
          </cell>
          <cell r="D292" t="str">
            <v>Chair</v>
          </cell>
          <cell r="E292">
            <v>3</v>
          </cell>
          <cell r="F292">
            <v>99.9</v>
          </cell>
          <cell r="G292" t="str">
            <v>258 Main St</v>
          </cell>
          <cell r="H292" t="str">
            <v>Cash</v>
          </cell>
          <cell r="I292" t="str">
            <v>Delivered</v>
          </cell>
          <cell r="J292" t="str">
            <v>TRK14029489</v>
          </cell>
          <cell r="K292">
            <v>8</v>
          </cell>
          <cell r="L292" t="str">
            <v>FREESHIP</v>
          </cell>
          <cell r="M292" t="str">
            <v>Facebook</v>
          </cell>
          <cell r="N292">
            <v>299.70000000000005</v>
          </cell>
        </row>
        <row r="293">
          <cell r="A293" t="str">
            <v>ORD200291</v>
          </cell>
          <cell r="B293">
            <v>45424</v>
          </cell>
          <cell r="C293" t="str">
            <v>C61521</v>
          </cell>
          <cell r="D293" t="str">
            <v>Phone</v>
          </cell>
          <cell r="E293">
            <v>2</v>
          </cell>
          <cell r="F293">
            <v>345.01</v>
          </cell>
          <cell r="G293" t="str">
            <v>670 Main St</v>
          </cell>
          <cell r="H293" t="str">
            <v>Credit Card</v>
          </cell>
          <cell r="I293" t="str">
            <v>Delivered</v>
          </cell>
          <cell r="J293" t="str">
            <v>TRK93676567</v>
          </cell>
          <cell r="K293">
            <v>6</v>
          </cell>
          <cell r="L293" t="str">
            <v>FREESHIP</v>
          </cell>
          <cell r="M293" t="str">
            <v>Google</v>
          </cell>
          <cell r="N293">
            <v>690.02</v>
          </cell>
        </row>
        <row r="294">
          <cell r="A294" t="str">
            <v>ORD200292</v>
          </cell>
          <cell r="B294">
            <v>45672</v>
          </cell>
          <cell r="C294" t="str">
            <v>C39639</v>
          </cell>
          <cell r="D294" t="str">
            <v>Monitor</v>
          </cell>
          <cell r="E294">
            <v>1</v>
          </cell>
          <cell r="F294">
            <v>65.95</v>
          </cell>
          <cell r="G294" t="str">
            <v>185 Main St</v>
          </cell>
          <cell r="H294" t="str">
            <v>Credit Card</v>
          </cell>
          <cell r="I294" t="str">
            <v>Delivered</v>
          </cell>
          <cell r="J294" t="str">
            <v>TRK31042152</v>
          </cell>
          <cell r="K294">
            <v>5</v>
          </cell>
          <cell r="L294" t="str">
            <v>No Coupon</v>
          </cell>
          <cell r="M294" t="str">
            <v>Facebook</v>
          </cell>
          <cell r="N294">
            <v>65.95</v>
          </cell>
        </row>
        <row r="295">
          <cell r="A295" t="str">
            <v>ORD200293</v>
          </cell>
          <cell r="B295">
            <v>44973</v>
          </cell>
          <cell r="C295" t="str">
            <v>C33220</v>
          </cell>
          <cell r="D295" t="str">
            <v>Tablet</v>
          </cell>
          <cell r="E295">
            <v>4</v>
          </cell>
          <cell r="F295">
            <v>463.04</v>
          </cell>
          <cell r="G295" t="str">
            <v>564 Main St</v>
          </cell>
          <cell r="H295" t="str">
            <v>Gift Card</v>
          </cell>
          <cell r="I295" t="str">
            <v>Returned</v>
          </cell>
          <cell r="J295" t="str">
            <v>TRK40450219</v>
          </cell>
          <cell r="K295">
            <v>9</v>
          </cell>
          <cell r="L295" t="str">
            <v>No Coupon</v>
          </cell>
          <cell r="M295" t="str">
            <v>Instagram</v>
          </cell>
          <cell r="N295">
            <v>1852.16</v>
          </cell>
        </row>
        <row r="296">
          <cell r="A296" t="str">
            <v>ORD200294</v>
          </cell>
          <cell r="B296">
            <v>45748</v>
          </cell>
          <cell r="C296" t="str">
            <v>C65414</v>
          </cell>
          <cell r="D296" t="str">
            <v>Phone</v>
          </cell>
          <cell r="E296">
            <v>2</v>
          </cell>
          <cell r="F296">
            <v>297.70999999999998</v>
          </cell>
          <cell r="G296" t="str">
            <v>208 Main St</v>
          </cell>
          <cell r="H296" t="str">
            <v>Online</v>
          </cell>
          <cell r="I296" t="str">
            <v>Shipped</v>
          </cell>
          <cell r="J296" t="str">
            <v>TRK67562517</v>
          </cell>
          <cell r="K296">
            <v>7</v>
          </cell>
          <cell r="L296" t="str">
            <v>SAVE10</v>
          </cell>
          <cell r="M296" t="str">
            <v>Referral</v>
          </cell>
          <cell r="N296">
            <v>595.41999999999996</v>
          </cell>
        </row>
        <row r="297">
          <cell r="A297" t="str">
            <v>ORD200295</v>
          </cell>
          <cell r="B297">
            <v>44951</v>
          </cell>
          <cell r="C297" t="str">
            <v>C49009</v>
          </cell>
          <cell r="D297" t="str">
            <v>Printer</v>
          </cell>
          <cell r="E297">
            <v>5</v>
          </cell>
          <cell r="F297">
            <v>107.48</v>
          </cell>
          <cell r="G297" t="str">
            <v>278 Main St</v>
          </cell>
          <cell r="H297" t="str">
            <v>Debit Card</v>
          </cell>
          <cell r="I297" t="str">
            <v>Cancelled</v>
          </cell>
          <cell r="J297" t="str">
            <v>TRK46285799</v>
          </cell>
          <cell r="K297">
            <v>9</v>
          </cell>
          <cell r="L297" t="str">
            <v>FREESHIP</v>
          </cell>
          <cell r="M297" t="str">
            <v>Email</v>
          </cell>
          <cell r="N297">
            <v>537.4</v>
          </cell>
        </row>
        <row r="298">
          <cell r="A298" t="str">
            <v>ORD200296</v>
          </cell>
          <cell r="B298">
            <v>45462</v>
          </cell>
          <cell r="C298" t="str">
            <v>C48453</v>
          </cell>
          <cell r="D298" t="str">
            <v>Desk</v>
          </cell>
          <cell r="E298">
            <v>5</v>
          </cell>
          <cell r="F298">
            <v>638.79999999999995</v>
          </cell>
          <cell r="G298" t="str">
            <v>434 Main St</v>
          </cell>
          <cell r="H298" t="str">
            <v>Debit Card</v>
          </cell>
          <cell r="I298" t="str">
            <v>Cancelled</v>
          </cell>
          <cell r="J298" t="str">
            <v>TRK52110494</v>
          </cell>
          <cell r="K298">
            <v>10</v>
          </cell>
          <cell r="L298" t="str">
            <v>WINTER15</v>
          </cell>
          <cell r="M298" t="str">
            <v>Referral</v>
          </cell>
          <cell r="N298">
            <v>3194</v>
          </cell>
        </row>
        <row r="299">
          <cell r="A299" t="str">
            <v>ORD200297</v>
          </cell>
          <cell r="B299">
            <v>44979</v>
          </cell>
          <cell r="C299" t="str">
            <v>C68078</v>
          </cell>
          <cell r="D299" t="str">
            <v>Desk</v>
          </cell>
          <cell r="E299">
            <v>2</v>
          </cell>
          <cell r="F299">
            <v>493.88</v>
          </cell>
          <cell r="G299" t="str">
            <v>252 Main St</v>
          </cell>
          <cell r="H299" t="str">
            <v>Credit Card</v>
          </cell>
          <cell r="I299" t="str">
            <v>Returned</v>
          </cell>
          <cell r="J299" t="str">
            <v>TRK64862812</v>
          </cell>
          <cell r="K299">
            <v>7</v>
          </cell>
          <cell r="L299" t="str">
            <v>SAVE10</v>
          </cell>
          <cell r="M299" t="str">
            <v>Instagram</v>
          </cell>
          <cell r="N299">
            <v>987.76</v>
          </cell>
        </row>
        <row r="300">
          <cell r="A300" t="str">
            <v>ORD200298</v>
          </cell>
          <cell r="B300">
            <v>45279</v>
          </cell>
          <cell r="C300" t="str">
            <v>C19402</v>
          </cell>
          <cell r="D300" t="str">
            <v>Printer</v>
          </cell>
          <cell r="E300">
            <v>4</v>
          </cell>
          <cell r="F300">
            <v>301.17</v>
          </cell>
          <cell r="G300" t="str">
            <v>267 Main St</v>
          </cell>
          <cell r="H300" t="str">
            <v>Online</v>
          </cell>
          <cell r="I300" t="str">
            <v>Cancelled</v>
          </cell>
          <cell r="J300" t="str">
            <v>TRK97825212</v>
          </cell>
          <cell r="K300">
            <v>6</v>
          </cell>
          <cell r="L300" t="str">
            <v>No Coupon</v>
          </cell>
          <cell r="M300" t="str">
            <v>Email</v>
          </cell>
          <cell r="N300">
            <v>1204.68</v>
          </cell>
        </row>
        <row r="301">
          <cell r="A301" t="str">
            <v>ORD200299</v>
          </cell>
          <cell r="B301">
            <v>45311</v>
          </cell>
          <cell r="C301" t="str">
            <v>C30711</v>
          </cell>
          <cell r="D301" t="str">
            <v>Monitor</v>
          </cell>
          <cell r="E301">
            <v>1</v>
          </cell>
          <cell r="F301">
            <v>278.66000000000003</v>
          </cell>
          <cell r="G301" t="str">
            <v>856 Main St</v>
          </cell>
          <cell r="H301" t="str">
            <v>Gift Card</v>
          </cell>
          <cell r="I301" t="str">
            <v>Cancelled</v>
          </cell>
          <cell r="J301" t="str">
            <v>TRK42696593</v>
          </cell>
          <cell r="K301">
            <v>2</v>
          </cell>
          <cell r="L301" t="str">
            <v>FREESHIP</v>
          </cell>
          <cell r="M301" t="str">
            <v>Instagram</v>
          </cell>
          <cell r="N301">
            <v>278.66000000000003</v>
          </cell>
        </row>
        <row r="302">
          <cell r="A302" t="str">
            <v>ORD200300</v>
          </cell>
          <cell r="B302">
            <v>45537</v>
          </cell>
          <cell r="C302" t="str">
            <v>C39000</v>
          </cell>
          <cell r="D302" t="str">
            <v>Phone</v>
          </cell>
          <cell r="E302">
            <v>1</v>
          </cell>
          <cell r="F302">
            <v>287.45999999999998</v>
          </cell>
          <cell r="G302" t="str">
            <v>894 Main St</v>
          </cell>
          <cell r="H302" t="str">
            <v>Debit Card</v>
          </cell>
          <cell r="I302" t="str">
            <v>Returned</v>
          </cell>
          <cell r="J302" t="str">
            <v>TRK33753945</v>
          </cell>
          <cell r="K302">
            <v>3</v>
          </cell>
          <cell r="L302" t="str">
            <v>FREESHIP</v>
          </cell>
          <cell r="M302" t="str">
            <v>Facebook</v>
          </cell>
          <cell r="N302">
            <v>287.45999999999998</v>
          </cell>
        </row>
        <row r="303">
          <cell r="A303" t="str">
            <v>ORD200301</v>
          </cell>
          <cell r="B303">
            <v>45057</v>
          </cell>
          <cell r="C303" t="str">
            <v>C31105</v>
          </cell>
          <cell r="D303" t="str">
            <v>Chair</v>
          </cell>
          <cell r="E303">
            <v>1</v>
          </cell>
          <cell r="F303">
            <v>583.99</v>
          </cell>
          <cell r="G303" t="str">
            <v>726 Main St</v>
          </cell>
          <cell r="H303" t="str">
            <v>Cash</v>
          </cell>
          <cell r="I303" t="str">
            <v>Cancelled</v>
          </cell>
          <cell r="J303" t="str">
            <v>TRK40149095</v>
          </cell>
          <cell r="K303">
            <v>2</v>
          </cell>
          <cell r="L303" t="str">
            <v>SAVE10</v>
          </cell>
          <cell r="M303" t="str">
            <v>Email</v>
          </cell>
          <cell r="N303">
            <v>583.99</v>
          </cell>
        </row>
        <row r="304">
          <cell r="A304" t="str">
            <v>ORD200302</v>
          </cell>
          <cell r="B304">
            <v>45062</v>
          </cell>
          <cell r="C304" t="str">
            <v>C29432</v>
          </cell>
          <cell r="D304" t="str">
            <v>Chair</v>
          </cell>
          <cell r="E304">
            <v>3</v>
          </cell>
          <cell r="F304">
            <v>468.74</v>
          </cell>
          <cell r="G304" t="str">
            <v>121 Main St</v>
          </cell>
          <cell r="H304" t="str">
            <v>Cash</v>
          </cell>
          <cell r="I304" t="str">
            <v>Pending</v>
          </cell>
          <cell r="J304" t="str">
            <v>TRK44142517</v>
          </cell>
          <cell r="K304">
            <v>4</v>
          </cell>
          <cell r="L304" t="str">
            <v>FREESHIP</v>
          </cell>
          <cell r="M304" t="str">
            <v>Instagram</v>
          </cell>
          <cell r="N304">
            <v>1406.22</v>
          </cell>
        </row>
        <row r="305">
          <cell r="A305" t="str">
            <v>ORD200303</v>
          </cell>
          <cell r="B305">
            <v>45633</v>
          </cell>
          <cell r="C305" t="str">
            <v>C48531</v>
          </cell>
          <cell r="D305" t="str">
            <v>Tablet</v>
          </cell>
          <cell r="E305">
            <v>1</v>
          </cell>
          <cell r="F305">
            <v>30.54</v>
          </cell>
          <cell r="G305" t="str">
            <v>368 Main St</v>
          </cell>
          <cell r="H305" t="str">
            <v>Debit Card</v>
          </cell>
          <cell r="I305" t="str">
            <v>Returned</v>
          </cell>
          <cell r="J305" t="str">
            <v>TRK95462192</v>
          </cell>
          <cell r="K305">
            <v>1</v>
          </cell>
          <cell r="L305" t="str">
            <v>No Coupon</v>
          </cell>
          <cell r="M305" t="str">
            <v>Google</v>
          </cell>
          <cell r="N305">
            <v>30.54</v>
          </cell>
        </row>
        <row r="306">
          <cell r="A306" t="str">
            <v>ORD200304</v>
          </cell>
          <cell r="B306">
            <v>45583</v>
          </cell>
          <cell r="C306" t="str">
            <v>C86762</v>
          </cell>
          <cell r="D306" t="str">
            <v>Monitor</v>
          </cell>
          <cell r="E306">
            <v>5</v>
          </cell>
          <cell r="F306">
            <v>408.73</v>
          </cell>
          <cell r="G306" t="str">
            <v>326 Main St</v>
          </cell>
          <cell r="H306" t="str">
            <v>Gift Card</v>
          </cell>
          <cell r="I306" t="str">
            <v>Delivered</v>
          </cell>
          <cell r="J306" t="str">
            <v>TRK75686292</v>
          </cell>
          <cell r="K306">
            <v>10</v>
          </cell>
          <cell r="L306" t="str">
            <v>FREESHIP</v>
          </cell>
          <cell r="M306" t="str">
            <v>Instagram</v>
          </cell>
          <cell r="N306">
            <v>2043.65</v>
          </cell>
        </row>
        <row r="307">
          <cell r="A307" t="str">
            <v>ORD200305</v>
          </cell>
          <cell r="B307">
            <v>45255</v>
          </cell>
          <cell r="C307" t="str">
            <v>C63822</v>
          </cell>
          <cell r="D307" t="str">
            <v>Laptop</v>
          </cell>
          <cell r="E307">
            <v>4</v>
          </cell>
          <cell r="F307">
            <v>126.89</v>
          </cell>
          <cell r="G307" t="str">
            <v>235 Main St</v>
          </cell>
          <cell r="H307" t="str">
            <v>Cash</v>
          </cell>
          <cell r="I307" t="str">
            <v>Pending</v>
          </cell>
          <cell r="J307" t="str">
            <v>TRK59353216</v>
          </cell>
          <cell r="K307">
            <v>9</v>
          </cell>
          <cell r="L307" t="str">
            <v>FREESHIP</v>
          </cell>
          <cell r="M307" t="str">
            <v>Instagram</v>
          </cell>
          <cell r="N307">
            <v>507.56</v>
          </cell>
        </row>
        <row r="308">
          <cell r="A308" t="str">
            <v>ORD200306</v>
          </cell>
          <cell r="B308">
            <v>45450</v>
          </cell>
          <cell r="C308" t="str">
            <v>C70495</v>
          </cell>
          <cell r="D308" t="str">
            <v>Printer</v>
          </cell>
          <cell r="E308">
            <v>2</v>
          </cell>
          <cell r="F308">
            <v>57.07</v>
          </cell>
          <cell r="G308" t="str">
            <v>238 Main St</v>
          </cell>
          <cell r="H308" t="str">
            <v>Debit Card</v>
          </cell>
          <cell r="I308" t="str">
            <v>Returned</v>
          </cell>
          <cell r="J308" t="str">
            <v>TRK65511225</v>
          </cell>
          <cell r="K308">
            <v>3</v>
          </cell>
          <cell r="L308" t="str">
            <v>SAVE10</v>
          </cell>
          <cell r="M308" t="str">
            <v>Instagram</v>
          </cell>
          <cell r="N308">
            <v>114.14</v>
          </cell>
        </row>
        <row r="309">
          <cell r="A309" t="str">
            <v>ORD200307</v>
          </cell>
          <cell r="B309">
            <v>45108</v>
          </cell>
          <cell r="C309" t="str">
            <v>C92407</v>
          </cell>
          <cell r="D309" t="str">
            <v>Laptop</v>
          </cell>
          <cell r="E309">
            <v>3</v>
          </cell>
          <cell r="F309">
            <v>557.41</v>
          </cell>
          <cell r="G309" t="str">
            <v>135 Main St</v>
          </cell>
          <cell r="H309" t="str">
            <v>Online</v>
          </cell>
          <cell r="I309" t="str">
            <v>Delivered</v>
          </cell>
          <cell r="J309" t="str">
            <v>TRK11755610</v>
          </cell>
          <cell r="K309">
            <v>4</v>
          </cell>
          <cell r="L309" t="str">
            <v>No Coupon</v>
          </cell>
          <cell r="M309" t="str">
            <v>Email</v>
          </cell>
          <cell r="N309">
            <v>1672.23</v>
          </cell>
        </row>
        <row r="310">
          <cell r="A310" t="str">
            <v>ORD200308</v>
          </cell>
          <cell r="B310">
            <v>45271</v>
          </cell>
          <cell r="C310" t="str">
            <v>C75888</v>
          </cell>
          <cell r="D310" t="str">
            <v>Printer</v>
          </cell>
          <cell r="E310">
            <v>3</v>
          </cell>
          <cell r="F310">
            <v>448.9</v>
          </cell>
          <cell r="G310" t="str">
            <v>790 Main St</v>
          </cell>
          <cell r="H310" t="str">
            <v>Debit Card</v>
          </cell>
          <cell r="I310" t="str">
            <v>Returned</v>
          </cell>
          <cell r="J310" t="str">
            <v>TRK98467398</v>
          </cell>
          <cell r="K310">
            <v>7</v>
          </cell>
          <cell r="L310" t="str">
            <v>SAVE10</v>
          </cell>
          <cell r="M310" t="str">
            <v>Instagram</v>
          </cell>
          <cell r="N310">
            <v>1346.6999999999998</v>
          </cell>
        </row>
        <row r="311">
          <cell r="A311" t="str">
            <v>ORD200309</v>
          </cell>
          <cell r="B311">
            <v>45202</v>
          </cell>
          <cell r="C311" t="str">
            <v>C63153</v>
          </cell>
          <cell r="D311" t="str">
            <v>Chair</v>
          </cell>
          <cell r="E311">
            <v>4</v>
          </cell>
          <cell r="F311">
            <v>549.76</v>
          </cell>
          <cell r="G311" t="str">
            <v>625 Main St</v>
          </cell>
          <cell r="H311" t="str">
            <v>Debit Card</v>
          </cell>
          <cell r="I311" t="str">
            <v>Delivered</v>
          </cell>
          <cell r="J311" t="str">
            <v>TRK38033305</v>
          </cell>
          <cell r="K311">
            <v>4</v>
          </cell>
          <cell r="L311" t="str">
            <v>FREESHIP</v>
          </cell>
          <cell r="M311" t="str">
            <v>Facebook</v>
          </cell>
          <cell r="N311">
            <v>2199.04</v>
          </cell>
        </row>
        <row r="312">
          <cell r="A312" t="str">
            <v>ORD200310</v>
          </cell>
          <cell r="B312">
            <v>45346</v>
          </cell>
          <cell r="C312" t="str">
            <v>C85863</v>
          </cell>
          <cell r="D312" t="str">
            <v>Printer</v>
          </cell>
          <cell r="E312">
            <v>3</v>
          </cell>
          <cell r="F312">
            <v>132.47999999999999</v>
          </cell>
          <cell r="G312" t="str">
            <v>968 Main St</v>
          </cell>
          <cell r="H312" t="str">
            <v>Online</v>
          </cell>
          <cell r="I312" t="str">
            <v>Shipped</v>
          </cell>
          <cell r="J312" t="str">
            <v>TRK16094218</v>
          </cell>
          <cell r="K312">
            <v>4</v>
          </cell>
          <cell r="L312" t="str">
            <v>No Coupon</v>
          </cell>
          <cell r="M312" t="str">
            <v>Referral</v>
          </cell>
          <cell r="N312">
            <v>397.43999999999994</v>
          </cell>
        </row>
        <row r="313">
          <cell r="A313" t="str">
            <v>ORD200311</v>
          </cell>
          <cell r="B313">
            <v>45794</v>
          </cell>
          <cell r="C313" t="str">
            <v>C71698</v>
          </cell>
          <cell r="D313" t="str">
            <v>Desk</v>
          </cell>
          <cell r="E313">
            <v>5</v>
          </cell>
          <cell r="F313">
            <v>489.37</v>
          </cell>
          <cell r="G313" t="str">
            <v>274 Main St</v>
          </cell>
          <cell r="H313" t="str">
            <v>Online</v>
          </cell>
          <cell r="I313" t="str">
            <v>Returned</v>
          </cell>
          <cell r="J313" t="str">
            <v>TRK34786818</v>
          </cell>
          <cell r="K313">
            <v>8</v>
          </cell>
          <cell r="L313" t="str">
            <v>No Coupon</v>
          </cell>
          <cell r="M313" t="str">
            <v>Instagram</v>
          </cell>
          <cell r="N313">
            <v>2446.85</v>
          </cell>
        </row>
        <row r="314">
          <cell r="A314" t="str">
            <v>ORD200312</v>
          </cell>
          <cell r="B314">
            <v>45801</v>
          </cell>
          <cell r="C314" t="str">
            <v>C35397</v>
          </cell>
          <cell r="D314" t="str">
            <v>Printer</v>
          </cell>
          <cell r="E314">
            <v>5</v>
          </cell>
          <cell r="F314">
            <v>66.31</v>
          </cell>
          <cell r="G314" t="str">
            <v>579 Main St</v>
          </cell>
          <cell r="H314" t="str">
            <v>Gift Card</v>
          </cell>
          <cell r="I314" t="str">
            <v>Pending</v>
          </cell>
          <cell r="J314" t="str">
            <v>TRK64742535</v>
          </cell>
          <cell r="K314">
            <v>7</v>
          </cell>
          <cell r="L314" t="str">
            <v>FREESHIP</v>
          </cell>
          <cell r="M314" t="str">
            <v>Referral</v>
          </cell>
          <cell r="N314">
            <v>331.55</v>
          </cell>
        </row>
        <row r="315">
          <cell r="A315" t="str">
            <v>ORD200313</v>
          </cell>
          <cell r="B315">
            <v>45116</v>
          </cell>
          <cell r="C315" t="str">
            <v>C67687</v>
          </cell>
          <cell r="D315" t="str">
            <v>Chair</v>
          </cell>
          <cell r="E315">
            <v>2</v>
          </cell>
          <cell r="F315">
            <v>434.3</v>
          </cell>
          <cell r="G315" t="str">
            <v>978 Main St</v>
          </cell>
          <cell r="H315" t="str">
            <v>Cash</v>
          </cell>
          <cell r="I315" t="str">
            <v>Delivered</v>
          </cell>
          <cell r="J315" t="str">
            <v>TRK22838735</v>
          </cell>
          <cell r="K315">
            <v>7</v>
          </cell>
          <cell r="L315" t="str">
            <v>SAVE10</v>
          </cell>
          <cell r="M315" t="str">
            <v>Instagram</v>
          </cell>
          <cell r="N315">
            <v>868.6</v>
          </cell>
        </row>
        <row r="316">
          <cell r="A316" t="str">
            <v>ORD200314</v>
          </cell>
          <cell r="B316">
            <v>45203</v>
          </cell>
          <cell r="C316" t="str">
            <v>C29931</v>
          </cell>
          <cell r="D316" t="str">
            <v>Desk</v>
          </cell>
          <cell r="E316">
            <v>4</v>
          </cell>
          <cell r="F316">
            <v>153.09</v>
          </cell>
          <cell r="G316" t="str">
            <v>540 Main St</v>
          </cell>
          <cell r="H316" t="str">
            <v>Online</v>
          </cell>
          <cell r="I316" t="str">
            <v>Delivered</v>
          </cell>
          <cell r="J316" t="str">
            <v>TRK48712417</v>
          </cell>
          <cell r="K316">
            <v>4</v>
          </cell>
          <cell r="L316" t="str">
            <v>FREESHIP</v>
          </cell>
          <cell r="M316" t="str">
            <v>Referral</v>
          </cell>
          <cell r="N316">
            <v>612.36</v>
          </cell>
        </row>
        <row r="317">
          <cell r="A317" t="str">
            <v>ORD200315</v>
          </cell>
          <cell r="B317">
            <v>45789</v>
          </cell>
          <cell r="C317" t="str">
            <v>C59139</v>
          </cell>
          <cell r="D317" t="str">
            <v>Tablet</v>
          </cell>
          <cell r="E317">
            <v>5</v>
          </cell>
          <cell r="F317">
            <v>91.67</v>
          </cell>
          <cell r="G317" t="str">
            <v>301 Main St</v>
          </cell>
          <cell r="H317" t="str">
            <v>Online</v>
          </cell>
          <cell r="I317" t="str">
            <v>Cancelled</v>
          </cell>
          <cell r="J317" t="str">
            <v>TRK45507090</v>
          </cell>
          <cell r="K317">
            <v>9</v>
          </cell>
          <cell r="L317" t="str">
            <v>FREESHIP</v>
          </cell>
          <cell r="M317" t="str">
            <v>Email</v>
          </cell>
          <cell r="N317">
            <v>458.35</v>
          </cell>
        </row>
        <row r="318">
          <cell r="A318" t="str">
            <v>ORD200316</v>
          </cell>
          <cell r="B318">
            <v>45201</v>
          </cell>
          <cell r="C318" t="str">
            <v>C66078</v>
          </cell>
          <cell r="D318" t="str">
            <v>Desk</v>
          </cell>
          <cell r="E318">
            <v>4</v>
          </cell>
          <cell r="F318">
            <v>275.27999999999997</v>
          </cell>
          <cell r="G318" t="str">
            <v>101 Main St</v>
          </cell>
          <cell r="H318" t="str">
            <v>Gift Card</v>
          </cell>
          <cell r="I318" t="str">
            <v>Shipped</v>
          </cell>
          <cell r="J318" t="str">
            <v>TRK86474559</v>
          </cell>
          <cell r="K318">
            <v>9</v>
          </cell>
          <cell r="L318" t="str">
            <v>WINTER15</v>
          </cell>
          <cell r="M318" t="str">
            <v>Facebook</v>
          </cell>
          <cell r="N318">
            <v>1101.1199999999999</v>
          </cell>
        </row>
        <row r="319">
          <cell r="A319" t="str">
            <v>ORD200317</v>
          </cell>
          <cell r="B319">
            <v>45026</v>
          </cell>
          <cell r="C319" t="str">
            <v>C88370</v>
          </cell>
          <cell r="D319" t="str">
            <v>Monitor</v>
          </cell>
          <cell r="E319">
            <v>2</v>
          </cell>
          <cell r="F319">
            <v>139.94999999999999</v>
          </cell>
          <cell r="G319" t="str">
            <v>339 Main St</v>
          </cell>
          <cell r="H319" t="str">
            <v>Online</v>
          </cell>
          <cell r="I319" t="str">
            <v>Returned</v>
          </cell>
          <cell r="J319" t="str">
            <v>TRK22575151</v>
          </cell>
          <cell r="K319">
            <v>5</v>
          </cell>
          <cell r="L319" t="str">
            <v>No Coupon</v>
          </cell>
          <cell r="M319" t="str">
            <v>Instagram</v>
          </cell>
          <cell r="N319">
            <v>279.89999999999998</v>
          </cell>
        </row>
        <row r="320">
          <cell r="A320" t="str">
            <v>ORD200318</v>
          </cell>
          <cell r="B320">
            <v>45500</v>
          </cell>
          <cell r="C320" t="str">
            <v>C93375</v>
          </cell>
          <cell r="D320" t="str">
            <v>Chair</v>
          </cell>
          <cell r="E320">
            <v>3</v>
          </cell>
          <cell r="F320">
            <v>148.72</v>
          </cell>
          <cell r="G320" t="str">
            <v>317 Main St</v>
          </cell>
          <cell r="H320" t="str">
            <v>Debit Card</v>
          </cell>
          <cell r="I320" t="str">
            <v>Cancelled</v>
          </cell>
          <cell r="J320" t="str">
            <v>TRK95706967</v>
          </cell>
          <cell r="K320">
            <v>7</v>
          </cell>
          <cell r="L320" t="str">
            <v>SAVE10</v>
          </cell>
          <cell r="M320" t="str">
            <v>Google</v>
          </cell>
          <cell r="N320">
            <v>446.15999999999997</v>
          </cell>
        </row>
        <row r="321">
          <cell r="A321" t="str">
            <v>ORD200319</v>
          </cell>
          <cell r="B321">
            <v>45262</v>
          </cell>
          <cell r="C321" t="str">
            <v>C53049</v>
          </cell>
          <cell r="D321" t="str">
            <v>Laptop</v>
          </cell>
          <cell r="E321">
            <v>2</v>
          </cell>
          <cell r="F321">
            <v>563.05999999999995</v>
          </cell>
          <cell r="G321" t="str">
            <v>413 Main St</v>
          </cell>
          <cell r="H321" t="str">
            <v>Cash</v>
          </cell>
          <cell r="I321" t="str">
            <v>Returned</v>
          </cell>
          <cell r="J321" t="str">
            <v>TRK48974907</v>
          </cell>
          <cell r="K321">
            <v>6</v>
          </cell>
          <cell r="L321" t="str">
            <v>No Coupon</v>
          </cell>
          <cell r="M321" t="str">
            <v>Instagram</v>
          </cell>
          <cell r="N321">
            <v>1126.1199999999999</v>
          </cell>
        </row>
        <row r="322">
          <cell r="A322" t="str">
            <v>ORD200320</v>
          </cell>
          <cell r="B322">
            <v>45645</v>
          </cell>
          <cell r="C322" t="str">
            <v>C55590</v>
          </cell>
          <cell r="D322" t="str">
            <v>Printer</v>
          </cell>
          <cell r="E322">
            <v>1</v>
          </cell>
          <cell r="F322">
            <v>625.51</v>
          </cell>
          <cell r="G322" t="str">
            <v>772 Main St</v>
          </cell>
          <cell r="H322" t="str">
            <v>Credit Card</v>
          </cell>
          <cell r="I322" t="str">
            <v>Shipped</v>
          </cell>
          <cell r="J322" t="str">
            <v>TRK48792951</v>
          </cell>
          <cell r="K322">
            <v>1</v>
          </cell>
          <cell r="L322" t="str">
            <v>FREESHIP</v>
          </cell>
          <cell r="M322" t="str">
            <v>Facebook</v>
          </cell>
          <cell r="N322">
            <v>625.51</v>
          </cell>
        </row>
        <row r="323">
          <cell r="A323" t="str">
            <v>ORD200321</v>
          </cell>
          <cell r="B323">
            <v>45147</v>
          </cell>
          <cell r="C323" t="str">
            <v>C47086</v>
          </cell>
          <cell r="D323" t="str">
            <v>Phone</v>
          </cell>
          <cell r="E323">
            <v>4</v>
          </cell>
          <cell r="F323">
            <v>152.29</v>
          </cell>
          <cell r="G323" t="str">
            <v>135 Main St</v>
          </cell>
          <cell r="H323" t="str">
            <v>Debit Card</v>
          </cell>
          <cell r="I323" t="str">
            <v>Cancelled</v>
          </cell>
          <cell r="J323" t="str">
            <v>TRK44194358</v>
          </cell>
          <cell r="K323">
            <v>6</v>
          </cell>
          <cell r="L323" t="str">
            <v>WINTER15</v>
          </cell>
          <cell r="M323" t="str">
            <v>Google</v>
          </cell>
          <cell r="N323">
            <v>609.16</v>
          </cell>
        </row>
        <row r="324">
          <cell r="A324" t="str">
            <v>ORD200322</v>
          </cell>
          <cell r="B324">
            <v>45457</v>
          </cell>
          <cell r="C324" t="str">
            <v>C48646</v>
          </cell>
          <cell r="D324" t="str">
            <v>Phone</v>
          </cell>
          <cell r="E324">
            <v>5</v>
          </cell>
          <cell r="F324">
            <v>231.82</v>
          </cell>
          <cell r="G324" t="str">
            <v>339 Main St</v>
          </cell>
          <cell r="H324" t="str">
            <v>Debit Card</v>
          </cell>
          <cell r="I324" t="str">
            <v>Delivered</v>
          </cell>
          <cell r="J324" t="str">
            <v>TRK18233748</v>
          </cell>
          <cell r="K324">
            <v>6</v>
          </cell>
          <cell r="L324" t="str">
            <v>SAVE10</v>
          </cell>
          <cell r="M324" t="str">
            <v>Facebook</v>
          </cell>
          <cell r="N324">
            <v>1159.0999999999999</v>
          </cell>
        </row>
        <row r="325">
          <cell r="A325" t="str">
            <v>ORD200323</v>
          </cell>
          <cell r="B325">
            <v>45683</v>
          </cell>
          <cell r="C325" t="str">
            <v>C29416</v>
          </cell>
          <cell r="D325" t="str">
            <v>Laptop</v>
          </cell>
          <cell r="E325">
            <v>1</v>
          </cell>
          <cell r="F325">
            <v>150.16999999999999</v>
          </cell>
          <cell r="G325" t="str">
            <v>414 Main St</v>
          </cell>
          <cell r="H325" t="str">
            <v>Debit Card</v>
          </cell>
          <cell r="I325" t="str">
            <v>Returned</v>
          </cell>
          <cell r="J325" t="str">
            <v>TRK63820842</v>
          </cell>
          <cell r="K325">
            <v>1</v>
          </cell>
          <cell r="L325" t="str">
            <v>SAVE10</v>
          </cell>
          <cell r="M325" t="str">
            <v>Referral</v>
          </cell>
          <cell r="N325">
            <v>150.16999999999999</v>
          </cell>
        </row>
        <row r="326">
          <cell r="A326" t="str">
            <v>ORD200324</v>
          </cell>
          <cell r="B326">
            <v>45456</v>
          </cell>
          <cell r="C326" t="str">
            <v>C13525</v>
          </cell>
          <cell r="D326" t="str">
            <v>Tablet</v>
          </cell>
          <cell r="E326">
            <v>3</v>
          </cell>
          <cell r="F326">
            <v>70.930000000000007</v>
          </cell>
          <cell r="G326" t="str">
            <v>847 Main St</v>
          </cell>
          <cell r="H326" t="str">
            <v>Debit Card</v>
          </cell>
          <cell r="I326" t="str">
            <v>Returned</v>
          </cell>
          <cell r="J326" t="str">
            <v>TRK70193221</v>
          </cell>
          <cell r="K326">
            <v>5</v>
          </cell>
          <cell r="L326" t="str">
            <v>No Coupon</v>
          </cell>
          <cell r="M326" t="str">
            <v>Referral</v>
          </cell>
          <cell r="N326">
            <v>212.79000000000002</v>
          </cell>
        </row>
        <row r="327">
          <cell r="A327" t="str">
            <v>ORD200325</v>
          </cell>
          <cell r="B327">
            <v>45106</v>
          </cell>
          <cell r="C327" t="str">
            <v>C53545</v>
          </cell>
          <cell r="D327" t="str">
            <v>Desk</v>
          </cell>
          <cell r="E327">
            <v>3</v>
          </cell>
          <cell r="F327">
            <v>361.39</v>
          </cell>
          <cell r="G327" t="str">
            <v>665 Main St</v>
          </cell>
          <cell r="H327" t="str">
            <v>Credit Card</v>
          </cell>
          <cell r="I327" t="str">
            <v>Shipped</v>
          </cell>
          <cell r="J327" t="str">
            <v>TRK61123177</v>
          </cell>
          <cell r="K327">
            <v>8</v>
          </cell>
          <cell r="L327" t="str">
            <v>No Coupon</v>
          </cell>
          <cell r="M327" t="str">
            <v>Referral</v>
          </cell>
          <cell r="N327">
            <v>1084.17</v>
          </cell>
        </row>
        <row r="328">
          <cell r="A328" t="str">
            <v>ORD200326</v>
          </cell>
          <cell r="B328">
            <v>45474</v>
          </cell>
          <cell r="C328" t="str">
            <v>C65986</v>
          </cell>
          <cell r="D328" t="str">
            <v>Laptop</v>
          </cell>
          <cell r="E328">
            <v>5</v>
          </cell>
          <cell r="F328">
            <v>670.48</v>
          </cell>
          <cell r="G328" t="str">
            <v>273 Main St</v>
          </cell>
          <cell r="H328" t="str">
            <v>Gift Card</v>
          </cell>
          <cell r="I328" t="str">
            <v>Returned</v>
          </cell>
          <cell r="J328" t="str">
            <v>TRK98353867</v>
          </cell>
          <cell r="K328">
            <v>5</v>
          </cell>
          <cell r="L328" t="str">
            <v>SAVE10</v>
          </cell>
          <cell r="M328" t="str">
            <v>Facebook</v>
          </cell>
          <cell r="N328">
            <v>3352.4</v>
          </cell>
        </row>
        <row r="329">
          <cell r="A329" t="str">
            <v>ORD200327</v>
          </cell>
          <cell r="B329">
            <v>45132</v>
          </cell>
          <cell r="C329" t="str">
            <v>C17302</v>
          </cell>
          <cell r="D329" t="str">
            <v>Phone</v>
          </cell>
          <cell r="E329">
            <v>1</v>
          </cell>
          <cell r="F329">
            <v>359.99</v>
          </cell>
          <cell r="G329" t="str">
            <v>385 Main St</v>
          </cell>
          <cell r="H329" t="str">
            <v>Gift Card</v>
          </cell>
          <cell r="I329" t="str">
            <v>Cancelled</v>
          </cell>
          <cell r="J329" t="str">
            <v>TRK43940016</v>
          </cell>
          <cell r="K329">
            <v>5</v>
          </cell>
          <cell r="L329" t="str">
            <v>SAVE10</v>
          </cell>
          <cell r="M329" t="str">
            <v>Email</v>
          </cell>
          <cell r="N329">
            <v>359.99</v>
          </cell>
        </row>
        <row r="330">
          <cell r="A330" t="str">
            <v>ORD200328</v>
          </cell>
          <cell r="B330">
            <v>44985</v>
          </cell>
          <cell r="C330" t="str">
            <v>C18404</v>
          </cell>
          <cell r="D330" t="str">
            <v>Tablet</v>
          </cell>
          <cell r="E330">
            <v>5</v>
          </cell>
          <cell r="F330">
            <v>674.04</v>
          </cell>
          <cell r="G330" t="str">
            <v>546 Main St</v>
          </cell>
          <cell r="H330" t="str">
            <v>Online</v>
          </cell>
          <cell r="I330" t="str">
            <v>Cancelled</v>
          </cell>
          <cell r="J330" t="str">
            <v>TRK89401624</v>
          </cell>
          <cell r="K330">
            <v>7</v>
          </cell>
          <cell r="L330" t="str">
            <v>SAVE10</v>
          </cell>
          <cell r="M330" t="str">
            <v>Google</v>
          </cell>
          <cell r="N330">
            <v>3370.2</v>
          </cell>
        </row>
        <row r="331">
          <cell r="A331" t="str">
            <v>ORD200329</v>
          </cell>
          <cell r="B331">
            <v>45651</v>
          </cell>
          <cell r="C331" t="str">
            <v>C88371</v>
          </cell>
          <cell r="D331" t="str">
            <v>Chair</v>
          </cell>
          <cell r="E331">
            <v>4</v>
          </cell>
          <cell r="F331">
            <v>283.16000000000003</v>
          </cell>
          <cell r="G331" t="str">
            <v>306 Main St</v>
          </cell>
          <cell r="H331" t="str">
            <v>Credit Card</v>
          </cell>
          <cell r="I331" t="str">
            <v>Shipped</v>
          </cell>
          <cell r="J331" t="str">
            <v>TRK63224811</v>
          </cell>
          <cell r="K331">
            <v>6</v>
          </cell>
          <cell r="L331" t="str">
            <v>No Coupon</v>
          </cell>
          <cell r="M331" t="str">
            <v>Google</v>
          </cell>
          <cell r="N331">
            <v>1132.6400000000001</v>
          </cell>
        </row>
        <row r="332">
          <cell r="A332" t="str">
            <v>ORD200330</v>
          </cell>
          <cell r="B332">
            <v>45445</v>
          </cell>
          <cell r="C332" t="str">
            <v>C38068</v>
          </cell>
          <cell r="D332" t="str">
            <v>Desk</v>
          </cell>
          <cell r="E332">
            <v>5</v>
          </cell>
          <cell r="F332">
            <v>260.52999999999997</v>
          </cell>
          <cell r="G332" t="str">
            <v>532 Main St</v>
          </cell>
          <cell r="H332" t="str">
            <v>Gift Card</v>
          </cell>
          <cell r="I332" t="str">
            <v>Pending</v>
          </cell>
          <cell r="J332" t="str">
            <v>TRK54059198</v>
          </cell>
          <cell r="K332">
            <v>5</v>
          </cell>
          <cell r="L332" t="str">
            <v>SAVE10</v>
          </cell>
          <cell r="M332" t="str">
            <v>Instagram</v>
          </cell>
          <cell r="N332">
            <v>1302.6499999999999</v>
          </cell>
        </row>
        <row r="333">
          <cell r="A333" t="str">
            <v>ORD200331</v>
          </cell>
          <cell r="B333">
            <v>45031</v>
          </cell>
          <cell r="C333" t="str">
            <v>C78724</v>
          </cell>
          <cell r="D333" t="str">
            <v>Printer</v>
          </cell>
          <cell r="E333">
            <v>3</v>
          </cell>
          <cell r="F333">
            <v>422.13</v>
          </cell>
          <cell r="G333" t="str">
            <v>187 Main St</v>
          </cell>
          <cell r="H333" t="str">
            <v>Online</v>
          </cell>
          <cell r="I333" t="str">
            <v>Delivered</v>
          </cell>
          <cell r="J333" t="str">
            <v>TRK25703134</v>
          </cell>
          <cell r="K333">
            <v>7</v>
          </cell>
          <cell r="L333" t="str">
            <v>SAVE10</v>
          </cell>
          <cell r="M333" t="str">
            <v>Facebook</v>
          </cell>
          <cell r="N333">
            <v>1266.3899999999999</v>
          </cell>
        </row>
        <row r="334">
          <cell r="A334" t="str">
            <v>ORD200332</v>
          </cell>
          <cell r="B334">
            <v>45476</v>
          </cell>
          <cell r="C334" t="str">
            <v>C26163</v>
          </cell>
          <cell r="D334" t="str">
            <v>Desk</v>
          </cell>
          <cell r="E334">
            <v>5</v>
          </cell>
          <cell r="F334">
            <v>125.02</v>
          </cell>
          <cell r="G334" t="str">
            <v>607 Main St</v>
          </cell>
          <cell r="H334" t="str">
            <v>Debit Card</v>
          </cell>
          <cell r="I334" t="str">
            <v>Pending</v>
          </cell>
          <cell r="J334" t="str">
            <v>TRK67499316</v>
          </cell>
          <cell r="K334">
            <v>9</v>
          </cell>
          <cell r="L334" t="str">
            <v>SAVE10</v>
          </cell>
          <cell r="M334" t="str">
            <v>Google</v>
          </cell>
          <cell r="N334">
            <v>625.1</v>
          </cell>
        </row>
        <row r="335">
          <cell r="A335" t="str">
            <v>ORD200333</v>
          </cell>
          <cell r="B335">
            <v>45398</v>
          </cell>
          <cell r="C335" t="str">
            <v>C87124</v>
          </cell>
          <cell r="D335" t="str">
            <v>Phone</v>
          </cell>
          <cell r="E335">
            <v>1</v>
          </cell>
          <cell r="F335">
            <v>198.51</v>
          </cell>
          <cell r="G335" t="str">
            <v>818 Main St</v>
          </cell>
          <cell r="H335" t="str">
            <v>Credit Card</v>
          </cell>
          <cell r="I335" t="str">
            <v>Returned</v>
          </cell>
          <cell r="J335" t="str">
            <v>TRK52086740</v>
          </cell>
          <cell r="K335">
            <v>5</v>
          </cell>
          <cell r="L335" t="str">
            <v>WINTER15</v>
          </cell>
          <cell r="M335" t="str">
            <v>Instagram</v>
          </cell>
          <cell r="N335">
            <v>198.51</v>
          </cell>
        </row>
        <row r="336">
          <cell r="A336" t="str">
            <v>ORD200334</v>
          </cell>
          <cell r="B336">
            <v>45377</v>
          </cell>
          <cell r="C336" t="str">
            <v>C90348</v>
          </cell>
          <cell r="D336" t="str">
            <v>Chair</v>
          </cell>
          <cell r="E336">
            <v>4</v>
          </cell>
          <cell r="F336">
            <v>224.75</v>
          </cell>
          <cell r="G336" t="str">
            <v>728 Main St</v>
          </cell>
          <cell r="H336" t="str">
            <v>Online</v>
          </cell>
          <cell r="I336" t="str">
            <v>Delivered</v>
          </cell>
          <cell r="J336" t="str">
            <v>TRK20635777</v>
          </cell>
          <cell r="K336">
            <v>7</v>
          </cell>
          <cell r="L336" t="str">
            <v>WINTER15</v>
          </cell>
          <cell r="M336" t="str">
            <v>Facebook</v>
          </cell>
          <cell r="N336">
            <v>899</v>
          </cell>
        </row>
        <row r="337">
          <cell r="A337" t="str">
            <v>ORD200335</v>
          </cell>
          <cell r="B337">
            <v>45719</v>
          </cell>
          <cell r="C337" t="str">
            <v>C58721</v>
          </cell>
          <cell r="D337" t="str">
            <v>Tablet</v>
          </cell>
          <cell r="E337">
            <v>3</v>
          </cell>
          <cell r="F337">
            <v>205.86</v>
          </cell>
          <cell r="G337" t="str">
            <v>978 Main St</v>
          </cell>
          <cell r="H337" t="str">
            <v>Gift Card</v>
          </cell>
          <cell r="I337" t="str">
            <v>Shipped</v>
          </cell>
          <cell r="J337" t="str">
            <v>TRK34801199</v>
          </cell>
          <cell r="K337">
            <v>4</v>
          </cell>
          <cell r="L337" t="str">
            <v>No Coupon</v>
          </cell>
          <cell r="M337" t="str">
            <v>Email</v>
          </cell>
          <cell r="N337">
            <v>617.58000000000004</v>
          </cell>
        </row>
        <row r="338">
          <cell r="A338" t="str">
            <v>ORD200336</v>
          </cell>
          <cell r="B338">
            <v>45289</v>
          </cell>
          <cell r="C338" t="str">
            <v>C88174</v>
          </cell>
          <cell r="D338" t="str">
            <v>Laptop</v>
          </cell>
          <cell r="E338">
            <v>1</v>
          </cell>
          <cell r="F338">
            <v>18.2</v>
          </cell>
          <cell r="G338" t="str">
            <v>441 Main St</v>
          </cell>
          <cell r="H338" t="str">
            <v>Debit Card</v>
          </cell>
          <cell r="I338" t="str">
            <v>Pending</v>
          </cell>
          <cell r="J338" t="str">
            <v>TRK10143345</v>
          </cell>
          <cell r="K338">
            <v>4</v>
          </cell>
          <cell r="L338" t="str">
            <v>SAVE10</v>
          </cell>
          <cell r="M338" t="str">
            <v>Instagram</v>
          </cell>
          <cell r="N338">
            <v>18.2</v>
          </cell>
        </row>
        <row r="339">
          <cell r="A339" t="str">
            <v>ORD200337</v>
          </cell>
          <cell r="B339">
            <v>45075</v>
          </cell>
          <cell r="C339" t="str">
            <v>C77763</v>
          </cell>
          <cell r="D339" t="str">
            <v>Tablet</v>
          </cell>
          <cell r="E339">
            <v>3</v>
          </cell>
          <cell r="F339">
            <v>502.77</v>
          </cell>
          <cell r="G339" t="str">
            <v>599 Main St</v>
          </cell>
          <cell r="H339" t="str">
            <v>Debit Card</v>
          </cell>
          <cell r="I339" t="str">
            <v>Returned</v>
          </cell>
          <cell r="J339" t="str">
            <v>TRK66980447</v>
          </cell>
          <cell r="K339">
            <v>8</v>
          </cell>
          <cell r="L339" t="str">
            <v>WINTER15</v>
          </cell>
          <cell r="M339" t="str">
            <v>Email</v>
          </cell>
          <cell r="N339">
            <v>1508.31</v>
          </cell>
        </row>
        <row r="340">
          <cell r="A340" t="str">
            <v>ORD200338</v>
          </cell>
          <cell r="B340">
            <v>45238</v>
          </cell>
          <cell r="C340" t="str">
            <v>C53627</v>
          </cell>
          <cell r="D340" t="str">
            <v>Phone</v>
          </cell>
          <cell r="E340">
            <v>5</v>
          </cell>
          <cell r="F340">
            <v>305.49</v>
          </cell>
          <cell r="G340" t="str">
            <v>704 Main St</v>
          </cell>
          <cell r="H340" t="str">
            <v>Debit Card</v>
          </cell>
          <cell r="I340" t="str">
            <v>Shipped</v>
          </cell>
          <cell r="J340" t="str">
            <v>TRK64112352</v>
          </cell>
          <cell r="K340">
            <v>10</v>
          </cell>
          <cell r="L340" t="str">
            <v>No Coupon</v>
          </cell>
          <cell r="M340" t="str">
            <v>Referral</v>
          </cell>
          <cell r="N340">
            <v>1527.45</v>
          </cell>
        </row>
        <row r="341">
          <cell r="A341" t="str">
            <v>ORD200339</v>
          </cell>
          <cell r="B341">
            <v>45392</v>
          </cell>
          <cell r="C341" t="str">
            <v>C84563</v>
          </cell>
          <cell r="D341" t="str">
            <v>Printer</v>
          </cell>
          <cell r="E341">
            <v>2</v>
          </cell>
          <cell r="F341">
            <v>236.33</v>
          </cell>
          <cell r="G341" t="str">
            <v>398 Main St</v>
          </cell>
          <cell r="H341" t="str">
            <v>Online</v>
          </cell>
          <cell r="I341" t="str">
            <v>Pending</v>
          </cell>
          <cell r="J341" t="str">
            <v>TRK62422797</v>
          </cell>
          <cell r="K341">
            <v>3</v>
          </cell>
          <cell r="L341" t="str">
            <v>SAVE10</v>
          </cell>
          <cell r="M341" t="str">
            <v>Instagram</v>
          </cell>
          <cell r="N341">
            <v>472.66</v>
          </cell>
        </row>
        <row r="342">
          <cell r="A342" t="str">
            <v>ORD200340</v>
          </cell>
          <cell r="B342">
            <v>45039</v>
          </cell>
          <cell r="C342" t="str">
            <v>C76207</v>
          </cell>
          <cell r="D342" t="str">
            <v>Laptop</v>
          </cell>
          <cell r="E342">
            <v>5</v>
          </cell>
          <cell r="F342">
            <v>521.25</v>
          </cell>
          <cell r="G342" t="str">
            <v>826 Main St</v>
          </cell>
          <cell r="H342" t="str">
            <v>Cash</v>
          </cell>
          <cell r="I342" t="str">
            <v>Cancelled</v>
          </cell>
          <cell r="J342" t="str">
            <v>TRK25569378</v>
          </cell>
          <cell r="K342">
            <v>8</v>
          </cell>
          <cell r="L342" t="str">
            <v>No Coupon</v>
          </cell>
          <cell r="M342" t="str">
            <v>Email</v>
          </cell>
          <cell r="N342">
            <v>2606.25</v>
          </cell>
        </row>
        <row r="343">
          <cell r="A343" t="str">
            <v>ORD200341</v>
          </cell>
          <cell r="B343">
            <v>45558</v>
          </cell>
          <cell r="C343" t="str">
            <v>C94671</v>
          </cell>
          <cell r="D343" t="str">
            <v>Tablet</v>
          </cell>
          <cell r="E343">
            <v>1</v>
          </cell>
          <cell r="F343">
            <v>167.15</v>
          </cell>
          <cell r="G343" t="str">
            <v>293 Main St</v>
          </cell>
          <cell r="H343" t="str">
            <v>Gift Card</v>
          </cell>
          <cell r="I343" t="str">
            <v>Shipped</v>
          </cell>
          <cell r="J343" t="str">
            <v>TRK61357272</v>
          </cell>
          <cell r="K343">
            <v>5</v>
          </cell>
          <cell r="L343" t="str">
            <v>WINTER15</v>
          </cell>
          <cell r="M343" t="str">
            <v>Email</v>
          </cell>
          <cell r="N343">
            <v>167.15</v>
          </cell>
        </row>
        <row r="344">
          <cell r="A344" t="str">
            <v>ORD200342</v>
          </cell>
          <cell r="B344">
            <v>45832</v>
          </cell>
          <cell r="C344" t="str">
            <v>C69994</v>
          </cell>
          <cell r="D344" t="str">
            <v>Monitor</v>
          </cell>
          <cell r="E344">
            <v>5</v>
          </cell>
          <cell r="F344">
            <v>466.42</v>
          </cell>
          <cell r="G344" t="str">
            <v>619 Main St</v>
          </cell>
          <cell r="H344" t="str">
            <v>Gift Card</v>
          </cell>
          <cell r="I344" t="str">
            <v>Returned</v>
          </cell>
          <cell r="J344" t="str">
            <v>TRK95935805</v>
          </cell>
          <cell r="K344">
            <v>5</v>
          </cell>
          <cell r="L344" t="str">
            <v>No Coupon</v>
          </cell>
          <cell r="M344" t="str">
            <v>Referral</v>
          </cell>
          <cell r="N344">
            <v>2332.1</v>
          </cell>
        </row>
        <row r="345">
          <cell r="A345" t="str">
            <v>ORD200343</v>
          </cell>
          <cell r="B345">
            <v>44983</v>
          </cell>
          <cell r="C345" t="str">
            <v>C64638</v>
          </cell>
          <cell r="D345" t="str">
            <v>Printer</v>
          </cell>
          <cell r="E345">
            <v>1</v>
          </cell>
          <cell r="F345">
            <v>527.57000000000005</v>
          </cell>
          <cell r="G345" t="str">
            <v>919 Main St</v>
          </cell>
          <cell r="H345" t="str">
            <v>Debit Card</v>
          </cell>
          <cell r="I345" t="str">
            <v>Pending</v>
          </cell>
          <cell r="J345" t="str">
            <v>TRK64087938</v>
          </cell>
          <cell r="K345">
            <v>3</v>
          </cell>
          <cell r="L345" t="str">
            <v>FREESHIP</v>
          </cell>
          <cell r="M345" t="str">
            <v>Facebook</v>
          </cell>
          <cell r="N345">
            <v>527.57000000000005</v>
          </cell>
        </row>
        <row r="346">
          <cell r="A346" t="str">
            <v>ORD200344</v>
          </cell>
          <cell r="B346">
            <v>45722</v>
          </cell>
          <cell r="C346" t="str">
            <v>C95623</v>
          </cell>
          <cell r="D346" t="str">
            <v>Tablet</v>
          </cell>
          <cell r="E346">
            <v>3</v>
          </cell>
          <cell r="F346">
            <v>623.34</v>
          </cell>
          <cell r="G346" t="str">
            <v>248 Main St</v>
          </cell>
          <cell r="H346" t="str">
            <v>Online</v>
          </cell>
          <cell r="I346" t="str">
            <v>Cancelled</v>
          </cell>
          <cell r="J346" t="str">
            <v>TRK67558189</v>
          </cell>
          <cell r="K346">
            <v>3</v>
          </cell>
          <cell r="L346" t="str">
            <v>SAVE10</v>
          </cell>
          <cell r="M346" t="str">
            <v>Instagram</v>
          </cell>
          <cell r="N346">
            <v>1870.02</v>
          </cell>
        </row>
        <row r="347">
          <cell r="A347" t="str">
            <v>ORD200345</v>
          </cell>
          <cell r="B347">
            <v>45267</v>
          </cell>
          <cell r="C347" t="str">
            <v>C24751</v>
          </cell>
          <cell r="D347" t="str">
            <v>Tablet</v>
          </cell>
          <cell r="E347">
            <v>5</v>
          </cell>
          <cell r="F347">
            <v>501.26</v>
          </cell>
          <cell r="G347" t="str">
            <v>259 Main St</v>
          </cell>
          <cell r="H347" t="str">
            <v>Gift Card</v>
          </cell>
          <cell r="I347" t="str">
            <v>Shipped</v>
          </cell>
          <cell r="J347" t="str">
            <v>TRK37285406</v>
          </cell>
          <cell r="K347">
            <v>10</v>
          </cell>
          <cell r="L347" t="str">
            <v>FREESHIP</v>
          </cell>
          <cell r="M347" t="str">
            <v>Referral</v>
          </cell>
          <cell r="N347">
            <v>2506.3000000000002</v>
          </cell>
        </row>
        <row r="348">
          <cell r="A348" t="str">
            <v>ORD200346</v>
          </cell>
          <cell r="B348">
            <v>45632</v>
          </cell>
          <cell r="C348" t="str">
            <v>C31764</v>
          </cell>
          <cell r="D348" t="str">
            <v>Tablet</v>
          </cell>
          <cell r="E348">
            <v>1</v>
          </cell>
          <cell r="F348">
            <v>655.09</v>
          </cell>
          <cell r="G348" t="str">
            <v>876 Main St</v>
          </cell>
          <cell r="H348" t="str">
            <v>Cash</v>
          </cell>
          <cell r="I348" t="str">
            <v>Pending</v>
          </cell>
          <cell r="J348" t="str">
            <v>TRK44680433</v>
          </cell>
          <cell r="K348">
            <v>6</v>
          </cell>
          <cell r="L348" t="str">
            <v>No Coupon</v>
          </cell>
          <cell r="M348" t="str">
            <v>Referral</v>
          </cell>
          <cell r="N348">
            <v>655.09</v>
          </cell>
        </row>
        <row r="349">
          <cell r="A349" t="str">
            <v>ORD200347</v>
          </cell>
          <cell r="B349">
            <v>45325</v>
          </cell>
          <cell r="C349" t="str">
            <v>C83556</v>
          </cell>
          <cell r="D349" t="str">
            <v>Printer</v>
          </cell>
          <cell r="E349">
            <v>4</v>
          </cell>
          <cell r="F349">
            <v>264.79000000000002</v>
          </cell>
          <cell r="G349" t="str">
            <v>380 Main St</v>
          </cell>
          <cell r="H349" t="str">
            <v>Credit Card</v>
          </cell>
          <cell r="I349" t="str">
            <v>Pending</v>
          </cell>
          <cell r="J349" t="str">
            <v>TRK21109187</v>
          </cell>
          <cell r="K349">
            <v>5</v>
          </cell>
          <cell r="L349" t="str">
            <v>SAVE10</v>
          </cell>
          <cell r="M349" t="str">
            <v>Google</v>
          </cell>
          <cell r="N349">
            <v>1059.1600000000001</v>
          </cell>
        </row>
        <row r="350">
          <cell r="A350" t="str">
            <v>ORD200348</v>
          </cell>
          <cell r="B350">
            <v>45364</v>
          </cell>
          <cell r="C350" t="str">
            <v>C24369</v>
          </cell>
          <cell r="D350" t="str">
            <v>Laptop</v>
          </cell>
          <cell r="E350">
            <v>3</v>
          </cell>
          <cell r="F350">
            <v>359.73</v>
          </cell>
          <cell r="G350" t="str">
            <v>885 Main St</v>
          </cell>
          <cell r="H350" t="str">
            <v>Debit Card</v>
          </cell>
          <cell r="I350" t="str">
            <v>Returned</v>
          </cell>
          <cell r="J350" t="str">
            <v>TRK72633998</v>
          </cell>
          <cell r="K350">
            <v>7</v>
          </cell>
          <cell r="L350" t="str">
            <v>FREESHIP</v>
          </cell>
          <cell r="M350" t="str">
            <v>Email</v>
          </cell>
          <cell r="N350">
            <v>1079.19</v>
          </cell>
        </row>
        <row r="351">
          <cell r="A351" t="str">
            <v>ORD200349</v>
          </cell>
          <cell r="B351">
            <v>45260</v>
          </cell>
          <cell r="C351" t="str">
            <v>C39648</v>
          </cell>
          <cell r="D351" t="str">
            <v>Chair</v>
          </cell>
          <cell r="E351">
            <v>1</v>
          </cell>
          <cell r="F351">
            <v>465.33</v>
          </cell>
          <cell r="G351" t="str">
            <v>824 Main St</v>
          </cell>
          <cell r="H351" t="str">
            <v>Gift Card</v>
          </cell>
          <cell r="I351" t="str">
            <v>Delivered</v>
          </cell>
          <cell r="J351" t="str">
            <v>TRK56016905</v>
          </cell>
          <cell r="K351">
            <v>2</v>
          </cell>
          <cell r="L351" t="str">
            <v>FREESHIP</v>
          </cell>
          <cell r="M351" t="str">
            <v>Google</v>
          </cell>
          <cell r="N351">
            <v>465.33</v>
          </cell>
        </row>
        <row r="352">
          <cell r="A352" t="str">
            <v>ORD200350</v>
          </cell>
          <cell r="B352">
            <v>45080</v>
          </cell>
          <cell r="C352" t="str">
            <v>C13296</v>
          </cell>
          <cell r="D352" t="str">
            <v>Chair</v>
          </cell>
          <cell r="E352">
            <v>2</v>
          </cell>
          <cell r="F352">
            <v>54.41</v>
          </cell>
          <cell r="G352" t="str">
            <v>495 Main St</v>
          </cell>
          <cell r="H352" t="str">
            <v>Online</v>
          </cell>
          <cell r="I352" t="str">
            <v>Shipped</v>
          </cell>
          <cell r="J352" t="str">
            <v>TRK60127216</v>
          </cell>
          <cell r="K352">
            <v>6</v>
          </cell>
          <cell r="L352" t="str">
            <v>No Coupon</v>
          </cell>
          <cell r="M352" t="str">
            <v>Instagram</v>
          </cell>
          <cell r="N352">
            <v>108.82</v>
          </cell>
        </row>
        <row r="353">
          <cell r="A353" t="str">
            <v>ORD200351</v>
          </cell>
          <cell r="B353">
            <v>45703</v>
          </cell>
          <cell r="C353" t="str">
            <v>C94248</v>
          </cell>
          <cell r="D353" t="str">
            <v>Laptop</v>
          </cell>
          <cell r="E353">
            <v>1</v>
          </cell>
          <cell r="F353">
            <v>64.66</v>
          </cell>
          <cell r="G353" t="str">
            <v>494 Main St</v>
          </cell>
          <cell r="H353" t="str">
            <v>Debit Card</v>
          </cell>
          <cell r="I353" t="str">
            <v>Delivered</v>
          </cell>
          <cell r="J353" t="str">
            <v>TRK89406816</v>
          </cell>
          <cell r="K353">
            <v>4</v>
          </cell>
          <cell r="L353" t="str">
            <v>No Coupon</v>
          </cell>
          <cell r="M353" t="str">
            <v>Instagram</v>
          </cell>
          <cell r="N353">
            <v>64.66</v>
          </cell>
        </row>
        <row r="354">
          <cell r="A354" t="str">
            <v>ORD200352</v>
          </cell>
          <cell r="B354">
            <v>45169</v>
          </cell>
          <cell r="C354" t="str">
            <v>C26637</v>
          </cell>
          <cell r="D354" t="str">
            <v>Chair</v>
          </cell>
          <cell r="E354">
            <v>5</v>
          </cell>
          <cell r="F354">
            <v>173.96</v>
          </cell>
          <cell r="G354" t="str">
            <v>995 Main St</v>
          </cell>
          <cell r="H354" t="str">
            <v>Debit Card</v>
          </cell>
          <cell r="I354" t="str">
            <v>Pending</v>
          </cell>
          <cell r="J354" t="str">
            <v>TRK59546992</v>
          </cell>
          <cell r="K354">
            <v>8</v>
          </cell>
          <cell r="L354" t="str">
            <v>WINTER15</v>
          </cell>
          <cell r="M354" t="str">
            <v>Instagram</v>
          </cell>
          <cell r="N354">
            <v>869.80000000000007</v>
          </cell>
        </row>
        <row r="355">
          <cell r="A355" t="str">
            <v>ORD200353</v>
          </cell>
          <cell r="B355">
            <v>45744</v>
          </cell>
          <cell r="C355" t="str">
            <v>C16012</v>
          </cell>
          <cell r="D355" t="str">
            <v>Tablet</v>
          </cell>
          <cell r="E355">
            <v>1</v>
          </cell>
          <cell r="F355">
            <v>630.82000000000005</v>
          </cell>
          <cell r="G355" t="str">
            <v>171 Main St</v>
          </cell>
          <cell r="H355" t="str">
            <v>Online</v>
          </cell>
          <cell r="I355" t="str">
            <v>Delivered</v>
          </cell>
          <cell r="J355" t="str">
            <v>TRK15195225</v>
          </cell>
          <cell r="K355">
            <v>5</v>
          </cell>
          <cell r="L355" t="str">
            <v>FREESHIP</v>
          </cell>
          <cell r="M355" t="str">
            <v>Google</v>
          </cell>
          <cell r="N355">
            <v>630.82000000000005</v>
          </cell>
        </row>
        <row r="356">
          <cell r="A356" t="str">
            <v>ORD200354</v>
          </cell>
          <cell r="B356">
            <v>45118</v>
          </cell>
          <cell r="C356" t="str">
            <v>C31772</v>
          </cell>
          <cell r="D356" t="str">
            <v>Phone</v>
          </cell>
          <cell r="E356">
            <v>1</v>
          </cell>
          <cell r="F356">
            <v>693.41</v>
          </cell>
          <cell r="G356" t="str">
            <v>992 Main St</v>
          </cell>
          <cell r="H356" t="str">
            <v>Debit Card</v>
          </cell>
          <cell r="I356" t="str">
            <v>Shipped</v>
          </cell>
          <cell r="J356" t="str">
            <v>TRK11970357</v>
          </cell>
          <cell r="K356">
            <v>4</v>
          </cell>
          <cell r="L356" t="str">
            <v>No Coupon</v>
          </cell>
          <cell r="M356" t="str">
            <v>Instagram</v>
          </cell>
          <cell r="N356">
            <v>693.41</v>
          </cell>
        </row>
        <row r="357">
          <cell r="A357" t="str">
            <v>ORD200355</v>
          </cell>
          <cell r="B357">
            <v>45811</v>
          </cell>
          <cell r="C357" t="str">
            <v>C18353</v>
          </cell>
          <cell r="D357" t="str">
            <v>Tablet</v>
          </cell>
          <cell r="E357">
            <v>3</v>
          </cell>
          <cell r="F357">
            <v>433.33</v>
          </cell>
          <cell r="G357" t="str">
            <v>677 Main St</v>
          </cell>
          <cell r="H357" t="str">
            <v>Credit Card</v>
          </cell>
          <cell r="I357" t="str">
            <v>Cancelled</v>
          </cell>
          <cell r="J357" t="str">
            <v>TRK78766533</v>
          </cell>
          <cell r="K357">
            <v>4</v>
          </cell>
          <cell r="L357" t="str">
            <v>FREESHIP</v>
          </cell>
          <cell r="M357" t="str">
            <v>Referral</v>
          </cell>
          <cell r="N357">
            <v>1299.99</v>
          </cell>
        </row>
        <row r="358">
          <cell r="A358" t="str">
            <v>ORD200356</v>
          </cell>
          <cell r="B358">
            <v>45052</v>
          </cell>
          <cell r="C358" t="str">
            <v>C26966</v>
          </cell>
          <cell r="D358" t="str">
            <v>Printer</v>
          </cell>
          <cell r="E358">
            <v>5</v>
          </cell>
          <cell r="F358">
            <v>374.58</v>
          </cell>
          <cell r="G358" t="str">
            <v>907 Main St</v>
          </cell>
          <cell r="H358" t="str">
            <v>Gift Card</v>
          </cell>
          <cell r="I358" t="str">
            <v>Cancelled</v>
          </cell>
          <cell r="J358" t="str">
            <v>TRK83889574</v>
          </cell>
          <cell r="K358">
            <v>10</v>
          </cell>
          <cell r="L358" t="str">
            <v>FREESHIP</v>
          </cell>
          <cell r="M358" t="str">
            <v>Instagram</v>
          </cell>
          <cell r="N358">
            <v>1872.8999999999999</v>
          </cell>
        </row>
        <row r="359">
          <cell r="A359" t="str">
            <v>ORD200357</v>
          </cell>
          <cell r="B359">
            <v>45115</v>
          </cell>
          <cell r="C359" t="str">
            <v>C74982</v>
          </cell>
          <cell r="D359" t="str">
            <v>Laptop</v>
          </cell>
          <cell r="E359">
            <v>5</v>
          </cell>
          <cell r="F359">
            <v>408.56</v>
          </cell>
          <cell r="G359" t="str">
            <v>398 Main St</v>
          </cell>
          <cell r="H359" t="str">
            <v>Debit Card</v>
          </cell>
          <cell r="I359" t="str">
            <v>Delivered</v>
          </cell>
          <cell r="J359" t="str">
            <v>TRK98700702</v>
          </cell>
          <cell r="K359">
            <v>8</v>
          </cell>
          <cell r="L359" t="str">
            <v>FREESHIP</v>
          </cell>
          <cell r="M359" t="str">
            <v>Instagram</v>
          </cell>
          <cell r="N359">
            <v>2042.8</v>
          </cell>
        </row>
        <row r="360">
          <cell r="A360" t="str">
            <v>ORD200358</v>
          </cell>
          <cell r="B360">
            <v>45389</v>
          </cell>
          <cell r="C360" t="str">
            <v>C70633</v>
          </cell>
          <cell r="D360" t="str">
            <v>Tablet</v>
          </cell>
          <cell r="E360">
            <v>2</v>
          </cell>
          <cell r="F360">
            <v>183.67</v>
          </cell>
          <cell r="G360" t="str">
            <v>747 Main St</v>
          </cell>
          <cell r="H360" t="str">
            <v>Online</v>
          </cell>
          <cell r="I360" t="str">
            <v>Cancelled</v>
          </cell>
          <cell r="J360" t="str">
            <v>TRK82540521</v>
          </cell>
          <cell r="K360">
            <v>3</v>
          </cell>
          <cell r="L360" t="str">
            <v>SAVE10</v>
          </cell>
          <cell r="M360" t="str">
            <v>Google</v>
          </cell>
          <cell r="N360">
            <v>367.34</v>
          </cell>
        </row>
        <row r="361">
          <cell r="A361" t="str">
            <v>ORD200359</v>
          </cell>
          <cell r="B361">
            <v>45086</v>
          </cell>
          <cell r="C361" t="str">
            <v>C95643</v>
          </cell>
          <cell r="D361" t="str">
            <v>Desk</v>
          </cell>
          <cell r="E361">
            <v>4</v>
          </cell>
          <cell r="F361">
            <v>606.57000000000005</v>
          </cell>
          <cell r="G361" t="str">
            <v>303 Main St</v>
          </cell>
          <cell r="H361" t="str">
            <v>Debit Card</v>
          </cell>
          <cell r="I361" t="str">
            <v>Delivered</v>
          </cell>
          <cell r="J361" t="str">
            <v>TRK23286689</v>
          </cell>
          <cell r="K361">
            <v>5</v>
          </cell>
          <cell r="L361" t="str">
            <v>WINTER15</v>
          </cell>
          <cell r="M361" t="str">
            <v>Referral</v>
          </cell>
          <cell r="N361">
            <v>2426.2800000000002</v>
          </cell>
        </row>
        <row r="362">
          <cell r="A362" t="str">
            <v>ORD200360</v>
          </cell>
          <cell r="B362">
            <v>45449</v>
          </cell>
          <cell r="C362" t="str">
            <v>C53810</v>
          </cell>
          <cell r="D362" t="str">
            <v>Phone</v>
          </cell>
          <cell r="E362">
            <v>4</v>
          </cell>
          <cell r="F362">
            <v>589.57000000000005</v>
          </cell>
          <cell r="G362" t="str">
            <v>779 Main St</v>
          </cell>
          <cell r="H362" t="str">
            <v>Cash</v>
          </cell>
          <cell r="I362" t="str">
            <v>Pending</v>
          </cell>
          <cell r="J362" t="str">
            <v>TRK34630612</v>
          </cell>
          <cell r="K362">
            <v>8</v>
          </cell>
          <cell r="L362" t="str">
            <v>No Coupon</v>
          </cell>
          <cell r="M362" t="str">
            <v>Instagram</v>
          </cell>
          <cell r="N362">
            <v>2358.2800000000002</v>
          </cell>
        </row>
        <row r="363">
          <cell r="A363" t="str">
            <v>ORD200361</v>
          </cell>
          <cell r="B363">
            <v>45472</v>
          </cell>
          <cell r="C363" t="str">
            <v>C53464</v>
          </cell>
          <cell r="D363" t="str">
            <v>Printer</v>
          </cell>
          <cell r="E363">
            <v>5</v>
          </cell>
          <cell r="F363">
            <v>659.85</v>
          </cell>
          <cell r="G363" t="str">
            <v>197 Main St</v>
          </cell>
          <cell r="H363" t="str">
            <v>Credit Card</v>
          </cell>
          <cell r="I363" t="str">
            <v>Delivered</v>
          </cell>
          <cell r="J363" t="str">
            <v>TRK32743531</v>
          </cell>
          <cell r="K363">
            <v>9</v>
          </cell>
          <cell r="L363" t="str">
            <v>SAVE10</v>
          </cell>
          <cell r="M363" t="str">
            <v>Facebook</v>
          </cell>
          <cell r="N363">
            <v>3299.25</v>
          </cell>
        </row>
        <row r="364">
          <cell r="A364" t="str">
            <v>ORD200362</v>
          </cell>
          <cell r="B364">
            <v>45104</v>
          </cell>
          <cell r="C364" t="str">
            <v>C53697</v>
          </cell>
          <cell r="D364" t="str">
            <v>Monitor</v>
          </cell>
          <cell r="E364">
            <v>4</v>
          </cell>
          <cell r="F364">
            <v>206.84</v>
          </cell>
          <cell r="G364" t="str">
            <v>312 Main St</v>
          </cell>
          <cell r="H364" t="str">
            <v>Cash</v>
          </cell>
          <cell r="I364" t="str">
            <v>Cancelled</v>
          </cell>
          <cell r="J364" t="str">
            <v>TRK60476656</v>
          </cell>
          <cell r="K364">
            <v>5</v>
          </cell>
          <cell r="L364" t="str">
            <v>WINTER15</v>
          </cell>
          <cell r="M364" t="str">
            <v>Instagram</v>
          </cell>
          <cell r="N364">
            <v>827.36</v>
          </cell>
        </row>
        <row r="365">
          <cell r="A365" t="str">
            <v>ORD200363</v>
          </cell>
          <cell r="B365">
            <v>45436</v>
          </cell>
          <cell r="C365" t="str">
            <v>C31668</v>
          </cell>
          <cell r="D365" t="str">
            <v>Laptop</v>
          </cell>
          <cell r="E365">
            <v>5</v>
          </cell>
          <cell r="F365">
            <v>113.87</v>
          </cell>
          <cell r="G365" t="str">
            <v>871 Main St</v>
          </cell>
          <cell r="H365" t="str">
            <v>Credit Card</v>
          </cell>
          <cell r="I365" t="str">
            <v>Pending</v>
          </cell>
          <cell r="J365" t="str">
            <v>TRK42584392</v>
          </cell>
          <cell r="K365">
            <v>6</v>
          </cell>
          <cell r="L365" t="str">
            <v>SAVE10</v>
          </cell>
          <cell r="M365" t="str">
            <v>Email</v>
          </cell>
          <cell r="N365">
            <v>569.35</v>
          </cell>
        </row>
        <row r="366">
          <cell r="A366" t="str">
            <v>ORD200364</v>
          </cell>
          <cell r="B366">
            <v>45254</v>
          </cell>
          <cell r="C366" t="str">
            <v>C85282</v>
          </cell>
          <cell r="D366" t="str">
            <v>Phone</v>
          </cell>
          <cell r="E366">
            <v>5</v>
          </cell>
          <cell r="F366">
            <v>628.74</v>
          </cell>
          <cell r="G366" t="str">
            <v>740 Main St</v>
          </cell>
          <cell r="H366" t="str">
            <v>Cash</v>
          </cell>
          <cell r="I366" t="str">
            <v>Cancelled</v>
          </cell>
          <cell r="J366" t="str">
            <v>TRK86767206</v>
          </cell>
          <cell r="K366">
            <v>9</v>
          </cell>
          <cell r="L366" t="str">
            <v>FREESHIP</v>
          </cell>
          <cell r="M366" t="str">
            <v>Facebook</v>
          </cell>
          <cell r="N366">
            <v>3143.7</v>
          </cell>
        </row>
        <row r="367">
          <cell r="A367" t="str">
            <v>ORD200365</v>
          </cell>
          <cell r="B367">
            <v>45702</v>
          </cell>
          <cell r="C367" t="str">
            <v>C56796</v>
          </cell>
          <cell r="D367" t="str">
            <v>Phone</v>
          </cell>
          <cell r="E367">
            <v>1</v>
          </cell>
          <cell r="F367">
            <v>678.38</v>
          </cell>
          <cell r="G367" t="str">
            <v>607 Main St</v>
          </cell>
          <cell r="H367" t="str">
            <v>Credit Card</v>
          </cell>
          <cell r="I367" t="str">
            <v>Cancelled</v>
          </cell>
          <cell r="J367" t="str">
            <v>TRK74263180</v>
          </cell>
          <cell r="K367">
            <v>4</v>
          </cell>
          <cell r="L367" t="str">
            <v>SAVE10</v>
          </cell>
          <cell r="M367" t="str">
            <v>Referral</v>
          </cell>
          <cell r="N367">
            <v>678.38</v>
          </cell>
        </row>
        <row r="368">
          <cell r="A368" t="str">
            <v>ORD200366</v>
          </cell>
          <cell r="B368">
            <v>44967</v>
          </cell>
          <cell r="C368" t="str">
            <v>C95213</v>
          </cell>
          <cell r="D368" t="str">
            <v>Printer</v>
          </cell>
          <cell r="E368">
            <v>3</v>
          </cell>
          <cell r="F368">
            <v>602.24</v>
          </cell>
          <cell r="G368" t="str">
            <v>603 Main St</v>
          </cell>
          <cell r="H368" t="str">
            <v>Debit Card</v>
          </cell>
          <cell r="I368" t="str">
            <v>Pending</v>
          </cell>
          <cell r="J368" t="str">
            <v>TRK40630538</v>
          </cell>
          <cell r="K368">
            <v>8</v>
          </cell>
          <cell r="L368" t="str">
            <v>No Coupon</v>
          </cell>
          <cell r="M368" t="str">
            <v>Referral</v>
          </cell>
          <cell r="N368">
            <v>1806.72</v>
          </cell>
        </row>
        <row r="369">
          <cell r="A369" t="str">
            <v>ORD200367</v>
          </cell>
          <cell r="B369">
            <v>45407</v>
          </cell>
          <cell r="C369" t="str">
            <v>C13108</v>
          </cell>
          <cell r="D369" t="str">
            <v>Laptop</v>
          </cell>
          <cell r="E369">
            <v>5</v>
          </cell>
          <cell r="F369">
            <v>658.77</v>
          </cell>
          <cell r="G369" t="str">
            <v>712 Main St</v>
          </cell>
          <cell r="H369" t="str">
            <v>Gift Card</v>
          </cell>
          <cell r="I369" t="str">
            <v>Pending</v>
          </cell>
          <cell r="J369" t="str">
            <v>TRK82284400</v>
          </cell>
          <cell r="K369">
            <v>10</v>
          </cell>
          <cell r="L369" t="str">
            <v>FREESHIP</v>
          </cell>
          <cell r="M369" t="str">
            <v>Instagram</v>
          </cell>
          <cell r="N369">
            <v>3293.85</v>
          </cell>
        </row>
        <row r="370">
          <cell r="A370" t="str">
            <v>ORD200368</v>
          </cell>
          <cell r="B370">
            <v>45047</v>
          </cell>
          <cell r="C370" t="str">
            <v>C85322</v>
          </cell>
          <cell r="D370" t="str">
            <v>Monitor</v>
          </cell>
          <cell r="E370">
            <v>3</v>
          </cell>
          <cell r="F370">
            <v>271.02</v>
          </cell>
          <cell r="G370" t="str">
            <v>403 Main St</v>
          </cell>
          <cell r="H370" t="str">
            <v>Credit Card</v>
          </cell>
          <cell r="I370" t="str">
            <v>Cancelled</v>
          </cell>
          <cell r="J370" t="str">
            <v>TRK89728869</v>
          </cell>
          <cell r="K370">
            <v>6</v>
          </cell>
          <cell r="L370" t="str">
            <v>No Coupon</v>
          </cell>
          <cell r="M370" t="str">
            <v>Google</v>
          </cell>
          <cell r="N370">
            <v>813.06</v>
          </cell>
        </row>
        <row r="371">
          <cell r="A371" t="str">
            <v>ORD200369</v>
          </cell>
          <cell r="B371">
            <v>45648</v>
          </cell>
          <cell r="C371" t="str">
            <v>C43545</v>
          </cell>
          <cell r="D371" t="str">
            <v>Monitor</v>
          </cell>
          <cell r="E371">
            <v>5</v>
          </cell>
          <cell r="F371">
            <v>375.25</v>
          </cell>
          <cell r="G371" t="str">
            <v>216 Main St</v>
          </cell>
          <cell r="H371" t="str">
            <v>Gift Card</v>
          </cell>
          <cell r="I371" t="str">
            <v>Pending</v>
          </cell>
          <cell r="J371" t="str">
            <v>TRK73937402</v>
          </cell>
          <cell r="K371">
            <v>9</v>
          </cell>
          <cell r="L371" t="str">
            <v>SAVE10</v>
          </cell>
          <cell r="M371" t="str">
            <v>Email</v>
          </cell>
          <cell r="N371">
            <v>1876.25</v>
          </cell>
        </row>
        <row r="372">
          <cell r="A372" t="str">
            <v>ORD200370</v>
          </cell>
          <cell r="B372">
            <v>45780</v>
          </cell>
          <cell r="C372" t="str">
            <v>C80649</v>
          </cell>
          <cell r="D372" t="str">
            <v>Phone</v>
          </cell>
          <cell r="E372">
            <v>1</v>
          </cell>
          <cell r="F372">
            <v>312.11</v>
          </cell>
          <cell r="G372" t="str">
            <v>870 Main St</v>
          </cell>
          <cell r="H372" t="str">
            <v>Online</v>
          </cell>
          <cell r="I372" t="str">
            <v>Cancelled</v>
          </cell>
          <cell r="J372" t="str">
            <v>TRK41143313</v>
          </cell>
          <cell r="K372">
            <v>4</v>
          </cell>
          <cell r="L372" t="str">
            <v>WINTER15</v>
          </cell>
          <cell r="M372" t="str">
            <v>Facebook</v>
          </cell>
          <cell r="N372">
            <v>312.11</v>
          </cell>
        </row>
        <row r="373">
          <cell r="A373" t="str">
            <v>ORD200371</v>
          </cell>
          <cell r="B373">
            <v>44931</v>
          </cell>
          <cell r="C373" t="str">
            <v>C59752</v>
          </cell>
          <cell r="D373" t="str">
            <v>Phone</v>
          </cell>
          <cell r="E373">
            <v>5</v>
          </cell>
          <cell r="F373">
            <v>307.76</v>
          </cell>
          <cell r="G373" t="str">
            <v>179 Main St</v>
          </cell>
          <cell r="H373" t="str">
            <v>Gift Card</v>
          </cell>
          <cell r="I373" t="str">
            <v>Pending</v>
          </cell>
          <cell r="J373" t="str">
            <v>TRK82229639</v>
          </cell>
          <cell r="K373">
            <v>9</v>
          </cell>
          <cell r="L373" t="str">
            <v>FREESHIP</v>
          </cell>
          <cell r="M373" t="str">
            <v>Google</v>
          </cell>
          <cell r="N373">
            <v>1538.8</v>
          </cell>
        </row>
        <row r="374">
          <cell r="A374" t="str">
            <v>ORD200372</v>
          </cell>
          <cell r="B374">
            <v>45702</v>
          </cell>
          <cell r="C374" t="str">
            <v>C53645</v>
          </cell>
          <cell r="D374" t="str">
            <v>Chair</v>
          </cell>
          <cell r="E374">
            <v>3</v>
          </cell>
          <cell r="F374">
            <v>483.53</v>
          </cell>
          <cell r="G374" t="str">
            <v>166 Main St</v>
          </cell>
          <cell r="H374" t="str">
            <v>Cash</v>
          </cell>
          <cell r="I374" t="str">
            <v>Returned</v>
          </cell>
          <cell r="J374" t="str">
            <v>TRK12123939</v>
          </cell>
          <cell r="K374">
            <v>4</v>
          </cell>
          <cell r="L374" t="str">
            <v>No Coupon</v>
          </cell>
          <cell r="M374" t="str">
            <v>Referral</v>
          </cell>
          <cell r="N374">
            <v>1450.59</v>
          </cell>
        </row>
        <row r="375">
          <cell r="A375" t="str">
            <v>ORD200373</v>
          </cell>
          <cell r="B375">
            <v>44928</v>
          </cell>
          <cell r="C375" t="str">
            <v>C60178</v>
          </cell>
          <cell r="D375" t="str">
            <v>Laptop</v>
          </cell>
          <cell r="E375">
            <v>3</v>
          </cell>
          <cell r="F375">
            <v>341.15</v>
          </cell>
          <cell r="G375" t="str">
            <v>969 Main St</v>
          </cell>
          <cell r="H375" t="str">
            <v>Cash</v>
          </cell>
          <cell r="I375" t="str">
            <v>Pending</v>
          </cell>
          <cell r="J375" t="str">
            <v>TRK84505143</v>
          </cell>
          <cell r="K375">
            <v>4</v>
          </cell>
          <cell r="L375" t="str">
            <v>FREESHIP</v>
          </cell>
          <cell r="M375" t="str">
            <v>Instagram</v>
          </cell>
          <cell r="N375">
            <v>1023.4499999999999</v>
          </cell>
        </row>
        <row r="376">
          <cell r="A376" t="str">
            <v>ORD200374</v>
          </cell>
          <cell r="B376">
            <v>45551</v>
          </cell>
          <cell r="C376" t="str">
            <v>C20286</v>
          </cell>
          <cell r="D376" t="str">
            <v>Monitor</v>
          </cell>
          <cell r="E376">
            <v>1</v>
          </cell>
          <cell r="F376">
            <v>571.9</v>
          </cell>
          <cell r="G376" t="str">
            <v>129 Main St</v>
          </cell>
          <cell r="H376" t="str">
            <v>Gift Card</v>
          </cell>
          <cell r="I376" t="str">
            <v>Pending</v>
          </cell>
          <cell r="J376" t="str">
            <v>TRK67648338</v>
          </cell>
          <cell r="K376">
            <v>1</v>
          </cell>
          <cell r="L376" t="str">
            <v>WINTER15</v>
          </cell>
          <cell r="M376" t="str">
            <v>Instagram</v>
          </cell>
          <cell r="N376">
            <v>571.9</v>
          </cell>
        </row>
        <row r="377">
          <cell r="A377" t="str">
            <v>ORD200375</v>
          </cell>
          <cell r="B377">
            <v>45673</v>
          </cell>
          <cell r="C377" t="str">
            <v>C87547</v>
          </cell>
          <cell r="D377" t="str">
            <v>Monitor</v>
          </cell>
          <cell r="E377">
            <v>4</v>
          </cell>
          <cell r="F377">
            <v>95.03</v>
          </cell>
          <cell r="G377" t="str">
            <v>400 Main St</v>
          </cell>
          <cell r="H377" t="str">
            <v>Online</v>
          </cell>
          <cell r="I377" t="str">
            <v>Shipped</v>
          </cell>
          <cell r="J377" t="str">
            <v>TRK71027262</v>
          </cell>
          <cell r="K377">
            <v>8</v>
          </cell>
          <cell r="L377" t="str">
            <v>FREESHIP</v>
          </cell>
          <cell r="M377" t="str">
            <v>Facebook</v>
          </cell>
          <cell r="N377">
            <v>380.12</v>
          </cell>
        </row>
        <row r="378">
          <cell r="A378" t="str">
            <v>ORD200376</v>
          </cell>
          <cell r="B378">
            <v>45162</v>
          </cell>
          <cell r="C378" t="str">
            <v>C64549</v>
          </cell>
          <cell r="D378" t="str">
            <v>Monitor</v>
          </cell>
          <cell r="E378">
            <v>5</v>
          </cell>
          <cell r="F378">
            <v>201.22</v>
          </cell>
          <cell r="G378" t="str">
            <v>341 Main St</v>
          </cell>
          <cell r="H378" t="str">
            <v>Debit Card</v>
          </cell>
          <cell r="I378" t="str">
            <v>Pending</v>
          </cell>
          <cell r="J378" t="str">
            <v>TRK20788231</v>
          </cell>
          <cell r="K378">
            <v>6</v>
          </cell>
          <cell r="L378" t="str">
            <v>FREESHIP</v>
          </cell>
          <cell r="M378" t="str">
            <v>Facebook</v>
          </cell>
          <cell r="N378">
            <v>1006.1</v>
          </cell>
        </row>
        <row r="379">
          <cell r="A379" t="str">
            <v>ORD200377</v>
          </cell>
          <cell r="B379">
            <v>45495</v>
          </cell>
          <cell r="C379" t="str">
            <v>C24884</v>
          </cell>
          <cell r="D379" t="str">
            <v>Monitor</v>
          </cell>
          <cell r="E379">
            <v>1</v>
          </cell>
          <cell r="F379">
            <v>260.26</v>
          </cell>
          <cell r="G379" t="str">
            <v>625 Main St</v>
          </cell>
          <cell r="H379" t="str">
            <v>Online</v>
          </cell>
          <cell r="I379" t="str">
            <v>Pending</v>
          </cell>
          <cell r="J379" t="str">
            <v>TRK44538419</v>
          </cell>
          <cell r="K379">
            <v>5</v>
          </cell>
          <cell r="L379" t="str">
            <v>WINTER15</v>
          </cell>
          <cell r="M379" t="str">
            <v>Instagram</v>
          </cell>
          <cell r="N379">
            <v>260.26</v>
          </cell>
        </row>
        <row r="380">
          <cell r="A380" t="str">
            <v>ORD200378</v>
          </cell>
          <cell r="B380">
            <v>45323</v>
          </cell>
          <cell r="C380" t="str">
            <v>C62666</v>
          </cell>
          <cell r="D380" t="str">
            <v>Chair</v>
          </cell>
          <cell r="E380">
            <v>5</v>
          </cell>
          <cell r="F380">
            <v>64.5</v>
          </cell>
          <cell r="G380" t="str">
            <v>148 Main St</v>
          </cell>
          <cell r="H380" t="str">
            <v>Credit Card</v>
          </cell>
          <cell r="I380" t="str">
            <v>Pending</v>
          </cell>
          <cell r="J380" t="str">
            <v>TRK91029390</v>
          </cell>
          <cell r="K380">
            <v>8</v>
          </cell>
          <cell r="L380" t="str">
            <v>WINTER15</v>
          </cell>
          <cell r="M380" t="str">
            <v>Instagram</v>
          </cell>
          <cell r="N380">
            <v>322.5</v>
          </cell>
        </row>
        <row r="381">
          <cell r="A381" t="str">
            <v>ORD200379</v>
          </cell>
          <cell r="B381">
            <v>45556</v>
          </cell>
          <cell r="C381" t="str">
            <v>C47284</v>
          </cell>
          <cell r="D381" t="str">
            <v>Phone</v>
          </cell>
          <cell r="E381">
            <v>3</v>
          </cell>
          <cell r="F381">
            <v>297.67</v>
          </cell>
          <cell r="G381" t="str">
            <v>500 Main St</v>
          </cell>
          <cell r="H381" t="str">
            <v>Online</v>
          </cell>
          <cell r="I381" t="str">
            <v>Shipped</v>
          </cell>
          <cell r="J381" t="str">
            <v>TRK85756094</v>
          </cell>
          <cell r="K381">
            <v>6</v>
          </cell>
          <cell r="L381" t="str">
            <v>No Coupon</v>
          </cell>
          <cell r="M381" t="str">
            <v>Google</v>
          </cell>
          <cell r="N381">
            <v>893.01</v>
          </cell>
        </row>
        <row r="382">
          <cell r="A382" t="str">
            <v>ORD200380</v>
          </cell>
          <cell r="B382">
            <v>45402</v>
          </cell>
          <cell r="C382" t="str">
            <v>C35355</v>
          </cell>
          <cell r="D382" t="str">
            <v>Printer</v>
          </cell>
          <cell r="E382">
            <v>4</v>
          </cell>
          <cell r="F382">
            <v>331.9</v>
          </cell>
          <cell r="G382" t="str">
            <v>127 Main St</v>
          </cell>
          <cell r="H382" t="str">
            <v>Cash</v>
          </cell>
          <cell r="I382" t="str">
            <v>Pending</v>
          </cell>
          <cell r="J382" t="str">
            <v>TRK52935059</v>
          </cell>
          <cell r="K382">
            <v>5</v>
          </cell>
          <cell r="L382" t="str">
            <v>SAVE10</v>
          </cell>
          <cell r="M382" t="str">
            <v>Instagram</v>
          </cell>
          <cell r="N382">
            <v>1327.6</v>
          </cell>
        </row>
        <row r="383">
          <cell r="A383" t="str">
            <v>ORD200381</v>
          </cell>
          <cell r="B383">
            <v>45084</v>
          </cell>
          <cell r="C383" t="str">
            <v>C29467</v>
          </cell>
          <cell r="D383" t="str">
            <v>Chair</v>
          </cell>
          <cell r="E383">
            <v>1</v>
          </cell>
          <cell r="F383">
            <v>191.76</v>
          </cell>
          <cell r="G383" t="str">
            <v>223 Main St</v>
          </cell>
          <cell r="H383" t="str">
            <v>Credit Card</v>
          </cell>
          <cell r="I383" t="str">
            <v>Returned</v>
          </cell>
          <cell r="J383" t="str">
            <v>TRK98103385</v>
          </cell>
          <cell r="K383">
            <v>1</v>
          </cell>
          <cell r="L383" t="str">
            <v>FREESHIP</v>
          </cell>
          <cell r="M383" t="str">
            <v>Instagram</v>
          </cell>
          <cell r="N383">
            <v>191.76</v>
          </cell>
        </row>
        <row r="384">
          <cell r="A384" t="str">
            <v>ORD200382</v>
          </cell>
          <cell r="B384">
            <v>45687</v>
          </cell>
          <cell r="C384" t="str">
            <v>C26718</v>
          </cell>
          <cell r="D384" t="str">
            <v>Printer</v>
          </cell>
          <cell r="E384">
            <v>4</v>
          </cell>
          <cell r="F384">
            <v>263.08999999999997</v>
          </cell>
          <cell r="G384" t="str">
            <v>272 Main St</v>
          </cell>
          <cell r="H384" t="str">
            <v>Debit Card</v>
          </cell>
          <cell r="I384" t="str">
            <v>Shipped</v>
          </cell>
          <cell r="J384" t="str">
            <v>TRK91702525</v>
          </cell>
          <cell r="K384">
            <v>8</v>
          </cell>
          <cell r="L384" t="str">
            <v>SAVE10</v>
          </cell>
          <cell r="M384" t="str">
            <v>Google</v>
          </cell>
          <cell r="N384">
            <v>1052.3599999999999</v>
          </cell>
        </row>
        <row r="385">
          <cell r="A385" t="str">
            <v>ORD200383</v>
          </cell>
          <cell r="B385">
            <v>44946</v>
          </cell>
          <cell r="C385" t="str">
            <v>C18944</v>
          </cell>
          <cell r="D385" t="str">
            <v>Chair</v>
          </cell>
          <cell r="E385">
            <v>4</v>
          </cell>
          <cell r="F385">
            <v>393.8</v>
          </cell>
          <cell r="G385" t="str">
            <v>837 Main St</v>
          </cell>
          <cell r="H385" t="str">
            <v>Credit Card</v>
          </cell>
          <cell r="I385" t="str">
            <v>Pending</v>
          </cell>
          <cell r="J385" t="str">
            <v>TRK45275439</v>
          </cell>
          <cell r="K385">
            <v>7</v>
          </cell>
          <cell r="L385" t="str">
            <v>SAVE10</v>
          </cell>
          <cell r="M385" t="str">
            <v>Email</v>
          </cell>
          <cell r="N385">
            <v>1575.2</v>
          </cell>
        </row>
        <row r="386">
          <cell r="A386" t="str">
            <v>ORD200384</v>
          </cell>
          <cell r="B386">
            <v>45620</v>
          </cell>
          <cell r="C386" t="str">
            <v>C35628</v>
          </cell>
          <cell r="D386" t="str">
            <v>Chair</v>
          </cell>
          <cell r="E386">
            <v>3</v>
          </cell>
          <cell r="F386">
            <v>553.57000000000005</v>
          </cell>
          <cell r="G386" t="str">
            <v>147 Main St</v>
          </cell>
          <cell r="H386" t="str">
            <v>Credit Card</v>
          </cell>
          <cell r="I386" t="str">
            <v>Returned</v>
          </cell>
          <cell r="J386" t="str">
            <v>TRK45688220</v>
          </cell>
          <cell r="K386">
            <v>4</v>
          </cell>
          <cell r="L386" t="str">
            <v>FREESHIP</v>
          </cell>
          <cell r="M386" t="str">
            <v>Facebook</v>
          </cell>
          <cell r="N386">
            <v>1660.71</v>
          </cell>
        </row>
        <row r="387">
          <cell r="A387" t="str">
            <v>ORD200385</v>
          </cell>
          <cell r="B387">
            <v>45230</v>
          </cell>
          <cell r="C387" t="str">
            <v>C56851</v>
          </cell>
          <cell r="D387" t="str">
            <v>Chair</v>
          </cell>
          <cell r="E387">
            <v>5</v>
          </cell>
          <cell r="F387">
            <v>191.63</v>
          </cell>
          <cell r="G387" t="str">
            <v>752 Main St</v>
          </cell>
          <cell r="H387" t="str">
            <v>Gift Card</v>
          </cell>
          <cell r="I387" t="str">
            <v>Delivered</v>
          </cell>
          <cell r="J387" t="str">
            <v>TRK65290904</v>
          </cell>
          <cell r="K387">
            <v>6</v>
          </cell>
          <cell r="L387" t="str">
            <v>FREESHIP</v>
          </cell>
          <cell r="M387" t="str">
            <v>Facebook</v>
          </cell>
          <cell r="N387">
            <v>958.15</v>
          </cell>
        </row>
        <row r="388">
          <cell r="A388" t="str">
            <v>ORD200386</v>
          </cell>
          <cell r="B388">
            <v>45044</v>
          </cell>
          <cell r="C388" t="str">
            <v>C12421</v>
          </cell>
          <cell r="D388" t="str">
            <v>Tablet</v>
          </cell>
          <cell r="E388">
            <v>1</v>
          </cell>
          <cell r="F388">
            <v>93.02</v>
          </cell>
          <cell r="G388" t="str">
            <v>373 Main St</v>
          </cell>
          <cell r="H388" t="str">
            <v>Online</v>
          </cell>
          <cell r="I388" t="str">
            <v>Returned</v>
          </cell>
          <cell r="J388" t="str">
            <v>TRK32588504</v>
          </cell>
          <cell r="K388">
            <v>4</v>
          </cell>
          <cell r="L388" t="str">
            <v>No Coupon</v>
          </cell>
          <cell r="M388" t="str">
            <v>Email</v>
          </cell>
          <cell r="N388">
            <v>93.02</v>
          </cell>
        </row>
        <row r="389">
          <cell r="A389" t="str">
            <v>ORD200387</v>
          </cell>
          <cell r="B389">
            <v>45470</v>
          </cell>
          <cell r="C389" t="str">
            <v>C25316</v>
          </cell>
          <cell r="D389" t="str">
            <v>Printer</v>
          </cell>
          <cell r="E389">
            <v>2</v>
          </cell>
          <cell r="F389">
            <v>39.53</v>
          </cell>
          <cell r="G389" t="str">
            <v>904 Main St</v>
          </cell>
          <cell r="H389" t="str">
            <v>Credit Card</v>
          </cell>
          <cell r="I389" t="str">
            <v>Shipped</v>
          </cell>
          <cell r="J389" t="str">
            <v>TRK55423551</v>
          </cell>
          <cell r="K389">
            <v>3</v>
          </cell>
          <cell r="L389" t="str">
            <v>WINTER15</v>
          </cell>
          <cell r="M389" t="str">
            <v>Google</v>
          </cell>
          <cell r="N389">
            <v>79.06</v>
          </cell>
        </row>
        <row r="390">
          <cell r="A390" t="str">
            <v>ORD200388</v>
          </cell>
          <cell r="B390">
            <v>45288</v>
          </cell>
          <cell r="C390" t="str">
            <v>C22657</v>
          </cell>
          <cell r="D390" t="str">
            <v>Printer</v>
          </cell>
          <cell r="E390">
            <v>3</v>
          </cell>
          <cell r="F390">
            <v>633.97</v>
          </cell>
          <cell r="G390" t="str">
            <v>152 Main St</v>
          </cell>
          <cell r="H390" t="str">
            <v>Cash</v>
          </cell>
          <cell r="I390" t="str">
            <v>Pending</v>
          </cell>
          <cell r="J390" t="str">
            <v>TRK49157047</v>
          </cell>
          <cell r="K390">
            <v>7</v>
          </cell>
          <cell r="L390" t="str">
            <v>WINTER15</v>
          </cell>
          <cell r="M390" t="str">
            <v>Facebook</v>
          </cell>
          <cell r="N390">
            <v>1901.91</v>
          </cell>
        </row>
        <row r="391">
          <cell r="A391" t="str">
            <v>ORD200389</v>
          </cell>
          <cell r="B391">
            <v>45277</v>
          </cell>
          <cell r="C391" t="str">
            <v>C29703</v>
          </cell>
          <cell r="D391" t="str">
            <v>Desk</v>
          </cell>
          <cell r="E391">
            <v>4</v>
          </cell>
          <cell r="F391">
            <v>697.5</v>
          </cell>
          <cell r="G391" t="str">
            <v>558 Main St</v>
          </cell>
          <cell r="H391" t="str">
            <v>Cash</v>
          </cell>
          <cell r="I391" t="str">
            <v>Shipped</v>
          </cell>
          <cell r="J391" t="str">
            <v>TRK40543461</v>
          </cell>
          <cell r="K391">
            <v>7</v>
          </cell>
          <cell r="L391" t="str">
            <v>FREESHIP</v>
          </cell>
          <cell r="M391" t="str">
            <v>Referral</v>
          </cell>
          <cell r="N391">
            <v>2790</v>
          </cell>
        </row>
        <row r="392">
          <cell r="A392" t="str">
            <v>ORD200390</v>
          </cell>
          <cell r="B392">
            <v>45121</v>
          </cell>
          <cell r="C392" t="str">
            <v>C55996</v>
          </cell>
          <cell r="D392" t="str">
            <v>Printer</v>
          </cell>
          <cell r="E392">
            <v>5</v>
          </cell>
          <cell r="F392">
            <v>508.69</v>
          </cell>
          <cell r="G392" t="str">
            <v>885 Main St</v>
          </cell>
          <cell r="H392" t="str">
            <v>Cash</v>
          </cell>
          <cell r="I392" t="str">
            <v>Delivered</v>
          </cell>
          <cell r="J392" t="str">
            <v>TRK30547638</v>
          </cell>
          <cell r="K392">
            <v>10</v>
          </cell>
          <cell r="L392" t="str">
            <v>FREESHIP</v>
          </cell>
          <cell r="M392" t="str">
            <v>Google</v>
          </cell>
          <cell r="N392">
            <v>2543.4499999999998</v>
          </cell>
        </row>
        <row r="393">
          <cell r="A393" t="str">
            <v>ORD200391</v>
          </cell>
          <cell r="B393">
            <v>45673</v>
          </cell>
          <cell r="C393" t="str">
            <v>C60037</v>
          </cell>
          <cell r="D393" t="str">
            <v>Laptop</v>
          </cell>
          <cell r="E393">
            <v>2</v>
          </cell>
          <cell r="F393">
            <v>527.46</v>
          </cell>
          <cell r="G393" t="str">
            <v>516 Main St</v>
          </cell>
          <cell r="H393" t="str">
            <v>Debit Card</v>
          </cell>
          <cell r="I393" t="str">
            <v>Cancelled</v>
          </cell>
          <cell r="J393" t="str">
            <v>TRK82009557</v>
          </cell>
          <cell r="K393">
            <v>3</v>
          </cell>
          <cell r="L393" t="str">
            <v>FREESHIP</v>
          </cell>
          <cell r="M393" t="str">
            <v>Referral</v>
          </cell>
          <cell r="N393">
            <v>1054.92</v>
          </cell>
        </row>
        <row r="394">
          <cell r="A394" t="str">
            <v>ORD200392</v>
          </cell>
          <cell r="B394">
            <v>45350</v>
          </cell>
          <cell r="C394" t="str">
            <v>C95100</v>
          </cell>
          <cell r="D394" t="str">
            <v>Phone</v>
          </cell>
          <cell r="E394">
            <v>1</v>
          </cell>
          <cell r="F394">
            <v>627.20000000000005</v>
          </cell>
          <cell r="G394" t="str">
            <v>197 Main St</v>
          </cell>
          <cell r="H394" t="str">
            <v>Online</v>
          </cell>
          <cell r="I394" t="str">
            <v>Delivered</v>
          </cell>
          <cell r="J394" t="str">
            <v>TRK47366265</v>
          </cell>
          <cell r="K394">
            <v>1</v>
          </cell>
          <cell r="L394" t="str">
            <v>WINTER15</v>
          </cell>
          <cell r="M394" t="str">
            <v>Email</v>
          </cell>
          <cell r="N394">
            <v>627.20000000000005</v>
          </cell>
        </row>
        <row r="395">
          <cell r="A395" t="str">
            <v>ORD200393</v>
          </cell>
          <cell r="B395">
            <v>45487</v>
          </cell>
          <cell r="C395" t="str">
            <v>C39906</v>
          </cell>
          <cell r="D395" t="str">
            <v>Printer</v>
          </cell>
          <cell r="E395">
            <v>1</v>
          </cell>
          <cell r="F395">
            <v>75.010000000000005</v>
          </cell>
          <cell r="G395" t="str">
            <v>921 Main St</v>
          </cell>
          <cell r="H395" t="str">
            <v>Credit Card</v>
          </cell>
          <cell r="I395" t="str">
            <v>Returned</v>
          </cell>
          <cell r="J395" t="str">
            <v>TRK24632134</v>
          </cell>
          <cell r="K395">
            <v>3</v>
          </cell>
          <cell r="L395" t="str">
            <v>No Coupon</v>
          </cell>
          <cell r="M395" t="str">
            <v>Google</v>
          </cell>
          <cell r="N395">
            <v>75.010000000000005</v>
          </cell>
        </row>
        <row r="396">
          <cell r="A396" t="str">
            <v>ORD200394</v>
          </cell>
          <cell r="B396">
            <v>45112</v>
          </cell>
          <cell r="C396" t="str">
            <v>C70148</v>
          </cell>
          <cell r="D396" t="str">
            <v>Desk</v>
          </cell>
          <cell r="E396">
            <v>5</v>
          </cell>
          <cell r="F396">
            <v>529.54999999999995</v>
          </cell>
          <cell r="G396" t="str">
            <v>359 Main St</v>
          </cell>
          <cell r="H396" t="str">
            <v>Gift Card</v>
          </cell>
          <cell r="I396" t="str">
            <v>Shipped</v>
          </cell>
          <cell r="J396" t="str">
            <v>TRK34848650</v>
          </cell>
          <cell r="K396">
            <v>10</v>
          </cell>
          <cell r="L396" t="str">
            <v>No Coupon</v>
          </cell>
          <cell r="M396" t="str">
            <v>Facebook</v>
          </cell>
          <cell r="N396">
            <v>2647.75</v>
          </cell>
        </row>
        <row r="397">
          <cell r="A397" t="str">
            <v>ORD200395</v>
          </cell>
          <cell r="B397">
            <v>45772</v>
          </cell>
          <cell r="C397" t="str">
            <v>C30010</v>
          </cell>
          <cell r="D397" t="str">
            <v>Phone</v>
          </cell>
          <cell r="E397">
            <v>3</v>
          </cell>
          <cell r="F397">
            <v>127.41</v>
          </cell>
          <cell r="G397" t="str">
            <v>830 Main St</v>
          </cell>
          <cell r="H397" t="str">
            <v>Gift Card</v>
          </cell>
          <cell r="I397" t="str">
            <v>Delivered</v>
          </cell>
          <cell r="J397" t="str">
            <v>TRK35386084</v>
          </cell>
          <cell r="K397">
            <v>7</v>
          </cell>
          <cell r="L397" t="str">
            <v>SAVE10</v>
          </cell>
          <cell r="M397" t="str">
            <v>Referral</v>
          </cell>
          <cell r="N397">
            <v>382.23</v>
          </cell>
        </row>
        <row r="398">
          <cell r="A398" t="str">
            <v>ORD200396</v>
          </cell>
          <cell r="B398">
            <v>45261</v>
          </cell>
          <cell r="C398" t="str">
            <v>C99217</v>
          </cell>
          <cell r="D398" t="str">
            <v>Tablet</v>
          </cell>
          <cell r="E398">
            <v>5</v>
          </cell>
          <cell r="F398">
            <v>287.13</v>
          </cell>
          <cell r="G398" t="str">
            <v>778 Main St</v>
          </cell>
          <cell r="H398" t="str">
            <v>Online</v>
          </cell>
          <cell r="I398" t="str">
            <v>Shipped</v>
          </cell>
          <cell r="J398" t="str">
            <v>TRK82004594</v>
          </cell>
          <cell r="K398">
            <v>10</v>
          </cell>
          <cell r="L398" t="str">
            <v>SAVE10</v>
          </cell>
          <cell r="M398" t="str">
            <v>Email</v>
          </cell>
          <cell r="N398">
            <v>1435.65</v>
          </cell>
        </row>
        <row r="399">
          <cell r="A399" t="str">
            <v>ORD200397</v>
          </cell>
          <cell r="B399">
            <v>45197</v>
          </cell>
          <cell r="C399" t="str">
            <v>C30184</v>
          </cell>
          <cell r="D399" t="str">
            <v>Monitor</v>
          </cell>
          <cell r="E399">
            <v>1</v>
          </cell>
          <cell r="F399">
            <v>427.06</v>
          </cell>
          <cell r="G399" t="str">
            <v>987 Main St</v>
          </cell>
          <cell r="H399" t="str">
            <v>Online</v>
          </cell>
          <cell r="I399" t="str">
            <v>Cancelled</v>
          </cell>
          <cell r="J399" t="str">
            <v>TRK86674704</v>
          </cell>
          <cell r="K399">
            <v>1</v>
          </cell>
          <cell r="L399" t="str">
            <v>WINTER15</v>
          </cell>
          <cell r="M399" t="str">
            <v>Referral</v>
          </cell>
          <cell r="N399">
            <v>427.06</v>
          </cell>
        </row>
        <row r="400">
          <cell r="A400" t="str">
            <v>ORD200398</v>
          </cell>
          <cell r="B400">
            <v>45539</v>
          </cell>
          <cell r="C400" t="str">
            <v>C50275</v>
          </cell>
          <cell r="D400" t="str">
            <v>Phone</v>
          </cell>
          <cell r="E400">
            <v>5</v>
          </cell>
          <cell r="F400">
            <v>53.93</v>
          </cell>
          <cell r="G400" t="str">
            <v>729 Main St</v>
          </cell>
          <cell r="H400" t="str">
            <v>Gift Card</v>
          </cell>
          <cell r="I400" t="str">
            <v>Shipped</v>
          </cell>
          <cell r="J400" t="str">
            <v>TRK98925264</v>
          </cell>
          <cell r="K400">
            <v>7</v>
          </cell>
          <cell r="L400" t="str">
            <v>SAVE10</v>
          </cell>
          <cell r="M400" t="str">
            <v>Instagram</v>
          </cell>
          <cell r="N400">
            <v>269.64999999999998</v>
          </cell>
        </row>
        <row r="401">
          <cell r="A401" t="str">
            <v>ORD200399</v>
          </cell>
          <cell r="B401">
            <v>45298</v>
          </cell>
          <cell r="C401" t="str">
            <v>C64641</v>
          </cell>
          <cell r="D401" t="str">
            <v>Tablet</v>
          </cell>
          <cell r="E401">
            <v>5</v>
          </cell>
          <cell r="F401">
            <v>423.93</v>
          </cell>
          <cell r="G401" t="str">
            <v>319 Main St</v>
          </cell>
          <cell r="H401" t="str">
            <v>Debit Card</v>
          </cell>
          <cell r="I401" t="str">
            <v>Returned</v>
          </cell>
          <cell r="J401" t="str">
            <v>TRK32012588</v>
          </cell>
          <cell r="K401">
            <v>5</v>
          </cell>
          <cell r="L401" t="str">
            <v>FREESHIP</v>
          </cell>
          <cell r="M401" t="str">
            <v>Facebook</v>
          </cell>
          <cell r="N401">
            <v>2119.65</v>
          </cell>
        </row>
        <row r="402">
          <cell r="A402" t="str">
            <v>ORD200400</v>
          </cell>
          <cell r="B402">
            <v>45563</v>
          </cell>
          <cell r="C402" t="str">
            <v>C56266</v>
          </cell>
          <cell r="D402" t="str">
            <v>Desk</v>
          </cell>
          <cell r="E402">
            <v>4</v>
          </cell>
          <cell r="F402">
            <v>160.22</v>
          </cell>
          <cell r="G402" t="str">
            <v>304 Main St</v>
          </cell>
          <cell r="H402" t="str">
            <v>Debit Card</v>
          </cell>
          <cell r="I402" t="str">
            <v>Returned</v>
          </cell>
          <cell r="J402" t="str">
            <v>TRK60088901</v>
          </cell>
          <cell r="K402">
            <v>9</v>
          </cell>
          <cell r="L402" t="str">
            <v>WINTER15</v>
          </cell>
          <cell r="M402" t="str">
            <v>Instagram</v>
          </cell>
          <cell r="N402">
            <v>640.88</v>
          </cell>
        </row>
        <row r="403">
          <cell r="A403" t="str">
            <v>ORD200401</v>
          </cell>
          <cell r="B403">
            <v>45756</v>
          </cell>
          <cell r="C403" t="str">
            <v>C98635</v>
          </cell>
          <cell r="D403" t="str">
            <v>Printer</v>
          </cell>
          <cell r="E403">
            <v>1</v>
          </cell>
          <cell r="F403">
            <v>538.67999999999995</v>
          </cell>
          <cell r="G403" t="str">
            <v>197 Main St</v>
          </cell>
          <cell r="H403" t="str">
            <v>Debit Card</v>
          </cell>
          <cell r="I403" t="str">
            <v>Returned</v>
          </cell>
          <cell r="J403" t="str">
            <v>TRK14225465</v>
          </cell>
          <cell r="K403">
            <v>6</v>
          </cell>
          <cell r="L403" t="str">
            <v>No Coupon</v>
          </cell>
          <cell r="M403" t="str">
            <v>Referral</v>
          </cell>
          <cell r="N403">
            <v>538.67999999999995</v>
          </cell>
        </row>
        <row r="404">
          <cell r="A404" t="str">
            <v>ORD200402</v>
          </cell>
          <cell r="B404">
            <v>45025</v>
          </cell>
          <cell r="C404" t="str">
            <v>C83026</v>
          </cell>
          <cell r="D404" t="str">
            <v>Printer</v>
          </cell>
          <cell r="E404">
            <v>5</v>
          </cell>
          <cell r="F404">
            <v>337.38</v>
          </cell>
          <cell r="G404" t="str">
            <v>858 Main St</v>
          </cell>
          <cell r="H404" t="str">
            <v>Gift Card</v>
          </cell>
          <cell r="I404" t="str">
            <v>Shipped</v>
          </cell>
          <cell r="J404" t="str">
            <v>TRK79746259</v>
          </cell>
          <cell r="K404">
            <v>5</v>
          </cell>
          <cell r="L404" t="str">
            <v>No Coupon</v>
          </cell>
          <cell r="M404" t="str">
            <v>Referral</v>
          </cell>
          <cell r="N404">
            <v>1686.9</v>
          </cell>
        </row>
        <row r="405">
          <cell r="A405" t="str">
            <v>ORD200403</v>
          </cell>
          <cell r="B405">
            <v>45606</v>
          </cell>
          <cell r="C405" t="str">
            <v>C28893</v>
          </cell>
          <cell r="D405" t="str">
            <v>Tablet</v>
          </cell>
          <cell r="E405">
            <v>1</v>
          </cell>
          <cell r="F405">
            <v>620.21</v>
          </cell>
          <cell r="G405" t="str">
            <v>740 Main St</v>
          </cell>
          <cell r="H405" t="str">
            <v>Online</v>
          </cell>
          <cell r="I405" t="str">
            <v>Returned</v>
          </cell>
          <cell r="J405" t="str">
            <v>TRK98333066</v>
          </cell>
          <cell r="K405">
            <v>1</v>
          </cell>
          <cell r="L405" t="str">
            <v>FREESHIP</v>
          </cell>
          <cell r="M405" t="str">
            <v>Referral</v>
          </cell>
          <cell r="N405">
            <v>620.21</v>
          </cell>
        </row>
        <row r="406">
          <cell r="A406" t="str">
            <v>ORD200404</v>
          </cell>
          <cell r="B406">
            <v>44994</v>
          </cell>
          <cell r="C406" t="str">
            <v>C45482</v>
          </cell>
          <cell r="D406" t="str">
            <v>Monitor</v>
          </cell>
          <cell r="E406">
            <v>2</v>
          </cell>
          <cell r="F406">
            <v>99.1</v>
          </cell>
          <cell r="G406" t="str">
            <v>440 Main St</v>
          </cell>
          <cell r="H406" t="str">
            <v>Cash</v>
          </cell>
          <cell r="I406" t="str">
            <v>Delivered</v>
          </cell>
          <cell r="J406" t="str">
            <v>TRK54571699</v>
          </cell>
          <cell r="K406">
            <v>6</v>
          </cell>
          <cell r="L406" t="str">
            <v>No Coupon</v>
          </cell>
          <cell r="M406" t="str">
            <v>Instagram</v>
          </cell>
          <cell r="N406">
            <v>198.2</v>
          </cell>
        </row>
        <row r="407">
          <cell r="A407" t="str">
            <v>ORD200405</v>
          </cell>
          <cell r="B407">
            <v>45683</v>
          </cell>
          <cell r="C407" t="str">
            <v>C97774</v>
          </cell>
          <cell r="D407" t="str">
            <v>Monitor</v>
          </cell>
          <cell r="E407">
            <v>4</v>
          </cell>
          <cell r="F407">
            <v>451.97</v>
          </cell>
          <cell r="G407" t="str">
            <v>603 Main St</v>
          </cell>
          <cell r="H407" t="str">
            <v>Online</v>
          </cell>
          <cell r="I407" t="str">
            <v>Cancelled</v>
          </cell>
          <cell r="J407" t="str">
            <v>TRK64664424</v>
          </cell>
          <cell r="K407">
            <v>7</v>
          </cell>
          <cell r="L407" t="str">
            <v>WINTER15</v>
          </cell>
          <cell r="M407" t="str">
            <v>Email</v>
          </cell>
          <cell r="N407">
            <v>1807.88</v>
          </cell>
        </row>
        <row r="408">
          <cell r="A408" t="str">
            <v>ORD200406</v>
          </cell>
          <cell r="B408">
            <v>45270</v>
          </cell>
          <cell r="C408" t="str">
            <v>C11657</v>
          </cell>
          <cell r="D408" t="str">
            <v>Tablet</v>
          </cell>
          <cell r="E408">
            <v>4</v>
          </cell>
          <cell r="F408">
            <v>66.099999999999994</v>
          </cell>
          <cell r="G408" t="str">
            <v>572 Main St</v>
          </cell>
          <cell r="H408" t="str">
            <v>Cash</v>
          </cell>
          <cell r="I408" t="str">
            <v>Returned</v>
          </cell>
          <cell r="J408" t="str">
            <v>TRK50284486</v>
          </cell>
          <cell r="K408">
            <v>9</v>
          </cell>
          <cell r="L408" t="str">
            <v>WINTER15</v>
          </cell>
          <cell r="M408" t="str">
            <v>Google</v>
          </cell>
          <cell r="N408">
            <v>264.39999999999998</v>
          </cell>
        </row>
        <row r="409">
          <cell r="A409" t="str">
            <v>ORD200407</v>
          </cell>
          <cell r="B409">
            <v>45151</v>
          </cell>
          <cell r="C409" t="str">
            <v>C85993</v>
          </cell>
          <cell r="D409" t="str">
            <v>Tablet</v>
          </cell>
          <cell r="E409">
            <v>4</v>
          </cell>
          <cell r="F409">
            <v>547.32000000000005</v>
          </cell>
          <cell r="G409" t="str">
            <v>250 Main St</v>
          </cell>
          <cell r="H409" t="str">
            <v>Cash</v>
          </cell>
          <cell r="I409" t="str">
            <v>Returned</v>
          </cell>
          <cell r="J409" t="str">
            <v>TRK72547640</v>
          </cell>
          <cell r="K409">
            <v>8</v>
          </cell>
          <cell r="L409" t="str">
            <v>FREESHIP</v>
          </cell>
          <cell r="M409" t="str">
            <v>Instagram</v>
          </cell>
          <cell r="N409">
            <v>2189.2800000000002</v>
          </cell>
        </row>
        <row r="410">
          <cell r="A410" t="str">
            <v>ORD200408</v>
          </cell>
          <cell r="B410">
            <v>45658</v>
          </cell>
          <cell r="C410" t="str">
            <v>C11906</v>
          </cell>
          <cell r="D410" t="str">
            <v>Printer</v>
          </cell>
          <cell r="E410">
            <v>3</v>
          </cell>
          <cell r="F410">
            <v>412.53</v>
          </cell>
          <cell r="G410" t="str">
            <v>536 Main St</v>
          </cell>
          <cell r="H410" t="str">
            <v>Online</v>
          </cell>
          <cell r="I410" t="str">
            <v>Pending</v>
          </cell>
          <cell r="J410" t="str">
            <v>TRK31140158</v>
          </cell>
          <cell r="K410">
            <v>6</v>
          </cell>
          <cell r="L410" t="str">
            <v>WINTER15</v>
          </cell>
          <cell r="M410" t="str">
            <v>Google</v>
          </cell>
          <cell r="N410">
            <v>1237.5899999999999</v>
          </cell>
        </row>
        <row r="411">
          <cell r="A411" t="str">
            <v>ORD200409</v>
          </cell>
          <cell r="B411">
            <v>45105</v>
          </cell>
          <cell r="C411" t="str">
            <v>C45187</v>
          </cell>
          <cell r="D411" t="str">
            <v>Desk</v>
          </cell>
          <cell r="E411">
            <v>5</v>
          </cell>
          <cell r="F411">
            <v>84.13</v>
          </cell>
          <cell r="G411" t="str">
            <v>767 Main St</v>
          </cell>
          <cell r="H411" t="str">
            <v>Online</v>
          </cell>
          <cell r="I411" t="str">
            <v>Delivered</v>
          </cell>
          <cell r="J411" t="str">
            <v>TRK12320793</v>
          </cell>
          <cell r="K411">
            <v>9</v>
          </cell>
          <cell r="L411" t="str">
            <v>SAVE10</v>
          </cell>
          <cell r="M411" t="str">
            <v>Google</v>
          </cell>
          <cell r="N411">
            <v>420.65</v>
          </cell>
        </row>
        <row r="412">
          <cell r="A412" t="str">
            <v>ORD200410</v>
          </cell>
          <cell r="B412">
            <v>45309</v>
          </cell>
          <cell r="C412" t="str">
            <v>C37375</v>
          </cell>
          <cell r="D412" t="str">
            <v>Tablet</v>
          </cell>
          <cell r="E412">
            <v>2</v>
          </cell>
          <cell r="F412">
            <v>518.23</v>
          </cell>
          <cell r="G412" t="str">
            <v>184 Main St</v>
          </cell>
          <cell r="H412" t="str">
            <v>Debit Card</v>
          </cell>
          <cell r="I412" t="str">
            <v>Shipped</v>
          </cell>
          <cell r="J412" t="str">
            <v>TRK52470162</v>
          </cell>
          <cell r="K412">
            <v>5</v>
          </cell>
          <cell r="L412" t="str">
            <v>No Coupon</v>
          </cell>
          <cell r="M412" t="str">
            <v>Email</v>
          </cell>
          <cell r="N412">
            <v>1036.46</v>
          </cell>
        </row>
        <row r="413">
          <cell r="A413" t="str">
            <v>ORD200411</v>
          </cell>
          <cell r="B413">
            <v>45462</v>
          </cell>
          <cell r="C413" t="str">
            <v>C66567</v>
          </cell>
          <cell r="D413" t="str">
            <v>Desk</v>
          </cell>
          <cell r="E413">
            <v>2</v>
          </cell>
          <cell r="F413">
            <v>39.51</v>
          </cell>
          <cell r="G413" t="str">
            <v>981 Main St</v>
          </cell>
          <cell r="H413" t="str">
            <v>Online</v>
          </cell>
          <cell r="I413" t="str">
            <v>Shipped</v>
          </cell>
          <cell r="J413" t="str">
            <v>TRK21174822</v>
          </cell>
          <cell r="K413">
            <v>5</v>
          </cell>
          <cell r="L413" t="str">
            <v>No Coupon</v>
          </cell>
          <cell r="M413" t="str">
            <v>Facebook</v>
          </cell>
          <cell r="N413">
            <v>79.02</v>
          </cell>
        </row>
        <row r="414">
          <cell r="A414" t="str">
            <v>ORD200412</v>
          </cell>
          <cell r="B414">
            <v>45758</v>
          </cell>
          <cell r="C414" t="str">
            <v>C42451</v>
          </cell>
          <cell r="D414" t="str">
            <v>Tablet</v>
          </cell>
          <cell r="E414">
            <v>5</v>
          </cell>
          <cell r="F414">
            <v>133.01</v>
          </cell>
          <cell r="G414" t="str">
            <v>246 Main St</v>
          </cell>
          <cell r="H414" t="str">
            <v>Credit Card</v>
          </cell>
          <cell r="I414" t="str">
            <v>Returned</v>
          </cell>
          <cell r="J414" t="str">
            <v>TRK31313343</v>
          </cell>
          <cell r="K414">
            <v>10</v>
          </cell>
          <cell r="L414" t="str">
            <v>No Coupon</v>
          </cell>
          <cell r="M414" t="str">
            <v>Facebook</v>
          </cell>
          <cell r="N414">
            <v>665.05</v>
          </cell>
        </row>
        <row r="415">
          <cell r="A415" t="str">
            <v>ORD200413</v>
          </cell>
          <cell r="B415">
            <v>45207</v>
          </cell>
          <cell r="C415" t="str">
            <v>C13923</v>
          </cell>
          <cell r="D415" t="str">
            <v>Tablet</v>
          </cell>
          <cell r="E415">
            <v>1</v>
          </cell>
          <cell r="F415">
            <v>118.8</v>
          </cell>
          <cell r="G415" t="str">
            <v>123 Main St</v>
          </cell>
          <cell r="H415" t="str">
            <v>Online</v>
          </cell>
          <cell r="I415" t="str">
            <v>Delivered</v>
          </cell>
          <cell r="J415" t="str">
            <v>TRK87598790</v>
          </cell>
          <cell r="K415">
            <v>6</v>
          </cell>
          <cell r="L415" t="str">
            <v>SAVE10</v>
          </cell>
          <cell r="M415" t="str">
            <v>Email</v>
          </cell>
          <cell r="N415">
            <v>118.8</v>
          </cell>
        </row>
        <row r="416">
          <cell r="A416" t="str">
            <v>ORD200414</v>
          </cell>
          <cell r="B416">
            <v>45781</v>
          </cell>
          <cell r="C416" t="str">
            <v>C11829</v>
          </cell>
          <cell r="D416" t="str">
            <v>Desk</v>
          </cell>
          <cell r="E416">
            <v>2</v>
          </cell>
          <cell r="F416">
            <v>139.57</v>
          </cell>
          <cell r="G416" t="str">
            <v>797 Main St</v>
          </cell>
          <cell r="H416" t="str">
            <v>Cash</v>
          </cell>
          <cell r="I416" t="str">
            <v>Delivered</v>
          </cell>
          <cell r="J416" t="str">
            <v>TRK84229257</v>
          </cell>
          <cell r="K416">
            <v>4</v>
          </cell>
          <cell r="L416" t="str">
            <v>WINTER15</v>
          </cell>
          <cell r="M416" t="str">
            <v>Facebook</v>
          </cell>
          <cell r="N416">
            <v>279.14</v>
          </cell>
        </row>
        <row r="417">
          <cell r="A417" t="str">
            <v>ORD200415</v>
          </cell>
          <cell r="B417">
            <v>45753</v>
          </cell>
          <cell r="C417" t="str">
            <v>C62169</v>
          </cell>
          <cell r="D417" t="str">
            <v>Chair</v>
          </cell>
          <cell r="E417">
            <v>1</v>
          </cell>
          <cell r="F417">
            <v>184.15</v>
          </cell>
          <cell r="G417" t="str">
            <v>655 Main St</v>
          </cell>
          <cell r="H417" t="str">
            <v>Gift Card</v>
          </cell>
          <cell r="I417" t="str">
            <v>Shipped</v>
          </cell>
          <cell r="J417" t="str">
            <v>TRK64558985</v>
          </cell>
          <cell r="K417">
            <v>5</v>
          </cell>
          <cell r="L417" t="str">
            <v>FREESHIP</v>
          </cell>
          <cell r="M417" t="str">
            <v>Facebook</v>
          </cell>
          <cell r="N417">
            <v>184.15</v>
          </cell>
        </row>
        <row r="418">
          <cell r="A418" t="str">
            <v>ORD200416</v>
          </cell>
          <cell r="B418">
            <v>45125</v>
          </cell>
          <cell r="C418" t="str">
            <v>C20881</v>
          </cell>
          <cell r="D418" t="str">
            <v>Laptop</v>
          </cell>
          <cell r="E418">
            <v>2</v>
          </cell>
          <cell r="F418">
            <v>644.04999999999995</v>
          </cell>
          <cell r="G418" t="str">
            <v>652 Main St</v>
          </cell>
          <cell r="H418" t="str">
            <v>Gift Card</v>
          </cell>
          <cell r="I418" t="str">
            <v>Cancelled</v>
          </cell>
          <cell r="J418" t="str">
            <v>TRK26263902</v>
          </cell>
          <cell r="K418">
            <v>5</v>
          </cell>
          <cell r="L418" t="str">
            <v>WINTER15</v>
          </cell>
          <cell r="M418" t="str">
            <v>Referral</v>
          </cell>
          <cell r="N418">
            <v>1288.0999999999999</v>
          </cell>
        </row>
        <row r="419">
          <cell r="A419" t="str">
            <v>ORD200417</v>
          </cell>
          <cell r="B419">
            <v>45223</v>
          </cell>
          <cell r="C419" t="str">
            <v>C44492</v>
          </cell>
          <cell r="D419" t="str">
            <v>Laptop</v>
          </cell>
          <cell r="E419">
            <v>5</v>
          </cell>
          <cell r="F419">
            <v>55.41</v>
          </cell>
          <cell r="G419" t="str">
            <v>954 Main St</v>
          </cell>
          <cell r="H419" t="str">
            <v>Online</v>
          </cell>
          <cell r="I419" t="str">
            <v>Cancelled</v>
          </cell>
          <cell r="J419" t="str">
            <v>TRK51429869</v>
          </cell>
          <cell r="K419">
            <v>5</v>
          </cell>
          <cell r="L419" t="str">
            <v>No Coupon</v>
          </cell>
          <cell r="M419" t="str">
            <v>Google</v>
          </cell>
          <cell r="N419">
            <v>277.04999999999995</v>
          </cell>
        </row>
        <row r="420">
          <cell r="A420" t="str">
            <v>ORD200418</v>
          </cell>
          <cell r="B420">
            <v>44937</v>
          </cell>
          <cell r="C420" t="str">
            <v>C74169</v>
          </cell>
          <cell r="D420" t="str">
            <v>Printer</v>
          </cell>
          <cell r="E420">
            <v>1</v>
          </cell>
          <cell r="F420">
            <v>310.93</v>
          </cell>
          <cell r="G420" t="str">
            <v>862 Main St</v>
          </cell>
          <cell r="H420" t="str">
            <v>Online</v>
          </cell>
          <cell r="I420" t="str">
            <v>Cancelled</v>
          </cell>
          <cell r="J420" t="str">
            <v>TRK66144809</v>
          </cell>
          <cell r="K420">
            <v>3</v>
          </cell>
          <cell r="L420" t="str">
            <v>No Coupon</v>
          </cell>
          <cell r="M420" t="str">
            <v>Facebook</v>
          </cell>
          <cell r="N420">
            <v>310.93</v>
          </cell>
        </row>
        <row r="421">
          <cell r="A421" t="str">
            <v>ORD200419</v>
          </cell>
          <cell r="B421">
            <v>45399</v>
          </cell>
          <cell r="C421" t="str">
            <v>C70999</v>
          </cell>
          <cell r="D421" t="str">
            <v>Tablet</v>
          </cell>
          <cell r="E421">
            <v>2</v>
          </cell>
          <cell r="F421">
            <v>216.66</v>
          </cell>
          <cell r="G421" t="str">
            <v>885 Main St</v>
          </cell>
          <cell r="H421" t="str">
            <v>Debit Card</v>
          </cell>
          <cell r="I421" t="str">
            <v>Pending</v>
          </cell>
          <cell r="J421" t="str">
            <v>TRK75644156</v>
          </cell>
          <cell r="K421">
            <v>6</v>
          </cell>
          <cell r="L421" t="str">
            <v>FREESHIP</v>
          </cell>
          <cell r="M421" t="str">
            <v>Instagram</v>
          </cell>
          <cell r="N421">
            <v>433.32</v>
          </cell>
        </row>
        <row r="422">
          <cell r="A422" t="str">
            <v>ORD200420</v>
          </cell>
          <cell r="B422">
            <v>45625</v>
          </cell>
          <cell r="C422" t="str">
            <v>C11921</v>
          </cell>
          <cell r="D422" t="str">
            <v>Phone</v>
          </cell>
          <cell r="E422">
            <v>1</v>
          </cell>
          <cell r="F422">
            <v>452.7</v>
          </cell>
          <cell r="G422" t="str">
            <v>439 Main St</v>
          </cell>
          <cell r="H422" t="str">
            <v>Debit Card</v>
          </cell>
          <cell r="I422" t="str">
            <v>Shipped</v>
          </cell>
          <cell r="J422" t="str">
            <v>TRK91362635</v>
          </cell>
          <cell r="K422">
            <v>5</v>
          </cell>
          <cell r="L422" t="str">
            <v>FREESHIP</v>
          </cell>
          <cell r="M422" t="str">
            <v>Instagram</v>
          </cell>
          <cell r="N422">
            <v>452.7</v>
          </cell>
        </row>
        <row r="423">
          <cell r="A423" t="str">
            <v>ORD200421</v>
          </cell>
          <cell r="B423">
            <v>45214</v>
          </cell>
          <cell r="C423" t="str">
            <v>C50683</v>
          </cell>
          <cell r="D423" t="str">
            <v>Chair</v>
          </cell>
          <cell r="E423">
            <v>2</v>
          </cell>
          <cell r="F423">
            <v>288.20999999999998</v>
          </cell>
          <cell r="G423" t="str">
            <v>769 Main St</v>
          </cell>
          <cell r="H423" t="str">
            <v>Debit Card</v>
          </cell>
          <cell r="I423" t="str">
            <v>Cancelled</v>
          </cell>
          <cell r="J423" t="str">
            <v>TRK53032122</v>
          </cell>
          <cell r="K423">
            <v>5</v>
          </cell>
          <cell r="L423" t="str">
            <v>No Coupon</v>
          </cell>
          <cell r="M423" t="str">
            <v>Email</v>
          </cell>
          <cell r="N423">
            <v>576.41999999999996</v>
          </cell>
        </row>
        <row r="424">
          <cell r="A424" t="str">
            <v>ORD200422</v>
          </cell>
          <cell r="B424">
            <v>45082</v>
          </cell>
          <cell r="C424" t="str">
            <v>C76140</v>
          </cell>
          <cell r="D424" t="str">
            <v>Phone</v>
          </cell>
          <cell r="E424">
            <v>4</v>
          </cell>
          <cell r="F424">
            <v>206.6</v>
          </cell>
          <cell r="G424" t="str">
            <v>914 Main St</v>
          </cell>
          <cell r="H424" t="str">
            <v>Gift Card</v>
          </cell>
          <cell r="I424" t="str">
            <v>Returned</v>
          </cell>
          <cell r="J424" t="str">
            <v>TRK25861469</v>
          </cell>
          <cell r="K424">
            <v>6</v>
          </cell>
          <cell r="L424" t="str">
            <v>WINTER15</v>
          </cell>
          <cell r="M424" t="str">
            <v>Referral</v>
          </cell>
          <cell r="N424">
            <v>826.4</v>
          </cell>
        </row>
        <row r="425">
          <cell r="A425" t="str">
            <v>ORD200423</v>
          </cell>
          <cell r="B425">
            <v>45493</v>
          </cell>
          <cell r="C425" t="str">
            <v>C94311</v>
          </cell>
          <cell r="D425" t="str">
            <v>Printer</v>
          </cell>
          <cell r="E425">
            <v>4</v>
          </cell>
          <cell r="F425">
            <v>685.2</v>
          </cell>
          <cell r="G425" t="str">
            <v>195 Main St</v>
          </cell>
          <cell r="H425" t="str">
            <v>Gift Card</v>
          </cell>
          <cell r="I425" t="str">
            <v>Cancelled</v>
          </cell>
          <cell r="J425" t="str">
            <v>TRK97308771</v>
          </cell>
          <cell r="K425">
            <v>6</v>
          </cell>
          <cell r="L425" t="str">
            <v>WINTER15</v>
          </cell>
          <cell r="M425" t="str">
            <v>Google</v>
          </cell>
          <cell r="N425">
            <v>2740.8</v>
          </cell>
        </row>
        <row r="426">
          <cell r="A426" t="str">
            <v>ORD200424</v>
          </cell>
          <cell r="B426">
            <v>45028</v>
          </cell>
          <cell r="C426" t="str">
            <v>C49491</v>
          </cell>
          <cell r="D426" t="str">
            <v>Chair</v>
          </cell>
          <cell r="E426">
            <v>5</v>
          </cell>
          <cell r="F426">
            <v>22.94</v>
          </cell>
          <cell r="G426" t="str">
            <v>339 Main St</v>
          </cell>
          <cell r="H426" t="str">
            <v>Cash</v>
          </cell>
          <cell r="I426" t="str">
            <v>Pending</v>
          </cell>
          <cell r="J426" t="str">
            <v>TRK64012257</v>
          </cell>
          <cell r="K426">
            <v>10</v>
          </cell>
          <cell r="L426" t="str">
            <v>No Coupon</v>
          </cell>
          <cell r="M426" t="str">
            <v>Email</v>
          </cell>
          <cell r="N426">
            <v>114.7</v>
          </cell>
        </row>
        <row r="427">
          <cell r="A427" t="str">
            <v>ORD200425</v>
          </cell>
          <cell r="B427">
            <v>44994</v>
          </cell>
          <cell r="C427" t="str">
            <v>C40648</v>
          </cell>
          <cell r="D427" t="str">
            <v>Laptop</v>
          </cell>
          <cell r="E427">
            <v>2</v>
          </cell>
          <cell r="F427">
            <v>301.88</v>
          </cell>
          <cell r="G427" t="str">
            <v>488 Main St</v>
          </cell>
          <cell r="H427" t="str">
            <v>Gift Card</v>
          </cell>
          <cell r="I427" t="str">
            <v>Returned</v>
          </cell>
          <cell r="J427" t="str">
            <v>TRK25325993</v>
          </cell>
          <cell r="K427">
            <v>5</v>
          </cell>
          <cell r="L427" t="str">
            <v>WINTER15</v>
          </cell>
          <cell r="M427" t="str">
            <v>Email</v>
          </cell>
          <cell r="N427">
            <v>603.76</v>
          </cell>
        </row>
        <row r="428">
          <cell r="A428" t="str">
            <v>ORD200426</v>
          </cell>
          <cell r="B428">
            <v>45732</v>
          </cell>
          <cell r="C428" t="str">
            <v>C40967</v>
          </cell>
          <cell r="D428" t="str">
            <v>Monitor</v>
          </cell>
          <cell r="E428">
            <v>5</v>
          </cell>
          <cell r="F428">
            <v>57.45</v>
          </cell>
          <cell r="G428" t="str">
            <v>315 Main St</v>
          </cell>
          <cell r="H428" t="str">
            <v>Cash</v>
          </cell>
          <cell r="I428" t="str">
            <v>Cancelled</v>
          </cell>
          <cell r="J428" t="str">
            <v>TRK24839296</v>
          </cell>
          <cell r="K428">
            <v>10</v>
          </cell>
          <cell r="L428" t="str">
            <v>No Coupon</v>
          </cell>
          <cell r="M428" t="str">
            <v>Facebook</v>
          </cell>
          <cell r="N428">
            <v>287.25</v>
          </cell>
        </row>
        <row r="429">
          <cell r="A429" t="str">
            <v>ORD200427</v>
          </cell>
          <cell r="B429">
            <v>45644</v>
          </cell>
          <cell r="C429" t="str">
            <v>C25406</v>
          </cell>
          <cell r="D429" t="str">
            <v>Desk</v>
          </cell>
          <cell r="E429">
            <v>1</v>
          </cell>
          <cell r="F429">
            <v>161.24</v>
          </cell>
          <cell r="G429" t="str">
            <v>379 Main St</v>
          </cell>
          <cell r="H429" t="str">
            <v>Credit Card</v>
          </cell>
          <cell r="I429" t="str">
            <v>Pending</v>
          </cell>
          <cell r="J429" t="str">
            <v>TRK70952564</v>
          </cell>
          <cell r="K429">
            <v>3</v>
          </cell>
          <cell r="L429" t="str">
            <v>WINTER15</v>
          </cell>
          <cell r="M429" t="str">
            <v>Instagram</v>
          </cell>
          <cell r="N429">
            <v>161.24</v>
          </cell>
        </row>
        <row r="430">
          <cell r="A430" t="str">
            <v>ORD200428</v>
          </cell>
          <cell r="B430">
            <v>45622</v>
          </cell>
          <cell r="C430" t="str">
            <v>C77085</v>
          </cell>
          <cell r="D430" t="str">
            <v>Chair</v>
          </cell>
          <cell r="E430">
            <v>4</v>
          </cell>
          <cell r="F430">
            <v>262.58</v>
          </cell>
          <cell r="G430" t="str">
            <v>895 Main St</v>
          </cell>
          <cell r="H430" t="str">
            <v>Online</v>
          </cell>
          <cell r="I430" t="str">
            <v>Cancelled</v>
          </cell>
          <cell r="J430" t="str">
            <v>TRK57227640</v>
          </cell>
          <cell r="K430">
            <v>8</v>
          </cell>
          <cell r="L430" t="str">
            <v>WINTER15</v>
          </cell>
          <cell r="M430" t="str">
            <v>Email</v>
          </cell>
          <cell r="N430">
            <v>1050.32</v>
          </cell>
        </row>
        <row r="431">
          <cell r="A431" t="str">
            <v>ORD200429</v>
          </cell>
          <cell r="B431">
            <v>45645</v>
          </cell>
          <cell r="C431" t="str">
            <v>C38126</v>
          </cell>
          <cell r="D431" t="str">
            <v>Printer</v>
          </cell>
          <cell r="E431">
            <v>4</v>
          </cell>
          <cell r="F431">
            <v>515.19000000000005</v>
          </cell>
          <cell r="G431" t="str">
            <v>522 Main St</v>
          </cell>
          <cell r="H431" t="str">
            <v>Credit Card</v>
          </cell>
          <cell r="I431" t="str">
            <v>Pending</v>
          </cell>
          <cell r="J431" t="str">
            <v>TRK90838498</v>
          </cell>
          <cell r="K431">
            <v>9</v>
          </cell>
          <cell r="L431" t="str">
            <v>SAVE10</v>
          </cell>
          <cell r="M431" t="str">
            <v>Facebook</v>
          </cell>
          <cell r="N431">
            <v>2060.7600000000002</v>
          </cell>
        </row>
        <row r="432">
          <cell r="A432" t="str">
            <v>ORD200430</v>
          </cell>
          <cell r="B432">
            <v>45084</v>
          </cell>
          <cell r="C432" t="str">
            <v>C87448</v>
          </cell>
          <cell r="D432" t="str">
            <v>Phone</v>
          </cell>
          <cell r="E432">
            <v>1</v>
          </cell>
          <cell r="F432">
            <v>450.07</v>
          </cell>
          <cell r="G432" t="str">
            <v>433 Main St</v>
          </cell>
          <cell r="H432" t="str">
            <v>Gift Card</v>
          </cell>
          <cell r="I432" t="str">
            <v>Shipped</v>
          </cell>
          <cell r="J432" t="str">
            <v>TRK44134016</v>
          </cell>
          <cell r="K432">
            <v>6</v>
          </cell>
          <cell r="L432" t="str">
            <v>FREESHIP</v>
          </cell>
          <cell r="M432" t="str">
            <v>Google</v>
          </cell>
          <cell r="N432">
            <v>450.07</v>
          </cell>
        </row>
        <row r="433">
          <cell r="A433" t="str">
            <v>ORD200431</v>
          </cell>
          <cell r="B433">
            <v>45571</v>
          </cell>
          <cell r="C433" t="str">
            <v>C62312</v>
          </cell>
          <cell r="D433" t="str">
            <v>Printer</v>
          </cell>
          <cell r="E433">
            <v>1</v>
          </cell>
          <cell r="F433">
            <v>52.54</v>
          </cell>
          <cell r="G433" t="str">
            <v>651 Main St</v>
          </cell>
          <cell r="H433" t="str">
            <v>Debit Card</v>
          </cell>
          <cell r="I433" t="str">
            <v>Cancelled</v>
          </cell>
          <cell r="J433" t="str">
            <v>TRK59623037</v>
          </cell>
          <cell r="K433">
            <v>6</v>
          </cell>
          <cell r="L433" t="str">
            <v>WINTER15</v>
          </cell>
          <cell r="M433" t="str">
            <v>Facebook</v>
          </cell>
          <cell r="N433">
            <v>52.54</v>
          </cell>
        </row>
        <row r="434">
          <cell r="A434" t="str">
            <v>ORD200432</v>
          </cell>
          <cell r="B434">
            <v>45173</v>
          </cell>
          <cell r="C434" t="str">
            <v>C58443</v>
          </cell>
          <cell r="D434" t="str">
            <v>Tablet</v>
          </cell>
          <cell r="E434">
            <v>2</v>
          </cell>
          <cell r="F434">
            <v>424.32</v>
          </cell>
          <cell r="G434" t="str">
            <v>662 Main St</v>
          </cell>
          <cell r="H434" t="str">
            <v>Credit Card</v>
          </cell>
          <cell r="I434" t="str">
            <v>Returned</v>
          </cell>
          <cell r="J434" t="str">
            <v>TRK77163738</v>
          </cell>
          <cell r="K434">
            <v>6</v>
          </cell>
          <cell r="L434" t="str">
            <v>No Coupon</v>
          </cell>
          <cell r="M434" t="str">
            <v>Referral</v>
          </cell>
          <cell r="N434">
            <v>848.64</v>
          </cell>
        </row>
        <row r="435">
          <cell r="A435" t="str">
            <v>ORD200433</v>
          </cell>
          <cell r="B435">
            <v>45164</v>
          </cell>
          <cell r="C435" t="str">
            <v>C36613</v>
          </cell>
          <cell r="D435" t="str">
            <v>Monitor</v>
          </cell>
          <cell r="E435">
            <v>3</v>
          </cell>
          <cell r="F435">
            <v>631.64</v>
          </cell>
          <cell r="G435" t="str">
            <v>785 Main St</v>
          </cell>
          <cell r="H435" t="str">
            <v>Credit Card</v>
          </cell>
          <cell r="I435" t="str">
            <v>Returned</v>
          </cell>
          <cell r="J435" t="str">
            <v>TRK13282106</v>
          </cell>
          <cell r="K435">
            <v>3</v>
          </cell>
          <cell r="L435" t="str">
            <v>FREESHIP</v>
          </cell>
          <cell r="M435" t="str">
            <v>Facebook</v>
          </cell>
          <cell r="N435">
            <v>1894.92</v>
          </cell>
        </row>
        <row r="436">
          <cell r="A436" t="str">
            <v>ORD200434</v>
          </cell>
          <cell r="B436">
            <v>45221</v>
          </cell>
          <cell r="C436" t="str">
            <v>C73893</v>
          </cell>
          <cell r="D436" t="str">
            <v>Printer</v>
          </cell>
          <cell r="E436">
            <v>5</v>
          </cell>
          <cell r="F436">
            <v>327.68</v>
          </cell>
          <cell r="G436" t="str">
            <v>384 Main St</v>
          </cell>
          <cell r="H436" t="str">
            <v>Credit Card</v>
          </cell>
          <cell r="I436" t="str">
            <v>Returned</v>
          </cell>
          <cell r="J436" t="str">
            <v>TRK85939879</v>
          </cell>
          <cell r="K436">
            <v>6</v>
          </cell>
          <cell r="L436" t="str">
            <v>No Coupon</v>
          </cell>
          <cell r="M436" t="str">
            <v>Facebook</v>
          </cell>
          <cell r="N436">
            <v>1638.4</v>
          </cell>
        </row>
        <row r="437">
          <cell r="A437" t="str">
            <v>ORD200435</v>
          </cell>
          <cell r="B437">
            <v>45073</v>
          </cell>
          <cell r="C437" t="str">
            <v>C48601</v>
          </cell>
          <cell r="D437" t="str">
            <v>Printer</v>
          </cell>
          <cell r="E437">
            <v>1</v>
          </cell>
          <cell r="F437">
            <v>414.47</v>
          </cell>
          <cell r="G437" t="str">
            <v>101 Main St</v>
          </cell>
          <cell r="H437" t="str">
            <v>Debit Card</v>
          </cell>
          <cell r="I437" t="str">
            <v>Returned</v>
          </cell>
          <cell r="J437" t="str">
            <v>TRK97868309</v>
          </cell>
          <cell r="K437">
            <v>3</v>
          </cell>
          <cell r="L437" t="str">
            <v>FREESHIP</v>
          </cell>
          <cell r="M437" t="str">
            <v>Instagram</v>
          </cell>
          <cell r="N437">
            <v>414.47</v>
          </cell>
        </row>
        <row r="438">
          <cell r="A438" t="str">
            <v>ORD200436</v>
          </cell>
          <cell r="B438">
            <v>44968</v>
          </cell>
          <cell r="C438" t="str">
            <v>C14568</v>
          </cell>
          <cell r="D438" t="str">
            <v>Laptop</v>
          </cell>
          <cell r="E438">
            <v>4</v>
          </cell>
          <cell r="F438">
            <v>221.33</v>
          </cell>
          <cell r="G438" t="str">
            <v>651 Main St</v>
          </cell>
          <cell r="H438" t="str">
            <v>Online</v>
          </cell>
          <cell r="I438" t="str">
            <v>Pending</v>
          </cell>
          <cell r="J438" t="str">
            <v>TRK73545796</v>
          </cell>
          <cell r="K438">
            <v>5</v>
          </cell>
          <cell r="L438" t="str">
            <v>No Coupon</v>
          </cell>
          <cell r="M438" t="str">
            <v>Google</v>
          </cell>
          <cell r="N438">
            <v>885.32</v>
          </cell>
        </row>
        <row r="439">
          <cell r="A439" t="str">
            <v>ORD200437</v>
          </cell>
          <cell r="B439">
            <v>45400</v>
          </cell>
          <cell r="C439" t="str">
            <v>C63378</v>
          </cell>
          <cell r="D439" t="str">
            <v>Phone</v>
          </cell>
          <cell r="E439">
            <v>1</v>
          </cell>
          <cell r="F439">
            <v>512.39</v>
          </cell>
          <cell r="G439" t="str">
            <v>955 Main St</v>
          </cell>
          <cell r="H439" t="str">
            <v>Online</v>
          </cell>
          <cell r="I439" t="str">
            <v>Delivered</v>
          </cell>
          <cell r="J439" t="str">
            <v>TRK20863705</v>
          </cell>
          <cell r="K439">
            <v>2</v>
          </cell>
          <cell r="L439" t="str">
            <v>FREESHIP</v>
          </cell>
          <cell r="M439" t="str">
            <v>Instagram</v>
          </cell>
          <cell r="N439">
            <v>512.39</v>
          </cell>
        </row>
        <row r="440">
          <cell r="A440" t="str">
            <v>ORD200438</v>
          </cell>
          <cell r="B440">
            <v>45660</v>
          </cell>
          <cell r="C440" t="str">
            <v>C77800</v>
          </cell>
          <cell r="D440" t="str">
            <v>Tablet</v>
          </cell>
          <cell r="E440">
            <v>3</v>
          </cell>
          <cell r="F440">
            <v>459.34</v>
          </cell>
          <cell r="G440" t="str">
            <v>436 Main St</v>
          </cell>
          <cell r="H440" t="str">
            <v>Gift Card</v>
          </cell>
          <cell r="I440" t="str">
            <v>Pending</v>
          </cell>
          <cell r="J440" t="str">
            <v>TRK27439574</v>
          </cell>
          <cell r="K440">
            <v>3</v>
          </cell>
          <cell r="L440" t="str">
            <v>SAVE10</v>
          </cell>
          <cell r="M440" t="str">
            <v>Instagram</v>
          </cell>
          <cell r="N440">
            <v>1378.02</v>
          </cell>
        </row>
        <row r="441">
          <cell r="A441" t="str">
            <v>ORD200439</v>
          </cell>
          <cell r="B441">
            <v>45543</v>
          </cell>
          <cell r="C441" t="str">
            <v>C91155</v>
          </cell>
          <cell r="D441" t="str">
            <v>Tablet</v>
          </cell>
          <cell r="E441">
            <v>1</v>
          </cell>
          <cell r="F441">
            <v>146.32</v>
          </cell>
          <cell r="G441" t="str">
            <v>321 Main St</v>
          </cell>
          <cell r="H441" t="str">
            <v>Online</v>
          </cell>
          <cell r="I441" t="str">
            <v>Shipped</v>
          </cell>
          <cell r="J441" t="str">
            <v>TRK36260319</v>
          </cell>
          <cell r="K441">
            <v>4</v>
          </cell>
          <cell r="L441" t="str">
            <v>WINTER15</v>
          </cell>
          <cell r="M441" t="str">
            <v>Facebook</v>
          </cell>
          <cell r="N441">
            <v>146.32</v>
          </cell>
        </row>
        <row r="442">
          <cell r="A442" t="str">
            <v>ORD200440</v>
          </cell>
          <cell r="B442">
            <v>45601</v>
          </cell>
          <cell r="C442" t="str">
            <v>C60215</v>
          </cell>
          <cell r="D442" t="str">
            <v>Desk</v>
          </cell>
          <cell r="E442">
            <v>4</v>
          </cell>
          <cell r="F442">
            <v>83.6</v>
          </cell>
          <cell r="G442" t="str">
            <v>978 Main St</v>
          </cell>
          <cell r="H442" t="str">
            <v>Debit Card</v>
          </cell>
          <cell r="I442" t="str">
            <v>Pending</v>
          </cell>
          <cell r="J442" t="str">
            <v>TRK31727767</v>
          </cell>
          <cell r="K442">
            <v>4</v>
          </cell>
          <cell r="L442" t="str">
            <v>SAVE10</v>
          </cell>
          <cell r="M442" t="str">
            <v>Facebook</v>
          </cell>
          <cell r="N442">
            <v>334.4</v>
          </cell>
        </row>
        <row r="443">
          <cell r="A443" t="str">
            <v>ORD200441</v>
          </cell>
          <cell r="B443">
            <v>45273</v>
          </cell>
          <cell r="C443" t="str">
            <v>C52915</v>
          </cell>
          <cell r="D443" t="str">
            <v>Printer</v>
          </cell>
          <cell r="E443">
            <v>2</v>
          </cell>
          <cell r="F443">
            <v>328.54</v>
          </cell>
          <cell r="G443" t="str">
            <v>475 Main St</v>
          </cell>
          <cell r="H443" t="str">
            <v>Gift Card</v>
          </cell>
          <cell r="I443" t="str">
            <v>Returned</v>
          </cell>
          <cell r="J443" t="str">
            <v>TRK79466982</v>
          </cell>
          <cell r="K443">
            <v>6</v>
          </cell>
          <cell r="L443" t="str">
            <v>FREESHIP</v>
          </cell>
          <cell r="M443" t="str">
            <v>Email</v>
          </cell>
          <cell r="N443">
            <v>657.08</v>
          </cell>
        </row>
        <row r="444">
          <cell r="A444" t="str">
            <v>ORD200442</v>
          </cell>
          <cell r="B444">
            <v>45418</v>
          </cell>
          <cell r="C444" t="str">
            <v>C72588</v>
          </cell>
          <cell r="D444" t="str">
            <v>Chair</v>
          </cell>
          <cell r="E444">
            <v>5</v>
          </cell>
          <cell r="F444">
            <v>314.94</v>
          </cell>
          <cell r="G444" t="str">
            <v>661 Main St</v>
          </cell>
          <cell r="H444" t="str">
            <v>Cash</v>
          </cell>
          <cell r="I444" t="str">
            <v>Pending</v>
          </cell>
          <cell r="J444" t="str">
            <v>TRK43410829</v>
          </cell>
          <cell r="K444">
            <v>8</v>
          </cell>
          <cell r="L444" t="str">
            <v>SAVE10</v>
          </cell>
          <cell r="M444" t="str">
            <v>Instagram</v>
          </cell>
          <cell r="N444">
            <v>1574.7</v>
          </cell>
        </row>
        <row r="445">
          <cell r="A445" t="str">
            <v>ORD200443</v>
          </cell>
          <cell r="B445">
            <v>45426</v>
          </cell>
          <cell r="C445" t="str">
            <v>C61668</v>
          </cell>
          <cell r="D445" t="str">
            <v>Chair</v>
          </cell>
          <cell r="E445">
            <v>2</v>
          </cell>
          <cell r="F445">
            <v>69.64</v>
          </cell>
          <cell r="G445" t="str">
            <v>813 Main St</v>
          </cell>
          <cell r="H445" t="str">
            <v>Cash</v>
          </cell>
          <cell r="I445" t="str">
            <v>Returned</v>
          </cell>
          <cell r="J445" t="str">
            <v>TRK58970302</v>
          </cell>
          <cell r="K445">
            <v>6</v>
          </cell>
          <cell r="L445" t="str">
            <v>No Coupon</v>
          </cell>
          <cell r="M445" t="str">
            <v>Facebook</v>
          </cell>
          <cell r="N445">
            <v>139.28</v>
          </cell>
        </row>
        <row r="446">
          <cell r="A446" t="str">
            <v>ORD200444</v>
          </cell>
          <cell r="B446">
            <v>45451</v>
          </cell>
          <cell r="C446" t="str">
            <v>C79508</v>
          </cell>
          <cell r="D446" t="str">
            <v>Printer</v>
          </cell>
          <cell r="E446">
            <v>1</v>
          </cell>
          <cell r="F446">
            <v>135.16999999999999</v>
          </cell>
          <cell r="G446" t="str">
            <v>585 Main St</v>
          </cell>
          <cell r="H446" t="str">
            <v>Online</v>
          </cell>
          <cell r="I446" t="str">
            <v>Shipped</v>
          </cell>
          <cell r="J446" t="str">
            <v>TRK61882353</v>
          </cell>
          <cell r="K446">
            <v>6</v>
          </cell>
          <cell r="L446" t="str">
            <v>FREESHIP</v>
          </cell>
          <cell r="M446" t="str">
            <v>Instagram</v>
          </cell>
          <cell r="N446">
            <v>135.16999999999999</v>
          </cell>
        </row>
        <row r="447">
          <cell r="A447" t="str">
            <v>ORD200445</v>
          </cell>
          <cell r="B447">
            <v>45374</v>
          </cell>
          <cell r="C447" t="str">
            <v>C94569</v>
          </cell>
          <cell r="D447" t="str">
            <v>Phone</v>
          </cell>
          <cell r="E447">
            <v>1</v>
          </cell>
          <cell r="F447">
            <v>487.21</v>
          </cell>
          <cell r="G447" t="str">
            <v>227 Main St</v>
          </cell>
          <cell r="H447" t="str">
            <v>Cash</v>
          </cell>
          <cell r="I447" t="str">
            <v>Delivered</v>
          </cell>
          <cell r="J447" t="str">
            <v>TRK31351770</v>
          </cell>
          <cell r="K447">
            <v>3</v>
          </cell>
          <cell r="L447" t="str">
            <v>SAVE10</v>
          </cell>
          <cell r="M447" t="str">
            <v>Referral</v>
          </cell>
          <cell r="N447">
            <v>487.21</v>
          </cell>
        </row>
        <row r="448">
          <cell r="A448" t="str">
            <v>ORD200446</v>
          </cell>
          <cell r="B448">
            <v>45217</v>
          </cell>
          <cell r="C448" t="str">
            <v>C89592</v>
          </cell>
          <cell r="D448" t="str">
            <v>Laptop</v>
          </cell>
          <cell r="E448">
            <v>5</v>
          </cell>
          <cell r="F448">
            <v>509.58</v>
          </cell>
          <cell r="G448" t="str">
            <v>262 Main St</v>
          </cell>
          <cell r="H448" t="str">
            <v>Online</v>
          </cell>
          <cell r="I448" t="str">
            <v>Delivered</v>
          </cell>
          <cell r="J448" t="str">
            <v>TRK49442402</v>
          </cell>
          <cell r="K448">
            <v>6</v>
          </cell>
          <cell r="L448" t="str">
            <v>FREESHIP</v>
          </cell>
          <cell r="M448" t="str">
            <v>Instagram</v>
          </cell>
          <cell r="N448">
            <v>2547.9</v>
          </cell>
        </row>
        <row r="449">
          <cell r="A449" t="str">
            <v>ORD200447</v>
          </cell>
          <cell r="B449">
            <v>45389</v>
          </cell>
          <cell r="C449" t="str">
            <v>C48207</v>
          </cell>
          <cell r="D449" t="str">
            <v>Printer</v>
          </cell>
          <cell r="E449">
            <v>2</v>
          </cell>
          <cell r="F449">
            <v>416.81</v>
          </cell>
          <cell r="G449" t="str">
            <v>356 Main St</v>
          </cell>
          <cell r="H449" t="str">
            <v>Cash</v>
          </cell>
          <cell r="I449" t="str">
            <v>Returned</v>
          </cell>
          <cell r="J449" t="str">
            <v>TRK45355655</v>
          </cell>
          <cell r="K449">
            <v>2</v>
          </cell>
          <cell r="L449" t="str">
            <v>No Coupon</v>
          </cell>
          <cell r="M449" t="str">
            <v>Facebook</v>
          </cell>
          <cell r="N449">
            <v>833.62</v>
          </cell>
        </row>
        <row r="450">
          <cell r="A450" t="str">
            <v>ORD200448</v>
          </cell>
          <cell r="B450">
            <v>45173</v>
          </cell>
          <cell r="C450" t="str">
            <v>C16776</v>
          </cell>
          <cell r="D450" t="str">
            <v>Laptop</v>
          </cell>
          <cell r="E450">
            <v>2</v>
          </cell>
          <cell r="F450">
            <v>160</v>
          </cell>
          <cell r="G450" t="str">
            <v>854 Main St</v>
          </cell>
          <cell r="H450" t="str">
            <v>Cash</v>
          </cell>
          <cell r="I450" t="str">
            <v>Pending</v>
          </cell>
          <cell r="J450" t="str">
            <v>TRK12860600</v>
          </cell>
          <cell r="K450">
            <v>4</v>
          </cell>
          <cell r="L450" t="str">
            <v>SAVE10</v>
          </cell>
          <cell r="M450" t="str">
            <v>Instagram</v>
          </cell>
          <cell r="N450">
            <v>320</v>
          </cell>
        </row>
        <row r="451">
          <cell r="A451" t="str">
            <v>ORD200449</v>
          </cell>
          <cell r="B451">
            <v>45530</v>
          </cell>
          <cell r="C451" t="str">
            <v>C91518</v>
          </cell>
          <cell r="D451" t="str">
            <v>Tablet</v>
          </cell>
          <cell r="E451">
            <v>3</v>
          </cell>
          <cell r="F451">
            <v>253.05</v>
          </cell>
          <cell r="G451" t="str">
            <v>286 Main St</v>
          </cell>
          <cell r="H451" t="str">
            <v>Online</v>
          </cell>
          <cell r="I451" t="str">
            <v>Pending</v>
          </cell>
          <cell r="J451" t="str">
            <v>TRK48688724</v>
          </cell>
          <cell r="K451">
            <v>3</v>
          </cell>
          <cell r="L451" t="str">
            <v>No Coupon</v>
          </cell>
          <cell r="M451" t="str">
            <v>Instagram</v>
          </cell>
          <cell r="N451">
            <v>759.15000000000009</v>
          </cell>
        </row>
        <row r="452">
          <cell r="A452" t="str">
            <v>ORD200450</v>
          </cell>
          <cell r="B452">
            <v>45306</v>
          </cell>
          <cell r="C452" t="str">
            <v>C36408</v>
          </cell>
          <cell r="D452" t="str">
            <v>Monitor</v>
          </cell>
          <cell r="E452">
            <v>5</v>
          </cell>
          <cell r="F452">
            <v>615.1</v>
          </cell>
          <cell r="G452" t="str">
            <v>160 Main St</v>
          </cell>
          <cell r="H452" t="str">
            <v>Gift Card</v>
          </cell>
          <cell r="I452" t="str">
            <v>Returned</v>
          </cell>
          <cell r="J452" t="str">
            <v>TRK94023253</v>
          </cell>
          <cell r="K452">
            <v>10</v>
          </cell>
          <cell r="L452" t="str">
            <v>WINTER15</v>
          </cell>
          <cell r="M452" t="str">
            <v>Instagram</v>
          </cell>
          <cell r="N452">
            <v>3075.5</v>
          </cell>
        </row>
        <row r="453">
          <cell r="A453" t="str">
            <v>ORD200451</v>
          </cell>
          <cell r="B453">
            <v>45017</v>
          </cell>
          <cell r="C453" t="str">
            <v>C14837</v>
          </cell>
          <cell r="D453" t="str">
            <v>Monitor</v>
          </cell>
          <cell r="E453">
            <v>1</v>
          </cell>
          <cell r="F453">
            <v>183.18</v>
          </cell>
          <cell r="G453" t="str">
            <v>647 Main St</v>
          </cell>
          <cell r="H453" t="str">
            <v>Debit Card</v>
          </cell>
          <cell r="I453" t="str">
            <v>Cancelled</v>
          </cell>
          <cell r="J453" t="str">
            <v>TRK17501136</v>
          </cell>
          <cell r="K453">
            <v>6</v>
          </cell>
          <cell r="L453" t="str">
            <v>SAVE10</v>
          </cell>
          <cell r="M453" t="str">
            <v>Email</v>
          </cell>
          <cell r="N453">
            <v>183.18</v>
          </cell>
        </row>
        <row r="454">
          <cell r="A454" t="str">
            <v>ORD200452</v>
          </cell>
          <cell r="B454">
            <v>45130</v>
          </cell>
          <cell r="C454" t="str">
            <v>C36467</v>
          </cell>
          <cell r="D454" t="str">
            <v>Printer</v>
          </cell>
          <cell r="E454">
            <v>1</v>
          </cell>
          <cell r="F454">
            <v>75.78</v>
          </cell>
          <cell r="G454" t="str">
            <v>581 Main St</v>
          </cell>
          <cell r="H454" t="str">
            <v>Cash</v>
          </cell>
          <cell r="I454" t="str">
            <v>Pending</v>
          </cell>
          <cell r="J454" t="str">
            <v>TRK20863987</v>
          </cell>
          <cell r="K454">
            <v>5</v>
          </cell>
          <cell r="L454" t="str">
            <v>SAVE10</v>
          </cell>
          <cell r="M454" t="str">
            <v>Google</v>
          </cell>
          <cell r="N454">
            <v>75.78</v>
          </cell>
        </row>
        <row r="455">
          <cell r="A455" t="str">
            <v>ORD200453</v>
          </cell>
          <cell r="B455">
            <v>45779</v>
          </cell>
          <cell r="C455" t="str">
            <v>C15017</v>
          </cell>
          <cell r="D455" t="str">
            <v>Tablet</v>
          </cell>
          <cell r="E455">
            <v>1</v>
          </cell>
          <cell r="F455">
            <v>675.57</v>
          </cell>
          <cell r="G455" t="str">
            <v>492 Main St</v>
          </cell>
          <cell r="H455" t="str">
            <v>Cash</v>
          </cell>
          <cell r="I455" t="str">
            <v>Shipped</v>
          </cell>
          <cell r="J455" t="str">
            <v>TRK51241924</v>
          </cell>
          <cell r="K455">
            <v>1</v>
          </cell>
          <cell r="L455" t="str">
            <v>WINTER15</v>
          </cell>
          <cell r="M455" t="str">
            <v>Facebook</v>
          </cell>
          <cell r="N455">
            <v>675.57</v>
          </cell>
        </row>
        <row r="456">
          <cell r="A456" t="str">
            <v>ORD200454</v>
          </cell>
          <cell r="B456">
            <v>45623</v>
          </cell>
          <cell r="C456" t="str">
            <v>C54759</v>
          </cell>
          <cell r="D456" t="str">
            <v>Laptop</v>
          </cell>
          <cell r="E456">
            <v>1</v>
          </cell>
          <cell r="F456">
            <v>109.29</v>
          </cell>
          <cell r="G456" t="str">
            <v>686 Main St</v>
          </cell>
          <cell r="H456" t="str">
            <v>Debit Card</v>
          </cell>
          <cell r="I456" t="str">
            <v>Cancelled</v>
          </cell>
          <cell r="J456" t="str">
            <v>TRK75583042</v>
          </cell>
          <cell r="K456">
            <v>5</v>
          </cell>
          <cell r="L456" t="str">
            <v>FREESHIP</v>
          </cell>
          <cell r="M456" t="str">
            <v>Google</v>
          </cell>
          <cell r="N456">
            <v>109.29</v>
          </cell>
        </row>
        <row r="457">
          <cell r="A457" t="str">
            <v>ORD200455</v>
          </cell>
          <cell r="B457">
            <v>45377</v>
          </cell>
          <cell r="C457" t="str">
            <v>C58341</v>
          </cell>
          <cell r="D457" t="str">
            <v>Phone</v>
          </cell>
          <cell r="E457">
            <v>1</v>
          </cell>
          <cell r="F457">
            <v>639.83000000000004</v>
          </cell>
          <cell r="G457" t="str">
            <v>874 Main St</v>
          </cell>
          <cell r="H457" t="str">
            <v>Debit Card</v>
          </cell>
          <cell r="I457" t="str">
            <v>Pending</v>
          </cell>
          <cell r="J457" t="str">
            <v>TRK32856728</v>
          </cell>
          <cell r="K457">
            <v>2</v>
          </cell>
          <cell r="L457" t="str">
            <v>SAVE10</v>
          </cell>
          <cell r="M457" t="str">
            <v>Referral</v>
          </cell>
          <cell r="N457">
            <v>639.83000000000004</v>
          </cell>
        </row>
        <row r="458">
          <cell r="A458" t="str">
            <v>ORD200456</v>
          </cell>
          <cell r="B458">
            <v>45103</v>
          </cell>
          <cell r="C458" t="str">
            <v>C94479</v>
          </cell>
          <cell r="D458" t="str">
            <v>Desk</v>
          </cell>
          <cell r="E458">
            <v>5</v>
          </cell>
          <cell r="F458">
            <v>62.81</v>
          </cell>
          <cell r="G458" t="str">
            <v>259 Main St</v>
          </cell>
          <cell r="H458" t="str">
            <v>Credit Card</v>
          </cell>
          <cell r="I458" t="str">
            <v>Shipped</v>
          </cell>
          <cell r="J458" t="str">
            <v>TRK69089975</v>
          </cell>
          <cell r="K458">
            <v>9</v>
          </cell>
          <cell r="L458" t="str">
            <v>SAVE10</v>
          </cell>
          <cell r="M458" t="str">
            <v>Facebook</v>
          </cell>
          <cell r="N458">
            <v>314.05</v>
          </cell>
        </row>
        <row r="459">
          <cell r="A459" t="str">
            <v>ORD200457</v>
          </cell>
          <cell r="B459">
            <v>45802</v>
          </cell>
          <cell r="C459" t="str">
            <v>C50236</v>
          </cell>
          <cell r="D459" t="str">
            <v>Desk</v>
          </cell>
          <cell r="E459">
            <v>4</v>
          </cell>
          <cell r="F459">
            <v>615.83000000000004</v>
          </cell>
          <cell r="G459" t="str">
            <v>545 Main St</v>
          </cell>
          <cell r="H459" t="str">
            <v>Online</v>
          </cell>
          <cell r="I459" t="str">
            <v>Returned</v>
          </cell>
          <cell r="J459" t="str">
            <v>TRK67692578</v>
          </cell>
          <cell r="K459">
            <v>4</v>
          </cell>
          <cell r="L459" t="str">
            <v>WINTER15</v>
          </cell>
          <cell r="M459" t="str">
            <v>Instagram</v>
          </cell>
          <cell r="N459">
            <v>2463.3200000000002</v>
          </cell>
        </row>
        <row r="460">
          <cell r="A460" t="str">
            <v>ORD200458</v>
          </cell>
          <cell r="B460">
            <v>45475</v>
          </cell>
          <cell r="C460" t="str">
            <v>C31412</v>
          </cell>
          <cell r="D460" t="str">
            <v>Monitor</v>
          </cell>
          <cell r="E460">
            <v>4</v>
          </cell>
          <cell r="F460">
            <v>510.58</v>
          </cell>
          <cell r="G460" t="str">
            <v>196 Main St</v>
          </cell>
          <cell r="H460" t="str">
            <v>Credit Card</v>
          </cell>
          <cell r="I460" t="str">
            <v>Returned</v>
          </cell>
          <cell r="J460" t="str">
            <v>TRK61946127</v>
          </cell>
          <cell r="K460">
            <v>7</v>
          </cell>
          <cell r="L460" t="str">
            <v>WINTER15</v>
          </cell>
          <cell r="M460" t="str">
            <v>Email</v>
          </cell>
          <cell r="N460">
            <v>2042.32</v>
          </cell>
        </row>
        <row r="461">
          <cell r="A461" t="str">
            <v>ORD200459</v>
          </cell>
          <cell r="B461">
            <v>45497</v>
          </cell>
          <cell r="C461" t="str">
            <v>C90142</v>
          </cell>
          <cell r="D461" t="str">
            <v>Desk</v>
          </cell>
          <cell r="E461">
            <v>1</v>
          </cell>
          <cell r="F461">
            <v>334.39</v>
          </cell>
          <cell r="G461" t="str">
            <v>433 Main St</v>
          </cell>
          <cell r="H461" t="str">
            <v>Credit Card</v>
          </cell>
          <cell r="I461" t="str">
            <v>Returned</v>
          </cell>
          <cell r="J461" t="str">
            <v>TRK39717191</v>
          </cell>
          <cell r="K461">
            <v>2</v>
          </cell>
          <cell r="L461" t="str">
            <v>No Coupon</v>
          </cell>
          <cell r="M461" t="str">
            <v>Instagram</v>
          </cell>
          <cell r="N461">
            <v>334.39</v>
          </cell>
        </row>
        <row r="462">
          <cell r="A462" t="str">
            <v>ORD200460</v>
          </cell>
          <cell r="B462">
            <v>45571</v>
          </cell>
          <cell r="C462" t="str">
            <v>C83548</v>
          </cell>
          <cell r="D462" t="str">
            <v>Laptop</v>
          </cell>
          <cell r="E462">
            <v>1</v>
          </cell>
          <cell r="F462">
            <v>144.25</v>
          </cell>
          <cell r="G462" t="str">
            <v>474 Main St</v>
          </cell>
          <cell r="H462" t="str">
            <v>Cash</v>
          </cell>
          <cell r="I462" t="str">
            <v>Returned</v>
          </cell>
          <cell r="J462" t="str">
            <v>TRK93822942</v>
          </cell>
          <cell r="K462">
            <v>2</v>
          </cell>
          <cell r="L462" t="str">
            <v>WINTER15</v>
          </cell>
          <cell r="M462" t="str">
            <v>Referral</v>
          </cell>
          <cell r="N462">
            <v>144.25</v>
          </cell>
        </row>
        <row r="463">
          <cell r="A463" t="str">
            <v>ORD200461</v>
          </cell>
          <cell r="B463">
            <v>45451</v>
          </cell>
          <cell r="C463" t="str">
            <v>C29697</v>
          </cell>
          <cell r="D463" t="str">
            <v>Tablet</v>
          </cell>
          <cell r="E463">
            <v>1</v>
          </cell>
          <cell r="F463">
            <v>401.82</v>
          </cell>
          <cell r="G463" t="str">
            <v>407 Main St</v>
          </cell>
          <cell r="H463" t="str">
            <v>Credit Card</v>
          </cell>
          <cell r="I463" t="str">
            <v>Shipped</v>
          </cell>
          <cell r="J463" t="str">
            <v>TRK47776482</v>
          </cell>
          <cell r="K463">
            <v>5</v>
          </cell>
          <cell r="L463" t="str">
            <v>FREESHIP</v>
          </cell>
          <cell r="M463" t="str">
            <v>Google</v>
          </cell>
          <cell r="N463">
            <v>401.82</v>
          </cell>
        </row>
        <row r="464">
          <cell r="A464" t="str">
            <v>ORD200462</v>
          </cell>
          <cell r="B464">
            <v>45747</v>
          </cell>
          <cell r="C464" t="str">
            <v>C22991</v>
          </cell>
          <cell r="D464" t="str">
            <v>Phone</v>
          </cell>
          <cell r="E464">
            <v>1</v>
          </cell>
          <cell r="F464">
            <v>252.68</v>
          </cell>
          <cell r="G464" t="str">
            <v>731 Main St</v>
          </cell>
          <cell r="H464" t="str">
            <v>Online</v>
          </cell>
          <cell r="I464" t="str">
            <v>Cancelled</v>
          </cell>
          <cell r="J464" t="str">
            <v>TRK32796086</v>
          </cell>
          <cell r="K464">
            <v>1</v>
          </cell>
          <cell r="L464" t="str">
            <v>No Coupon</v>
          </cell>
          <cell r="M464" t="str">
            <v>Referral</v>
          </cell>
          <cell r="N464">
            <v>252.68</v>
          </cell>
        </row>
        <row r="465">
          <cell r="A465" t="str">
            <v>ORD200463</v>
          </cell>
          <cell r="B465">
            <v>45072</v>
          </cell>
          <cell r="C465" t="str">
            <v>C25276</v>
          </cell>
          <cell r="D465" t="str">
            <v>Laptop</v>
          </cell>
          <cell r="E465">
            <v>5</v>
          </cell>
          <cell r="F465">
            <v>662.78</v>
          </cell>
          <cell r="G465" t="str">
            <v>214 Main St</v>
          </cell>
          <cell r="H465" t="str">
            <v>Debit Card</v>
          </cell>
          <cell r="I465" t="str">
            <v>Shipped</v>
          </cell>
          <cell r="J465" t="str">
            <v>TRK14011732</v>
          </cell>
          <cell r="K465">
            <v>9</v>
          </cell>
          <cell r="L465" t="str">
            <v>SAVE10</v>
          </cell>
          <cell r="M465" t="str">
            <v>Instagram</v>
          </cell>
          <cell r="N465">
            <v>3313.8999999999996</v>
          </cell>
        </row>
        <row r="466">
          <cell r="A466" t="str">
            <v>ORD200464</v>
          </cell>
          <cell r="B466">
            <v>44999</v>
          </cell>
          <cell r="C466" t="str">
            <v>C39176</v>
          </cell>
          <cell r="D466" t="str">
            <v>Tablet</v>
          </cell>
          <cell r="E466">
            <v>4</v>
          </cell>
          <cell r="F466">
            <v>434.42</v>
          </cell>
          <cell r="G466" t="str">
            <v>739 Main St</v>
          </cell>
          <cell r="H466" t="str">
            <v>Online</v>
          </cell>
          <cell r="I466" t="str">
            <v>Cancelled</v>
          </cell>
          <cell r="J466" t="str">
            <v>TRK71418686</v>
          </cell>
          <cell r="K466">
            <v>6</v>
          </cell>
          <cell r="L466" t="str">
            <v>FREESHIP</v>
          </cell>
          <cell r="M466" t="str">
            <v>Google</v>
          </cell>
          <cell r="N466">
            <v>1737.68</v>
          </cell>
        </row>
        <row r="467">
          <cell r="A467" t="str">
            <v>ORD200465</v>
          </cell>
          <cell r="B467">
            <v>45348</v>
          </cell>
          <cell r="C467" t="str">
            <v>C58773</v>
          </cell>
          <cell r="D467" t="str">
            <v>Printer</v>
          </cell>
          <cell r="E467">
            <v>5</v>
          </cell>
          <cell r="F467">
            <v>513.49</v>
          </cell>
          <cell r="G467" t="str">
            <v>391 Main St</v>
          </cell>
          <cell r="H467" t="str">
            <v>Gift Card</v>
          </cell>
          <cell r="I467" t="str">
            <v>Cancelled</v>
          </cell>
          <cell r="J467" t="str">
            <v>TRK65438300</v>
          </cell>
          <cell r="K467">
            <v>8</v>
          </cell>
          <cell r="L467" t="str">
            <v>No Coupon</v>
          </cell>
          <cell r="M467" t="str">
            <v>Google</v>
          </cell>
          <cell r="N467">
            <v>2567.4499999999998</v>
          </cell>
        </row>
        <row r="468">
          <cell r="A468" t="str">
            <v>ORD200466</v>
          </cell>
          <cell r="B468">
            <v>45125</v>
          </cell>
          <cell r="C468" t="str">
            <v>C37412</v>
          </cell>
          <cell r="D468" t="str">
            <v>Phone</v>
          </cell>
          <cell r="E468">
            <v>1</v>
          </cell>
          <cell r="F468">
            <v>432.47</v>
          </cell>
          <cell r="G468" t="str">
            <v>895 Main St</v>
          </cell>
          <cell r="H468" t="str">
            <v>Cash</v>
          </cell>
          <cell r="I468" t="str">
            <v>Delivered</v>
          </cell>
          <cell r="J468" t="str">
            <v>TRK97829604</v>
          </cell>
          <cell r="K468">
            <v>4</v>
          </cell>
          <cell r="L468" t="str">
            <v>FREESHIP</v>
          </cell>
          <cell r="M468" t="str">
            <v>Referral</v>
          </cell>
          <cell r="N468">
            <v>432.47</v>
          </cell>
        </row>
        <row r="469">
          <cell r="A469" t="str">
            <v>ORD200467</v>
          </cell>
          <cell r="B469">
            <v>45534</v>
          </cell>
          <cell r="C469" t="str">
            <v>C36492</v>
          </cell>
          <cell r="D469" t="str">
            <v>Desk</v>
          </cell>
          <cell r="E469">
            <v>1</v>
          </cell>
          <cell r="F469">
            <v>45.94</v>
          </cell>
          <cell r="G469" t="str">
            <v>572 Main St</v>
          </cell>
          <cell r="H469" t="str">
            <v>Cash</v>
          </cell>
          <cell r="I469" t="str">
            <v>Cancelled</v>
          </cell>
          <cell r="J469" t="str">
            <v>TRK44350440</v>
          </cell>
          <cell r="K469">
            <v>2</v>
          </cell>
          <cell r="L469" t="str">
            <v>WINTER15</v>
          </cell>
          <cell r="M469" t="str">
            <v>Email</v>
          </cell>
          <cell r="N469">
            <v>45.94</v>
          </cell>
        </row>
        <row r="470">
          <cell r="A470" t="str">
            <v>ORD200468</v>
          </cell>
          <cell r="B470">
            <v>45829</v>
          </cell>
          <cell r="C470" t="str">
            <v>C90110</v>
          </cell>
          <cell r="D470" t="str">
            <v>Phone</v>
          </cell>
          <cell r="E470">
            <v>1</v>
          </cell>
          <cell r="F470">
            <v>418.36</v>
          </cell>
          <cell r="G470" t="str">
            <v>998 Main St</v>
          </cell>
          <cell r="H470" t="str">
            <v>Credit Card</v>
          </cell>
          <cell r="I470" t="str">
            <v>Delivered</v>
          </cell>
          <cell r="J470" t="str">
            <v>TRK60203957</v>
          </cell>
          <cell r="K470">
            <v>5</v>
          </cell>
          <cell r="L470" t="str">
            <v>FREESHIP</v>
          </cell>
          <cell r="M470" t="str">
            <v>Email</v>
          </cell>
          <cell r="N470">
            <v>418.36</v>
          </cell>
        </row>
        <row r="471">
          <cell r="A471" t="str">
            <v>ORD200469</v>
          </cell>
          <cell r="B471">
            <v>45256</v>
          </cell>
          <cell r="C471" t="str">
            <v>C13877</v>
          </cell>
          <cell r="D471" t="str">
            <v>Chair</v>
          </cell>
          <cell r="E471">
            <v>5</v>
          </cell>
          <cell r="F471">
            <v>676.98</v>
          </cell>
          <cell r="G471" t="str">
            <v>893 Main St</v>
          </cell>
          <cell r="H471" t="str">
            <v>Cash</v>
          </cell>
          <cell r="I471" t="str">
            <v>Cancelled</v>
          </cell>
          <cell r="J471" t="str">
            <v>TRK17254691</v>
          </cell>
          <cell r="K471">
            <v>5</v>
          </cell>
          <cell r="L471" t="str">
            <v>No Coupon</v>
          </cell>
          <cell r="M471" t="str">
            <v>Facebook</v>
          </cell>
          <cell r="N471">
            <v>3384.9</v>
          </cell>
        </row>
        <row r="472">
          <cell r="A472" t="str">
            <v>ORD200470</v>
          </cell>
          <cell r="B472">
            <v>45198</v>
          </cell>
          <cell r="C472" t="str">
            <v>C25149</v>
          </cell>
          <cell r="D472" t="str">
            <v>Tablet</v>
          </cell>
          <cell r="E472">
            <v>4</v>
          </cell>
          <cell r="F472">
            <v>263.62</v>
          </cell>
          <cell r="G472" t="str">
            <v>672 Main St</v>
          </cell>
          <cell r="H472" t="str">
            <v>Cash</v>
          </cell>
          <cell r="I472" t="str">
            <v>Shipped</v>
          </cell>
          <cell r="J472" t="str">
            <v>TRK33538608</v>
          </cell>
          <cell r="K472">
            <v>5</v>
          </cell>
          <cell r="L472" t="str">
            <v>SAVE10</v>
          </cell>
          <cell r="M472" t="str">
            <v>Email</v>
          </cell>
          <cell r="N472">
            <v>1054.48</v>
          </cell>
        </row>
        <row r="473">
          <cell r="A473" t="str">
            <v>ORD200471</v>
          </cell>
          <cell r="B473">
            <v>45766</v>
          </cell>
          <cell r="C473" t="str">
            <v>C52717</v>
          </cell>
          <cell r="D473" t="str">
            <v>Desk</v>
          </cell>
          <cell r="E473">
            <v>5</v>
          </cell>
          <cell r="F473">
            <v>551.27</v>
          </cell>
          <cell r="G473" t="str">
            <v>395 Main St</v>
          </cell>
          <cell r="H473" t="str">
            <v>Online</v>
          </cell>
          <cell r="I473" t="str">
            <v>Cancelled</v>
          </cell>
          <cell r="J473" t="str">
            <v>TRK27625571</v>
          </cell>
          <cell r="K473">
            <v>7</v>
          </cell>
          <cell r="L473" t="str">
            <v>FREESHIP</v>
          </cell>
          <cell r="M473" t="str">
            <v>Referral</v>
          </cell>
          <cell r="N473">
            <v>2756.35</v>
          </cell>
        </row>
        <row r="474">
          <cell r="A474" t="str">
            <v>ORD200472</v>
          </cell>
          <cell r="B474">
            <v>44932</v>
          </cell>
          <cell r="C474" t="str">
            <v>C60029</v>
          </cell>
          <cell r="D474" t="str">
            <v>Chair</v>
          </cell>
          <cell r="E474">
            <v>3</v>
          </cell>
          <cell r="F474">
            <v>508.12</v>
          </cell>
          <cell r="G474" t="str">
            <v>796 Main St</v>
          </cell>
          <cell r="H474" t="str">
            <v>Credit Card</v>
          </cell>
          <cell r="I474" t="str">
            <v>Cancelled</v>
          </cell>
          <cell r="J474" t="str">
            <v>TRK86461316</v>
          </cell>
          <cell r="K474">
            <v>8</v>
          </cell>
          <cell r="L474" t="str">
            <v>FREESHIP</v>
          </cell>
          <cell r="M474" t="str">
            <v>Referral</v>
          </cell>
          <cell r="N474">
            <v>1524.3600000000001</v>
          </cell>
        </row>
        <row r="475">
          <cell r="A475" t="str">
            <v>ORD200473</v>
          </cell>
          <cell r="B475">
            <v>45713</v>
          </cell>
          <cell r="C475" t="str">
            <v>C28552</v>
          </cell>
          <cell r="D475" t="str">
            <v>Chair</v>
          </cell>
          <cell r="E475">
            <v>2</v>
          </cell>
          <cell r="F475">
            <v>14.93</v>
          </cell>
          <cell r="G475" t="str">
            <v>449 Main St</v>
          </cell>
          <cell r="H475" t="str">
            <v>Online</v>
          </cell>
          <cell r="I475" t="str">
            <v>Shipped</v>
          </cell>
          <cell r="J475" t="str">
            <v>TRK71597160</v>
          </cell>
          <cell r="K475">
            <v>4</v>
          </cell>
          <cell r="L475" t="str">
            <v>No Coupon</v>
          </cell>
          <cell r="M475" t="str">
            <v>Facebook</v>
          </cell>
          <cell r="N475">
            <v>29.86</v>
          </cell>
        </row>
        <row r="476">
          <cell r="A476" t="str">
            <v>ORD200474</v>
          </cell>
          <cell r="B476">
            <v>45245</v>
          </cell>
          <cell r="C476" t="str">
            <v>C72293</v>
          </cell>
          <cell r="D476" t="str">
            <v>Printer</v>
          </cell>
          <cell r="E476">
            <v>3</v>
          </cell>
          <cell r="F476">
            <v>229.34</v>
          </cell>
          <cell r="G476" t="str">
            <v>398 Main St</v>
          </cell>
          <cell r="H476" t="str">
            <v>Credit Card</v>
          </cell>
          <cell r="I476" t="str">
            <v>Shipped</v>
          </cell>
          <cell r="J476" t="str">
            <v>TRK84378003</v>
          </cell>
          <cell r="K476">
            <v>6</v>
          </cell>
          <cell r="L476" t="str">
            <v>SAVE10</v>
          </cell>
          <cell r="M476" t="str">
            <v>Referral</v>
          </cell>
          <cell r="N476">
            <v>688.02</v>
          </cell>
        </row>
        <row r="477">
          <cell r="A477" t="str">
            <v>ORD200475</v>
          </cell>
          <cell r="B477">
            <v>45766</v>
          </cell>
          <cell r="C477" t="str">
            <v>C29844</v>
          </cell>
          <cell r="D477" t="str">
            <v>Tablet</v>
          </cell>
          <cell r="E477">
            <v>2</v>
          </cell>
          <cell r="F477">
            <v>438.62</v>
          </cell>
          <cell r="G477" t="str">
            <v>363 Main St</v>
          </cell>
          <cell r="H477" t="str">
            <v>Cash</v>
          </cell>
          <cell r="I477" t="str">
            <v>Cancelled</v>
          </cell>
          <cell r="J477" t="str">
            <v>TRK91642337</v>
          </cell>
          <cell r="K477">
            <v>3</v>
          </cell>
          <cell r="L477" t="str">
            <v>SAVE10</v>
          </cell>
          <cell r="M477" t="str">
            <v>Facebook</v>
          </cell>
          <cell r="N477">
            <v>877.24</v>
          </cell>
        </row>
        <row r="478">
          <cell r="A478" t="str">
            <v>ORD200476</v>
          </cell>
          <cell r="B478">
            <v>45306</v>
          </cell>
          <cell r="C478" t="str">
            <v>C77872</v>
          </cell>
          <cell r="D478" t="str">
            <v>Phone</v>
          </cell>
          <cell r="E478">
            <v>2</v>
          </cell>
          <cell r="F478">
            <v>513.59</v>
          </cell>
          <cell r="G478" t="str">
            <v>867 Main St</v>
          </cell>
          <cell r="H478" t="str">
            <v>Online</v>
          </cell>
          <cell r="I478" t="str">
            <v>Returned</v>
          </cell>
          <cell r="J478" t="str">
            <v>TRK19292184</v>
          </cell>
          <cell r="K478">
            <v>4</v>
          </cell>
          <cell r="L478" t="str">
            <v>FREESHIP</v>
          </cell>
          <cell r="M478" t="str">
            <v>Referral</v>
          </cell>
          <cell r="N478">
            <v>1027.18</v>
          </cell>
        </row>
        <row r="479">
          <cell r="A479" t="str">
            <v>ORD200477</v>
          </cell>
          <cell r="B479">
            <v>45721</v>
          </cell>
          <cell r="C479" t="str">
            <v>C56564</v>
          </cell>
          <cell r="D479" t="str">
            <v>Phone</v>
          </cell>
          <cell r="E479">
            <v>2</v>
          </cell>
          <cell r="F479">
            <v>253.74</v>
          </cell>
          <cell r="G479" t="str">
            <v>481 Main St</v>
          </cell>
          <cell r="H479" t="str">
            <v>Online</v>
          </cell>
          <cell r="I479" t="str">
            <v>Shipped</v>
          </cell>
          <cell r="J479" t="str">
            <v>TRK13166044</v>
          </cell>
          <cell r="K479">
            <v>5</v>
          </cell>
          <cell r="L479" t="str">
            <v>SAVE10</v>
          </cell>
          <cell r="M479" t="str">
            <v>Google</v>
          </cell>
          <cell r="N479">
            <v>507.48</v>
          </cell>
        </row>
        <row r="480">
          <cell r="A480" t="str">
            <v>ORD200478</v>
          </cell>
          <cell r="B480">
            <v>45597</v>
          </cell>
          <cell r="C480" t="str">
            <v>C16758</v>
          </cell>
          <cell r="D480" t="str">
            <v>Tablet</v>
          </cell>
          <cell r="E480">
            <v>3</v>
          </cell>
          <cell r="F480">
            <v>62.77</v>
          </cell>
          <cell r="G480" t="str">
            <v>914 Main St</v>
          </cell>
          <cell r="H480" t="str">
            <v>Gift Card</v>
          </cell>
          <cell r="I480" t="str">
            <v>Shipped</v>
          </cell>
          <cell r="J480" t="str">
            <v>TRK88544431</v>
          </cell>
          <cell r="K480">
            <v>6</v>
          </cell>
          <cell r="L480" t="str">
            <v>FREESHIP</v>
          </cell>
          <cell r="M480" t="str">
            <v>Referral</v>
          </cell>
          <cell r="N480">
            <v>188.31</v>
          </cell>
        </row>
        <row r="481">
          <cell r="A481" t="str">
            <v>ORD200479</v>
          </cell>
          <cell r="B481">
            <v>44975</v>
          </cell>
          <cell r="C481" t="str">
            <v>C87011</v>
          </cell>
          <cell r="D481" t="str">
            <v>Monitor</v>
          </cell>
          <cell r="E481">
            <v>4</v>
          </cell>
          <cell r="F481">
            <v>25.29</v>
          </cell>
          <cell r="G481" t="str">
            <v>943 Main St</v>
          </cell>
          <cell r="H481" t="str">
            <v>Credit Card</v>
          </cell>
          <cell r="I481" t="str">
            <v>Pending</v>
          </cell>
          <cell r="J481" t="str">
            <v>TRK21429162</v>
          </cell>
          <cell r="K481">
            <v>8</v>
          </cell>
          <cell r="L481" t="str">
            <v>No Coupon</v>
          </cell>
          <cell r="M481" t="str">
            <v>Google</v>
          </cell>
          <cell r="N481">
            <v>101.16</v>
          </cell>
        </row>
        <row r="482">
          <cell r="A482" t="str">
            <v>ORD200480</v>
          </cell>
          <cell r="B482">
            <v>45093</v>
          </cell>
          <cell r="C482" t="str">
            <v>C21147</v>
          </cell>
          <cell r="D482" t="str">
            <v>Chair</v>
          </cell>
          <cell r="E482">
            <v>1</v>
          </cell>
          <cell r="F482">
            <v>335.1</v>
          </cell>
          <cell r="G482" t="str">
            <v>126 Main St</v>
          </cell>
          <cell r="H482" t="str">
            <v>Debit Card</v>
          </cell>
          <cell r="I482" t="str">
            <v>Pending</v>
          </cell>
          <cell r="J482" t="str">
            <v>TRK93171043</v>
          </cell>
          <cell r="K482">
            <v>6</v>
          </cell>
          <cell r="L482" t="str">
            <v>FREESHIP</v>
          </cell>
          <cell r="M482" t="str">
            <v>Referral</v>
          </cell>
          <cell r="N482">
            <v>335.1</v>
          </cell>
        </row>
        <row r="483">
          <cell r="A483" t="str">
            <v>ORD200481</v>
          </cell>
          <cell r="B483">
            <v>45039</v>
          </cell>
          <cell r="C483" t="str">
            <v>C94568</v>
          </cell>
          <cell r="D483" t="str">
            <v>Laptop</v>
          </cell>
          <cell r="E483">
            <v>4</v>
          </cell>
          <cell r="F483">
            <v>484.85</v>
          </cell>
          <cell r="G483" t="str">
            <v>317 Main St</v>
          </cell>
          <cell r="H483" t="str">
            <v>Debit Card</v>
          </cell>
          <cell r="I483" t="str">
            <v>Delivered</v>
          </cell>
          <cell r="J483" t="str">
            <v>TRK58653915</v>
          </cell>
          <cell r="K483">
            <v>5</v>
          </cell>
          <cell r="L483" t="str">
            <v>WINTER15</v>
          </cell>
          <cell r="M483" t="str">
            <v>Referral</v>
          </cell>
          <cell r="N483">
            <v>1939.4</v>
          </cell>
        </row>
        <row r="484">
          <cell r="A484" t="str">
            <v>ORD200482</v>
          </cell>
          <cell r="B484">
            <v>45718</v>
          </cell>
          <cell r="C484" t="str">
            <v>C35852</v>
          </cell>
          <cell r="D484" t="str">
            <v>Monitor</v>
          </cell>
          <cell r="E484">
            <v>3</v>
          </cell>
          <cell r="F484">
            <v>381.41</v>
          </cell>
          <cell r="G484" t="str">
            <v>989 Main St</v>
          </cell>
          <cell r="H484" t="str">
            <v>Online</v>
          </cell>
          <cell r="I484" t="str">
            <v>Pending</v>
          </cell>
          <cell r="J484" t="str">
            <v>TRK22302049</v>
          </cell>
          <cell r="K484">
            <v>6</v>
          </cell>
          <cell r="L484" t="str">
            <v>No Coupon</v>
          </cell>
          <cell r="M484" t="str">
            <v>Instagram</v>
          </cell>
          <cell r="N484">
            <v>1144.23</v>
          </cell>
        </row>
        <row r="485">
          <cell r="A485" t="str">
            <v>ORD200483</v>
          </cell>
          <cell r="B485">
            <v>44944</v>
          </cell>
          <cell r="C485" t="str">
            <v>C66462</v>
          </cell>
          <cell r="D485" t="str">
            <v>Phone</v>
          </cell>
          <cell r="E485">
            <v>5</v>
          </cell>
          <cell r="F485">
            <v>347.92</v>
          </cell>
          <cell r="G485" t="str">
            <v>982 Main St</v>
          </cell>
          <cell r="H485" t="str">
            <v>Cash</v>
          </cell>
          <cell r="I485" t="str">
            <v>Pending</v>
          </cell>
          <cell r="J485" t="str">
            <v>TRK52743700</v>
          </cell>
          <cell r="K485">
            <v>6</v>
          </cell>
          <cell r="L485" t="str">
            <v>WINTER15</v>
          </cell>
          <cell r="M485" t="str">
            <v>Google</v>
          </cell>
          <cell r="N485">
            <v>1739.6000000000001</v>
          </cell>
        </row>
        <row r="486">
          <cell r="A486" t="str">
            <v>ORD200484</v>
          </cell>
          <cell r="B486">
            <v>45441</v>
          </cell>
          <cell r="C486" t="str">
            <v>C29092</v>
          </cell>
          <cell r="D486" t="str">
            <v>Chair</v>
          </cell>
          <cell r="E486">
            <v>4</v>
          </cell>
          <cell r="F486">
            <v>15.01</v>
          </cell>
          <cell r="G486" t="str">
            <v>767 Main St</v>
          </cell>
          <cell r="H486" t="str">
            <v>Cash</v>
          </cell>
          <cell r="I486" t="str">
            <v>Cancelled</v>
          </cell>
          <cell r="J486" t="str">
            <v>TRK90455340</v>
          </cell>
          <cell r="K486">
            <v>6</v>
          </cell>
          <cell r="L486" t="str">
            <v>No Coupon</v>
          </cell>
          <cell r="M486" t="str">
            <v>Facebook</v>
          </cell>
          <cell r="N486">
            <v>60.04</v>
          </cell>
        </row>
        <row r="487">
          <cell r="A487" t="str">
            <v>ORD200485</v>
          </cell>
          <cell r="B487">
            <v>45139</v>
          </cell>
          <cell r="C487" t="str">
            <v>C46651</v>
          </cell>
          <cell r="D487" t="str">
            <v>Chair</v>
          </cell>
          <cell r="E487">
            <v>3</v>
          </cell>
          <cell r="F487">
            <v>404.79</v>
          </cell>
          <cell r="G487" t="str">
            <v>764 Main St</v>
          </cell>
          <cell r="H487" t="str">
            <v>Cash</v>
          </cell>
          <cell r="I487" t="str">
            <v>Shipped</v>
          </cell>
          <cell r="J487" t="str">
            <v>TRK67679195</v>
          </cell>
          <cell r="K487">
            <v>6</v>
          </cell>
          <cell r="L487" t="str">
            <v>SAVE10</v>
          </cell>
          <cell r="M487" t="str">
            <v>Instagram</v>
          </cell>
          <cell r="N487">
            <v>1214.3700000000001</v>
          </cell>
        </row>
        <row r="488">
          <cell r="A488" t="str">
            <v>ORD200486</v>
          </cell>
          <cell r="B488">
            <v>44960</v>
          </cell>
          <cell r="C488" t="str">
            <v>C88981</v>
          </cell>
          <cell r="D488" t="str">
            <v>Printer</v>
          </cell>
          <cell r="E488">
            <v>4</v>
          </cell>
          <cell r="F488">
            <v>611.26</v>
          </cell>
          <cell r="G488" t="str">
            <v>558 Main St</v>
          </cell>
          <cell r="H488" t="str">
            <v>Cash</v>
          </cell>
          <cell r="I488" t="str">
            <v>Shipped</v>
          </cell>
          <cell r="J488" t="str">
            <v>TRK75267873</v>
          </cell>
          <cell r="K488">
            <v>5</v>
          </cell>
          <cell r="L488" t="str">
            <v>SAVE10</v>
          </cell>
          <cell r="M488" t="str">
            <v>Referral</v>
          </cell>
          <cell r="N488">
            <v>2445.04</v>
          </cell>
        </row>
        <row r="489">
          <cell r="A489" t="str">
            <v>ORD200487</v>
          </cell>
          <cell r="B489">
            <v>44994</v>
          </cell>
          <cell r="C489" t="str">
            <v>C40136</v>
          </cell>
          <cell r="D489" t="str">
            <v>Printer</v>
          </cell>
          <cell r="E489">
            <v>3</v>
          </cell>
          <cell r="F489">
            <v>346.52</v>
          </cell>
          <cell r="G489" t="str">
            <v>211 Main St</v>
          </cell>
          <cell r="H489" t="str">
            <v>Credit Card</v>
          </cell>
          <cell r="I489" t="str">
            <v>Pending</v>
          </cell>
          <cell r="J489" t="str">
            <v>TRK92924852</v>
          </cell>
          <cell r="K489">
            <v>3</v>
          </cell>
          <cell r="L489" t="str">
            <v>SAVE10</v>
          </cell>
          <cell r="M489" t="str">
            <v>Google</v>
          </cell>
          <cell r="N489">
            <v>1039.56</v>
          </cell>
        </row>
        <row r="490">
          <cell r="A490" t="str">
            <v>ORD200488</v>
          </cell>
          <cell r="B490">
            <v>45631</v>
          </cell>
          <cell r="C490" t="str">
            <v>C81573</v>
          </cell>
          <cell r="D490" t="str">
            <v>Chair</v>
          </cell>
          <cell r="E490">
            <v>1</v>
          </cell>
          <cell r="F490">
            <v>36.65</v>
          </cell>
          <cell r="G490" t="str">
            <v>556 Main St</v>
          </cell>
          <cell r="H490" t="str">
            <v>Online</v>
          </cell>
          <cell r="I490" t="str">
            <v>Cancelled</v>
          </cell>
          <cell r="J490" t="str">
            <v>TRK96522994</v>
          </cell>
          <cell r="K490">
            <v>1</v>
          </cell>
          <cell r="L490" t="str">
            <v>WINTER15</v>
          </cell>
          <cell r="M490" t="str">
            <v>Email</v>
          </cell>
          <cell r="N490">
            <v>36.65</v>
          </cell>
        </row>
        <row r="491">
          <cell r="A491" t="str">
            <v>ORD200489</v>
          </cell>
          <cell r="B491">
            <v>45174</v>
          </cell>
          <cell r="C491" t="str">
            <v>C11940</v>
          </cell>
          <cell r="D491" t="str">
            <v>Tablet</v>
          </cell>
          <cell r="E491">
            <v>3</v>
          </cell>
          <cell r="F491">
            <v>149.34</v>
          </cell>
          <cell r="G491" t="str">
            <v>589 Main St</v>
          </cell>
          <cell r="H491" t="str">
            <v>Gift Card</v>
          </cell>
          <cell r="I491" t="str">
            <v>Cancelled</v>
          </cell>
          <cell r="J491" t="str">
            <v>TRK85466461</v>
          </cell>
          <cell r="K491">
            <v>7</v>
          </cell>
          <cell r="L491" t="str">
            <v>WINTER15</v>
          </cell>
          <cell r="M491" t="str">
            <v>Email</v>
          </cell>
          <cell r="N491">
            <v>448.02</v>
          </cell>
        </row>
        <row r="492">
          <cell r="A492" t="str">
            <v>ORD200490</v>
          </cell>
          <cell r="B492">
            <v>45495</v>
          </cell>
          <cell r="C492" t="str">
            <v>C50097</v>
          </cell>
          <cell r="D492" t="str">
            <v>Chair</v>
          </cell>
          <cell r="E492">
            <v>5</v>
          </cell>
          <cell r="F492">
            <v>467.81</v>
          </cell>
          <cell r="G492" t="str">
            <v>539 Main St</v>
          </cell>
          <cell r="H492" t="str">
            <v>Online</v>
          </cell>
          <cell r="I492" t="str">
            <v>Cancelled</v>
          </cell>
          <cell r="J492" t="str">
            <v>TRK62785150</v>
          </cell>
          <cell r="K492">
            <v>10</v>
          </cell>
          <cell r="L492" t="str">
            <v>No Coupon</v>
          </cell>
          <cell r="M492" t="str">
            <v>Facebook</v>
          </cell>
          <cell r="N492">
            <v>2339.0500000000002</v>
          </cell>
        </row>
        <row r="493">
          <cell r="A493" t="str">
            <v>ORD200491</v>
          </cell>
          <cell r="B493">
            <v>44931</v>
          </cell>
          <cell r="C493" t="str">
            <v>C98168</v>
          </cell>
          <cell r="D493" t="str">
            <v>Phone</v>
          </cell>
          <cell r="E493">
            <v>5</v>
          </cell>
          <cell r="F493">
            <v>420.7</v>
          </cell>
          <cell r="G493" t="str">
            <v>481 Main St</v>
          </cell>
          <cell r="H493" t="str">
            <v>Cash</v>
          </cell>
          <cell r="I493" t="str">
            <v>Pending</v>
          </cell>
          <cell r="J493" t="str">
            <v>TRK56423359</v>
          </cell>
          <cell r="K493">
            <v>5</v>
          </cell>
          <cell r="L493" t="str">
            <v>WINTER15</v>
          </cell>
          <cell r="M493" t="str">
            <v>Facebook</v>
          </cell>
          <cell r="N493">
            <v>2103.5</v>
          </cell>
        </row>
        <row r="494">
          <cell r="A494" t="str">
            <v>ORD200492</v>
          </cell>
          <cell r="B494">
            <v>45224</v>
          </cell>
          <cell r="C494" t="str">
            <v>C39074</v>
          </cell>
          <cell r="D494" t="str">
            <v>Laptop</v>
          </cell>
          <cell r="E494">
            <v>5</v>
          </cell>
          <cell r="F494">
            <v>606.52</v>
          </cell>
          <cell r="G494" t="str">
            <v>103 Main St</v>
          </cell>
          <cell r="H494" t="str">
            <v>Debit Card</v>
          </cell>
          <cell r="I494" t="str">
            <v>Shipped</v>
          </cell>
          <cell r="J494" t="str">
            <v>TRK13027036</v>
          </cell>
          <cell r="K494">
            <v>6</v>
          </cell>
          <cell r="L494" t="str">
            <v>SAVE10</v>
          </cell>
          <cell r="M494" t="str">
            <v>Instagram</v>
          </cell>
          <cell r="N494">
            <v>3032.6</v>
          </cell>
        </row>
        <row r="495">
          <cell r="A495" t="str">
            <v>ORD200493</v>
          </cell>
          <cell r="B495">
            <v>45685</v>
          </cell>
          <cell r="C495" t="str">
            <v>C84908</v>
          </cell>
          <cell r="D495" t="str">
            <v>Phone</v>
          </cell>
          <cell r="E495">
            <v>1</v>
          </cell>
          <cell r="F495">
            <v>420.26</v>
          </cell>
          <cell r="G495" t="str">
            <v>372 Main St</v>
          </cell>
          <cell r="H495" t="str">
            <v>Credit Card</v>
          </cell>
          <cell r="I495" t="str">
            <v>Pending</v>
          </cell>
          <cell r="J495" t="str">
            <v>TRK64135970</v>
          </cell>
          <cell r="K495">
            <v>4</v>
          </cell>
          <cell r="L495" t="str">
            <v>FREESHIP</v>
          </cell>
          <cell r="M495" t="str">
            <v>Facebook</v>
          </cell>
          <cell r="N495">
            <v>420.26</v>
          </cell>
        </row>
        <row r="496">
          <cell r="A496" t="str">
            <v>ORD200494</v>
          </cell>
          <cell r="B496">
            <v>45126</v>
          </cell>
          <cell r="C496" t="str">
            <v>C64516</v>
          </cell>
          <cell r="D496" t="str">
            <v>Laptop</v>
          </cell>
          <cell r="E496">
            <v>3</v>
          </cell>
          <cell r="F496">
            <v>505.79</v>
          </cell>
          <cell r="G496" t="str">
            <v>459 Main St</v>
          </cell>
          <cell r="H496" t="str">
            <v>Debit Card</v>
          </cell>
          <cell r="I496" t="str">
            <v>Pending</v>
          </cell>
          <cell r="J496" t="str">
            <v>TRK63920573</v>
          </cell>
          <cell r="K496">
            <v>3</v>
          </cell>
          <cell r="L496" t="str">
            <v>FREESHIP</v>
          </cell>
          <cell r="M496" t="str">
            <v>Referral</v>
          </cell>
          <cell r="N496">
            <v>1517.3700000000001</v>
          </cell>
        </row>
        <row r="497">
          <cell r="A497" t="str">
            <v>ORD200495</v>
          </cell>
          <cell r="B497">
            <v>45813</v>
          </cell>
          <cell r="C497" t="str">
            <v>C63827</v>
          </cell>
          <cell r="D497" t="str">
            <v>Phone</v>
          </cell>
          <cell r="E497">
            <v>4</v>
          </cell>
          <cell r="F497">
            <v>493.73</v>
          </cell>
          <cell r="G497" t="str">
            <v>947 Main St</v>
          </cell>
          <cell r="H497" t="str">
            <v>Debit Card</v>
          </cell>
          <cell r="I497" t="str">
            <v>Pending</v>
          </cell>
          <cell r="J497" t="str">
            <v>TRK35730581</v>
          </cell>
          <cell r="K497">
            <v>6</v>
          </cell>
          <cell r="L497" t="str">
            <v>SAVE10</v>
          </cell>
          <cell r="M497" t="str">
            <v>Facebook</v>
          </cell>
          <cell r="N497">
            <v>1974.92</v>
          </cell>
        </row>
        <row r="498">
          <cell r="A498" t="str">
            <v>ORD200496</v>
          </cell>
          <cell r="B498">
            <v>45730</v>
          </cell>
          <cell r="C498" t="str">
            <v>C93618</v>
          </cell>
          <cell r="D498" t="str">
            <v>Printer</v>
          </cell>
          <cell r="E498">
            <v>3</v>
          </cell>
          <cell r="F498">
            <v>201.21</v>
          </cell>
          <cell r="G498" t="str">
            <v>249 Main St</v>
          </cell>
          <cell r="H498" t="str">
            <v>Online</v>
          </cell>
          <cell r="I498" t="str">
            <v>Cancelled</v>
          </cell>
          <cell r="J498" t="str">
            <v>TRK66129326</v>
          </cell>
          <cell r="K498">
            <v>3</v>
          </cell>
          <cell r="L498" t="str">
            <v>SAVE10</v>
          </cell>
          <cell r="M498" t="str">
            <v>Google</v>
          </cell>
          <cell r="N498">
            <v>603.63</v>
          </cell>
        </row>
        <row r="499">
          <cell r="A499" t="str">
            <v>ORD200497</v>
          </cell>
          <cell r="B499">
            <v>45589</v>
          </cell>
          <cell r="C499" t="str">
            <v>C93948</v>
          </cell>
          <cell r="D499" t="str">
            <v>Printer</v>
          </cell>
          <cell r="E499">
            <v>3</v>
          </cell>
          <cell r="F499">
            <v>112.29</v>
          </cell>
          <cell r="G499" t="str">
            <v>454 Main St</v>
          </cell>
          <cell r="H499" t="str">
            <v>Gift Card</v>
          </cell>
          <cell r="I499" t="str">
            <v>Shipped</v>
          </cell>
          <cell r="J499" t="str">
            <v>TRK77358113</v>
          </cell>
          <cell r="K499">
            <v>6</v>
          </cell>
          <cell r="L499" t="str">
            <v>No Coupon</v>
          </cell>
          <cell r="M499" t="str">
            <v>Google</v>
          </cell>
          <cell r="N499">
            <v>336.87</v>
          </cell>
        </row>
        <row r="500">
          <cell r="A500" t="str">
            <v>ORD200498</v>
          </cell>
          <cell r="B500">
            <v>45119</v>
          </cell>
          <cell r="C500" t="str">
            <v>C73961</v>
          </cell>
          <cell r="D500" t="str">
            <v>Tablet</v>
          </cell>
          <cell r="E500">
            <v>4</v>
          </cell>
          <cell r="F500">
            <v>132.56</v>
          </cell>
          <cell r="G500" t="str">
            <v>306 Main St</v>
          </cell>
          <cell r="H500" t="str">
            <v>Cash</v>
          </cell>
          <cell r="I500" t="str">
            <v>Returned</v>
          </cell>
          <cell r="J500" t="str">
            <v>TRK32607173</v>
          </cell>
          <cell r="K500">
            <v>8</v>
          </cell>
          <cell r="L500" t="str">
            <v>WINTER15</v>
          </cell>
          <cell r="M500" t="str">
            <v>Instagram</v>
          </cell>
          <cell r="N500">
            <v>530.24</v>
          </cell>
        </row>
        <row r="501">
          <cell r="A501" t="str">
            <v>ORD200499</v>
          </cell>
          <cell r="B501">
            <v>45022</v>
          </cell>
          <cell r="C501" t="str">
            <v>C18138</v>
          </cell>
          <cell r="D501" t="str">
            <v>Printer</v>
          </cell>
          <cell r="E501">
            <v>3</v>
          </cell>
          <cell r="F501">
            <v>539.46</v>
          </cell>
          <cell r="G501" t="str">
            <v>520 Main St</v>
          </cell>
          <cell r="H501" t="str">
            <v>Credit Card</v>
          </cell>
          <cell r="I501" t="str">
            <v>Shipped</v>
          </cell>
          <cell r="J501" t="str">
            <v>TRK20289483</v>
          </cell>
          <cell r="K501">
            <v>4</v>
          </cell>
          <cell r="L501" t="str">
            <v>SAVE10</v>
          </cell>
          <cell r="M501" t="str">
            <v>Facebook</v>
          </cell>
          <cell r="N501">
            <v>1618.38</v>
          </cell>
        </row>
        <row r="502">
          <cell r="A502" t="str">
            <v>ORD200500</v>
          </cell>
          <cell r="B502">
            <v>45389</v>
          </cell>
          <cell r="C502" t="str">
            <v>C79475</v>
          </cell>
          <cell r="D502" t="str">
            <v>Laptop</v>
          </cell>
          <cell r="E502">
            <v>5</v>
          </cell>
          <cell r="F502">
            <v>508.59</v>
          </cell>
          <cell r="G502" t="str">
            <v>169 Main St</v>
          </cell>
          <cell r="H502" t="str">
            <v>Cash</v>
          </cell>
          <cell r="I502" t="str">
            <v>Returned</v>
          </cell>
          <cell r="J502" t="str">
            <v>TRK42168516</v>
          </cell>
          <cell r="K502">
            <v>8</v>
          </cell>
          <cell r="L502" t="str">
            <v>WINTER15</v>
          </cell>
          <cell r="M502" t="str">
            <v>Facebook</v>
          </cell>
          <cell r="N502">
            <v>2542.9499999999998</v>
          </cell>
        </row>
        <row r="503">
          <cell r="A503" t="str">
            <v>ORD200501</v>
          </cell>
          <cell r="B503">
            <v>45326</v>
          </cell>
          <cell r="C503" t="str">
            <v>C88546</v>
          </cell>
          <cell r="D503" t="str">
            <v>Desk</v>
          </cell>
          <cell r="E503">
            <v>4</v>
          </cell>
          <cell r="F503">
            <v>203.46</v>
          </cell>
          <cell r="G503" t="str">
            <v>226 Main St</v>
          </cell>
          <cell r="H503" t="str">
            <v>Credit Card</v>
          </cell>
          <cell r="I503" t="str">
            <v>Pending</v>
          </cell>
          <cell r="J503" t="str">
            <v>TRK19867754</v>
          </cell>
          <cell r="K503">
            <v>7</v>
          </cell>
          <cell r="L503" t="str">
            <v>SAVE10</v>
          </cell>
          <cell r="M503" t="str">
            <v>Referral</v>
          </cell>
          <cell r="N503">
            <v>813.84</v>
          </cell>
        </row>
        <row r="504">
          <cell r="A504" t="str">
            <v>ORD200502</v>
          </cell>
          <cell r="B504">
            <v>45066</v>
          </cell>
          <cell r="C504" t="str">
            <v>C69332</v>
          </cell>
          <cell r="D504" t="str">
            <v>Monitor</v>
          </cell>
          <cell r="E504">
            <v>3</v>
          </cell>
          <cell r="F504">
            <v>565.25</v>
          </cell>
          <cell r="G504" t="str">
            <v>745 Main St</v>
          </cell>
          <cell r="H504" t="str">
            <v>Debit Card</v>
          </cell>
          <cell r="I504" t="str">
            <v>Returned</v>
          </cell>
          <cell r="J504" t="str">
            <v>TRK65718848</v>
          </cell>
          <cell r="K504">
            <v>7</v>
          </cell>
          <cell r="L504" t="str">
            <v>SAVE10</v>
          </cell>
          <cell r="M504" t="str">
            <v>Email</v>
          </cell>
          <cell r="N504">
            <v>1695.75</v>
          </cell>
        </row>
        <row r="505">
          <cell r="A505" t="str">
            <v>ORD200503</v>
          </cell>
          <cell r="B505">
            <v>45169</v>
          </cell>
          <cell r="C505" t="str">
            <v>C64554</v>
          </cell>
          <cell r="D505" t="str">
            <v>Tablet</v>
          </cell>
          <cell r="E505">
            <v>3</v>
          </cell>
          <cell r="F505">
            <v>136.84</v>
          </cell>
          <cell r="G505" t="str">
            <v>498 Main St</v>
          </cell>
          <cell r="H505" t="str">
            <v>Online</v>
          </cell>
          <cell r="I505" t="str">
            <v>Pending</v>
          </cell>
          <cell r="J505" t="str">
            <v>TRK95384568</v>
          </cell>
          <cell r="K505">
            <v>4</v>
          </cell>
          <cell r="L505" t="str">
            <v>FREESHIP</v>
          </cell>
          <cell r="M505" t="str">
            <v>Facebook</v>
          </cell>
          <cell r="N505">
            <v>410.52</v>
          </cell>
        </row>
        <row r="506">
          <cell r="A506" t="str">
            <v>ORD200504</v>
          </cell>
          <cell r="B506">
            <v>45819</v>
          </cell>
          <cell r="C506" t="str">
            <v>C11676</v>
          </cell>
          <cell r="D506" t="str">
            <v>Monitor</v>
          </cell>
          <cell r="E506">
            <v>2</v>
          </cell>
          <cell r="F506">
            <v>464.5</v>
          </cell>
          <cell r="G506" t="str">
            <v>805 Main St</v>
          </cell>
          <cell r="H506" t="str">
            <v>Online</v>
          </cell>
          <cell r="I506" t="str">
            <v>Cancelled</v>
          </cell>
          <cell r="J506" t="str">
            <v>TRK35726395</v>
          </cell>
          <cell r="K506">
            <v>2</v>
          </cell>
          <cell r="L506" t="str">
            <v>WINTER15</v>
          </cell>
          <cell r="M506" t="str">
            <v>Instagram</v>
          </cell>
          <cell r="N506">
            <v>929</v>
          </cell>
        </row>
        <row r="507">
          <cell r="A507" t="str">
            <v>ORD200505</v>
          </cell>
          <cell r="B507">
            <v>45088</v>
          </cell>
          <cell r="C507" t="str">
            <v>C36014</v>
          </cell>
          <cell r="D507" t="str">
            <v>Printer</v>
          </cell>
          <cell r="E507">
            <v>2</v>
          </cell>
          <cell r="F507">
            <v>434.97</v>
          </cell>
          <cell r="G507" t="str">
            <v>558 Main St</v>
          </cell>
          <cell r="H507" t="str">
            <v>Online</v>
          </cell>
          <cell r="I507" t="str">
            <v>Shipped</v>
          </cell>
          <cell r="J507" t="str">
            <v>TRK97246526</v>
          </cell>
          <cell r="K507">
            <v>7</v>
          </cell>
          <cell r="L507" t="str">
            <v>No Coupon</v>
          </cell>
          <cell r="M507" t="str">
            <v>Email</v>
          </cell>
          <cell r="N507">
            <v>869.94</v>
          </cell>
        </row>
        <row r="508">
          <cell r="A508" t="str">
            <v>ORD200506</v>
          </cell>
          <cell r="B508">
            <v>45132</v>
          </cell>
          <cell r="C508" t="str">
            <v>C23279</v>
          </cell>
          <cell r="D508" t="str">
            <v>Monitor</v>
          </cell>
          <cell r="E508">
            <v>2</v>
          </cell>
          <cell r="F508">
            <v>43.67</v>
          </cell>
          <cell r="G508" t="str">
            <v>696 Main St</v>
          </cell>
          <cell r="H508" t="str">
            <v>Cash</v>
          </cell>
          <cell r="I508" t="str">
            <v>Returned</v>
          </cell>
          <cell r="J508" t="str">
            <v>TRK58039693</v>
          </cell>
          <cell r="K508">
            <v>4</v>
          </cell>
          <cell r="L508" t="str">
            <v>WINTER15</v>
          </cell>
          <cell r="M508" t="str">
            <v>Instagram</v>
          </cell>
          <cell r="N508">
            <v>87.34</v>
          </cell>
        </row>
        <row r="509">
          <cell r="A509" t="str">
            <v>ORD200507</v>
          </cell>
          <cell r="B509">
            <v>45112</v>
          </cell>
          <cell r="C509" t="str">
            <v>C86481</v>
          </cell>
          <cell r="D509" t="str">
            <v>Phone</v>
          </cell>
          <cell r="E509">
            <v>1</v>
          </cell>
          <cell r="F509">
            <v>171.59</v>
          </cell>
          <cell r="G509" t="str">
            <v>546 Main St</v>
          </cell>
          <cell r="H509" t="str">
            <v>Credit Card</v>
          </cell>
          <cell r="I509" t="str">
            <v>Pending</v>
          </cell>
          <cell r="J509" t="str">
            <v>TRK87513944</v>
          </cell>
          <cell r="K509">
            <v>5</v>
          </cell>
          <cell r="L509" t="str">
            <v>WINTER15</v>
          </cell>
          <cell r="M509" t="str">
            <v>Email</v>
          </cell>
          <cell r="N509">
            <v>171.59</v>
          </cell>
        </row>
        <row r="510">
          <cell r="A510" t="str">
            <v>ORD200508</v>
          </cell>
          <cell r="B510">
            <v>45791</v>
          </cell>
          <cell r="C510" t="str">
            <v>C39550</v>
          </cell>
          <cell r="D510" t="str">
            <v>Phone</v>
          </cell>
          <cell r="E510">
            <v>1</v>
          </cell>
          <cell r="F510">
            <v>558.27</v>
          </cell>
          <cell r="G510" t="str">
            <v>976 Main St</v>
          </cell>
          <cell r="H510" t="str">
            <v>Online</v>
          </cell>
          <cell r="I510" t="str">
            <v>Delivered</v>
          </cell>
          <cell r="J510" t="str">
            <v>TRK24120267</v>
          </cell>
          <cell r="K510">
            <v>1</v>
          </cell>
          <cell r="L510" t="str">
            <v>No Coupon</v>
          </cell>
          <cell r="M510" t="str">
            <v>Referral</v>
          </cell>
          <cell r="N510">
            <v>558.27</v>
          </cell>
        </row>
        <row r="511">
          <cell r="A511" t="str">
            <v>ORD200509</v>
          </cell>
          <cell r="B511">
            <v>44972</v>
          </cell>
          <cell r="C511" t="str">
            <v>C68937</v>
          </cell>
          <cell r="D511" t="str">
            <v>Laptop</v>
          </cell>
          <cell r="E511">
            <v>2</v>
          </cell>
          <cell r="F511">
            <v>425.03</v>
          </cell>
          <cell r="G511" t="str">
            <v>560 Main St</v>
          </cell>
          <cell r="H511" t="str">
            <v>Cash</v>
          </cell>
          <cell r="I511" t="str">
            <v>Returned</v>
          </cell>
          <cell r="J511" t="str">
            <v>TRK31908657</v>
          </cell>
          <cell r="K511">
            <v>2</v>
          </cell>
          <cell r="L511" t="str">
            <v>WINTER15</v>
          </cell>
          <cell r="M511" t="str">
            <v>Google</v>
          </cell>
          <cell r="N511">
            <v>850.06</v>
          </cell>
        </row>
        <row r="512">
          <cell r="A512" t="str">
            <v>ORD200510</v>
          </cell>
          <cell r="B512">
            <v>45642</v>
          </cell>
          <cell r="C512" t="str">
            <v>C72533</v>
          </cell>
          <cell r="D512" t="str">
            <v>Printer</v>
          </cell>
          <cell r="E512">
            <v>1</v>
          </cell>
          <cell r="F512">
            <v>376.76</v>
          </cell>
          <cell r="G512" t="str">
            <v>389 Main St</v>
          </cell>
          <cell r="H512" t="str">
            <v>Debit Card</v>
          </cell>
          <cell r="I512" t="str">
            <v>Delivered</v>
          </cell>
          <cell r="J512" t="str">
            <v>TRK51288986</v>
          </cell>
          <cell r="K512">
            <v>5</v>
          </cell>
          <cell r="L512" t="str">
            <v>SAVE10</v>
          </cell>
          <cell r="M512" t="str">
            <v>Email</v>
          </cell>
          <cell r="N512">
            <v>376.76</v>
          </cell>
        </row>
        <row r="513">
          <cell r="A513" t="str">
            <v>ORD200511</v>
          </cell>
          <cell r="B513">
            <v>45366</v>
          </cell>
          <cell r="C513" t="str">
            <v>C11415</v>
          </cell>
          <cell r="D513" t="str">
            <v>Monitor</v>
          </cell>
          <cell r="E513">
            <v>5</v>
          </cell>
          <cell r="F513">
            <v>575.24</v>
          </cell>
          <cell r="G513" t="str">
            <v>267 Main St</v>
          </cell>
          <cell r="H513" t="str">
            <v>Cash</v>
          </cell>
          <cell r="I513" t="str">
            <v>Delivered</v>
          </cell>
          <cell r="J513" t="str">
            <v>TRK65061457</v>
          </cell>
          <cell r="K513">
            <v>7</v>
          </cell>
          <cell r="L513" t="str">
            <v>WINTER15</v>
          </cell>
          <cell r="M513" t="str">
            <v>Email</v>
          </cell>
          <cell r="N513">
            <v>2876.2</v>
          </cell>
        </row>
        <row r="514">
          <cell r="A514" t="str">
            <v>ORD200512</v>
          </cell>
          <cell r="B514">
            <v>45562</v>
          </cell>
          <cell r="C514" t="str">
            <v>C14114</v>
          </cell>
          <cell r="D514" t="str">
            <v>Desk</v>
          </cell>
          <cell r="E514">
            <v>3</v>
          </cell>
          <cell r="F514">
            <v>568.02</v>
          </cell>
          <cell r="G514" t="str">
            <v>856 Main St</v>
          </cell>
          <cell r="H514" t="str">
            <v>Online</v>
          </cell>
          <cell r="I514" t="str">
            <v>Pending</v>
          </cell>
          <cell r="J514" t="str">
            <v>TRK63290700</v>
          </cell>
          <cell r="K514">
            <v>3</v>
          </cell>
          <cell r="L514" t="str">
            <v>FREESHIP</v>
          </cell>
          <cell r="M514" t="str">
            <v>Instagram</v>
          </cell>
          <cell r="N514">
            <v>1704.06</v>
          </cell>
        </row>
        <row r="515">
          <cell r="A515" t="str">
            <v>ORD200513</v>
          </cell>
          <cell r="B515">
            <v>45697</v>
          </cell>
          <cell r="C515" t="str">
            <v>C64128</v>
          </cell>
          <cell r="D515" t="str">
            <v>Tablet</v>
          </cell>
          <cell r="E515">
            <v>3</v>
          </cell>
          <cell r="F515">
            <v>94.88</v>
          </cell>
          <cell r="G515" t="str">
            <v>533 Main St</v>
          </cell>
          <cell r="H515" t="str">
            <v>Gift Card</v>
          </cell>
          <cell r="I515" t="str">
            <v>Shipped</v>
          </cell>
          <cell r="J515" t="str">
            <v>TRK37053575</v>
          </cell>
          <cell r="K515">
            <v>8</v>
          </cell>
          <cell r="L515" t="str">
            <v>No Coupon</v>
          </cell>
          <cell r="M515" t="str">
            <v>Referral</v>
          </cell>
          <cell r="N515">
            <v>284.64</v>
          </cell>
        </row>
        <row r="516">
          <cell r="A516" t="str">
            <v>ORD200514</v>
          </cell>
          <cell r="B516">
            <v>45032</v>
          </cell>
          <cell r="C516" t="str">
            <v>C15629</v>
          </cell>
          <cell r="D516" t="str">
            <v>Printer</v>
          </cell>
          <cell r="E516">
            <v>3</v>
          </cell>
          <cell r="F516">
            <v>304.14999999999998</v>
          </cell>
          <cell r="G516" t="str">
            <v>492 Main St</v>
          </cell>
          <cell r="H516" t="str">
            <v>Gift Card</v>
          </cell>
          <cell r="I516" t="str">
            <v>Shipped</v>
          </cell>
          <cell r="J516" t="str">
            <v>TRK64926044</v>
          </cell>
          <cell r="K516">
            <v>3</v>
          </cell>
          <cell r="L516" t="str">
            <v>WINTER15</v>
          </cell>
          <cell r="M516" t="str">
            <v>Instagram</v>
          </cell>
          <cell r="N516">
            <v>912.44999999999993</v>
          </cell>
        </row>
        <row r="517">
          <cell r="A517" t="str">
            <v>ORD200515</v>
          </cell>
          <cell r="B517">
            <v>44999</v>
          </cell>
          <cell r="C517" t="str">
            <v>C67561</v>
          </cell>
          <cell r="D517" t="str">
            <v>Phone</v>
          </cell>
          <cell r="E517">
            <v>3</v>
          </cell>
          <cell r="F517">
            <v>553.52</v>
          </cell>
          <cell r="G517" t="str">
            <v>160 Main St</v>
          </cell>
          <cell r="H517" t="str">
            <v>Gift Card</v>
          </cell>
          <cell r="I517" t="str">
            <v>Shipped</v>
          </cell>
          <cell r="J517" t="str">
            <v>TRK75900717</v>
          </cell>
          <cell r="K517">
            <v>4</v>
          </cell>
          <cell r="L517" t="str">
            <v>FREESHIP</v>
          </cell>
          <cell r="M517" t="str">
            <v>Facebook</v>
          </cell>
          <cell r="N517">
            <v>1660.56</v>
          </cell>
        </row>
        <row r="518">
          <cell r="A518" t="str">
            <v>ORD200516</v>
          </cell>
          <cell r="B518">
            <v>45389</v>
          </cell>
          <cell r="C518" t="str">
            <v>C47022</v>
          </cell>
          <cell r="D518" t="str">
            <v>Monitor</v>
          </cell>
          <cell r="E518">
            <v>3</v>
          </cell>
          <cell r="F518">
            <v>166.99</v>
          </cell>
          <cell r="G518" t="str">
            <v>208 Main St</v>
          </cell>
          <cell r="H518" t="str">
            <v>Cash</v>
          </cell>
          <cell r="I518" t="str">
            <v>Returned</v>
          </cell>
          <cell r="J518" t="str">
            <v>TRK28855040</v>
          </cell>
          <cell r="K518">
            <v>8</v>
          </cell>
          <cell r="L518" t="str">
            <v>No Coupon</v>
          </cell>
          <cell r="M518" t="str">
            <v>Facebook</v>
          </cell>
          <cell r="N518">
            <v>500.97</v>
          </cell>
        </row>
        <row r="519">
          <cell r="A519" t="str">
            <v>ORD200517</v>
          </cell>
          <cell r="B519">
            <v>45391</v>
          </cell>
          <cell r="C519" t="str">
            <v>C55205</v>
          </cell>
          <cell r="D519" t="str">
            <v>Tablet</v>
          </cell>
          <cell r="E519">
            <v>4</v>
          </cell>
          <cell r="F519">
            <v>198.35</v>
          </cell>
          <cell r="G519" t="str">
            <v>943 Main St</v>
          </cell>
          <cell r="H519" t="str">
            <v>Cash</v>
          </cell>
          <cell r="I519" t="str">
            <v>Cancelled</v>
          </cell>
          <cell r="J519" t="str">
            <v>TRK88141634</v>
          </cell>
          <cell r="K519">
            <v>7</v>
          </cell>
          <cell r="L519" t="str">
            <v>FREESHIP</v>
          </cell>
          <cell r="M519" t="str">
            <v>Google</v>
          </cell>
          <cell r="N519">
            <v>793.4</v>
          </cell>
        </row>
        <row r="520">
          <cell r="A520" t="str">
            <v>ORD200518</v>
          </cell>
          <cell r="B520">
            <v>45821</v>
          </cell>
          <cell r="C520" t="str">
            <v>C30686</v>
          </cell>
          <cell r="D520" t="str">
            <v>Printer</v>
          </cell>
          <cell r="E520">
            <v>4</v>
          </cell>
          <cell r="F520">
            <v>403.58</v>
          </cell>
          <cell r="G520" t="str">
            <v>319 Main St</v>
          </cell>
          <cell r="H520" t="str">
            <v>Online</v>
          </cell>
          <cell r="I520" t="str">
            <v>Pending</v>
          </cell>
          <cell r="J520" t="str">
            <v>TRK59807273</v>
          </cell>
          <cell r="K520">
            <v>9</v>
          </cell>
          <cell r="L520" t="str">
            <v>SAVE10</v>
          </cell>
          <cell r="M520" t="str">
            <v>Referral</v>
          </cell>
          <cell r="N520">
            <v>1614.32</v>
          </cell>
        </row>
        <row r="521">
          <cell r="A521" t="str">
            <v>ORD200519</v>
          </cell>
          <cell r="B521">
            <v>45787</v>
          </cell>
          <cell r="C521" t="str">
            <v>C71797</v>
          </cell>
          <cell r="D521" t="str">
            <v>Laptop</v>
          </cell>
          <cell r="E521">
            <v>4</v>
          </cell>
          <cell r="F521">
            <v>464.29</v>
          </cell>
          <cell r="G521" t="str">
            <v>941 Main St</v>
          </cell>
          <cell r="H521" t="str">
            <v>Debit Card</v>
          </cell>
          <cell r="I521" t="str">
            <v>Returned</v>
          </cell>
          <cell r="J521" t="str">
            <v>TRK66010667</v>
          </cell>
          <cell r="K521">
            <v>5</v>
          </cell>
          <cell r="L521" t="str">
            <v>SAVE10</v>
          </cell>
          <cell r="M521" t="str">
            <v>Email</v>
          </cell>
          <cell r="N521">
            <v>1857.16</v>
          </cell>
        </row>
        <row r="522">
          <cell r="A522" t="str">
            <v>ORD200520</v>
          </cell>
          <cell r="B522">
            <v>44995</v>
          </cell>
          <cell r="C522" t="str">
            <v>C66332</v>
          </cell>
          <cell r="D522" t="str">
            <v>Monitor</v>
          </cell>
          <cell r="E522">
            <v>3</v>
          </cell>
          <cell r="F522">
            <v>635.98</v>
          </cell>
          <cell r="G522" t="str">
            <v>959 Main St</v>
          </cell>
          <cell r="H522" t="str">
            <v>Cash</v>
          </cell>
          <cell r="I522" t="str">
            <v>Returned</v>
          </cell>
          <cell r="J522" t="str">
            <v>TRK27063398</v>
          </cell>
          <cell r="K522">
            <v>5</v>
          </cell>
          <cell r="L522" t="str">
            <v>No Coupon</v>
          </cell>
          <cell r="M522" t="str">
            <v>Referral</v>
          </cell>
          <cell r="N522">
            <v>1907.94</v>
          </cell>
        </row>
        <row r="523">
          <cell r="A523" t="str">
            <v>ORD200521</v>
          </cell>
          <cell r="B523">
            <v>45347</v>
          </cell>
          <cell r="C523" t="str">
            <v>C82318</v>
          </cell>
          <cell r="D523" t="str">
            <v>Phone</v>
          </cell>
          <cell r="E523">
            <v>1</v>
          </cell>
          <cell r="F523">
            <v>528.05999999999995</v>
          </cell>
          <cell r="G523" t="str">
            <v>991 Main St</v>
          </cell>
          <cell r="H523" t="str">
            <v>Credit Card</v>
          </cell>
          <cell r="I523" t="str">
            <v>Shipped</v>
          </cell>
          <cell r="J523" t="str">
            <v>TRK37534165</v>
          </cell>
          <cell r="K523">
            <v>2</v>
          </cell>
          <cell r="L523" t="str">
            <v>No Coupon</v>
          </cell>
          <cell r="M523" t="str">
            <v>Facebook</v>
          </cell>
          <cell r="N523">
            <v>528.05999999999995</v>
          </cell>
        </row>
        <row r="524">
          <cell r="A524" t="str">
            <v>ORD200522</v>
          </cell>
          <cell r="B524">
            <v>45402</v>
          </cell>
          <cell r="C524" t="str">
            <v>C66254</v>
          </cell>
          <cell r="D524" t="str">
            <v>Chair</v>
          </cell>
          <cell r="E524">
            <v>1</v>
          </cell>
          <cell r="F524">
            <v>515.32000000000005</v>
          </cell>
          <cell r="G524" t="str">
            <v>740 Main St</v>
          </cell>
          <cell r="H524" t="str">
            <v>Gift Card</v>
          </cell>
          <cell r="I524" t="str">
            <v>Cancelled</v>
          </cell>
          <cell r="J524" t="str">
            <v>TRK82843861</v>
          </cell>
          <cell r="K524">
            <v>1</v>
          </cell>
          <cell r="L524" t="str">
            <v>FREESHIP</v>
          </cell>
          <cell r="M524" t="str">
            <v>Email</v>
          </cell>
          <cell r="N524">
            <v>515.32000000000005</v>
          </cell>
        </row>
        <row r="525">
          <cell r="A525" t="str">
            <v>ORD200523</v>
          </cell>
          <cell r="B525">
            <v>45706</v>
          </cell>
          <cell r="C525" t="str">
            <v>C65083</v>
          </cell>
          <cell r="D525" t="str">
            <v>Desk</v>
          </cell>
          <cell r="E525">
            <v>4</v>
          </cell>
          <cell r="F525">
            <v>657.79</v>
          </cell>
          <cell r="G525" t="str">
            <v>652 Main St</v>
          </cell>
          <cell r="H525" t="str">
            <v>Credit Card</v>
          </cell>
          <cell r="I525" t="str">
            <v>Returned</v>
          </cell>
          <cell r="J525" t="str">
            <v>TRK60937148</v>
          </cell>
          <cell r="K525">
            <v>6</v>
          </cell>
          <cell r="L525" t="str">
            <v>WINTER15</v>
          </cell>
          <cell r="M525" t="str">
            <v>Google</v>
          </cell>
          <cell r="N525">
            <v>2631.16</v>
          </cell>
        </row>
        <row r="526">
          <cell r="A526" t="str">
            <v>ORD200524</v>
          </cell>
          <cell r="B526">
            <v>45224</v>
          </cell>
          <cell r="C526" t="str">
            <v>C44778</v>
          </cell>
          <cell r="D526" t="str">
            <v>Phone</v>
          </cell>
          <cell r="E526">
            <v>1</v>
          </cell>
          <cell r="F526">
            <v>153</v>
          </cell>
          <cell r="G526" t="str">
            <v>103 Main St</v>
          </cell>
          <cell r="H526" t="str">
            <v>Credit Card</v>
          </cell>
          <cell r="I526" t="str">
            <v>Returned</v>
          </cell>
          <cell r="J526" t="str">
            <v>TRK92617366</v>
          </cell>
          <cell r="K526">
            <v>4</v>
          </cell>
          <cell r="L526" t="str">
            <v>No Coupon</v>
          </cell>
          <cell r="M526" t="str">
            <v>Referral</v>
          </cell>
          <cell r="N526">
            <v>153</v>
          </cell>
        </row>
        <row r="527">
          <cell r="A527" t="str">
            <v>ORD200525</v>
          </cell>
          <cell r="B527">
            <v>45263</v>
          </cell>
          <cell r="C527" t="str">
            <v>C54499</v>
          </cell>
          <cell r="D527" t="str">
            <v>Monitor</v>
          </cell>
          <cell r="E527">
            <v>1</v>
          </cell>
          <cell r="F527">
            <v>668.48</v>
          </cell>
          <cell r="G527" t="str">
            <v>160 Main St</v>
          </cell>
          <cell r="H527" t="str">
            <v>Debit Card</v>
          </cell>
          <cell r="I527" t="str">
            <v>Shipped</v>
          </cell>
          <cell r="J527" t="str">
            <v>TRK18061555</v>
          </cell>
          <cell r="K527">
            <v>1</v>
          </cell>
          <cell r="L527" t="str">
            <v>SAVE10</v>
          </cell>
          <cell r="M527" t="str">
            <v>Email</v>
          </cell>
          <cell r="N527">
            <v>668.48</v>
          </cell>
        </row>
        <row r="528">
          <cell r="A528" t="str">
            <v>ORD200526</v>
          </cell>
          <cell r="B528">
            <v>45351</v>
          </cell>
          <cell r="C528" t="str">
            <v>C91201</v>
          </cell>
          <cell r="D528" t="str">
            <v>Desk</v>
          </cell>
          <cell r="E528">
            <v>2</v>
          </cell>
          <cell r="F528">
            <v>46.5</v>
          </cell>
          <cell r="G528" t="str">
            <v>837 Main St</v>
          </cell>
          <cell r="H528" t="str">
            <v>Cash</v>
          </cell>
          <cell r="I528" t="str">
            <v>Returned</v>
          </cell>
          <cell r="J528" t="str">
            <v>TRK63526023</v>
          </cell>
          <cell r="K528">
            <v>7</v>
          </cell>
          <cell r="L528" t="str">
            <v>WINTER15</v>
          </cell>
          <cell r="M528" t="str">
            <v>Google</v>
          </cell>
          <cell r="N528">
            <v>93</v>
          </cell>
        </row>
        <row r="529">
          <cell r="A529" t="str">
            <v>ORD200527</v>
          </cell>
          <cell r="B529">
            <v>45523</v>
          </cell>
          <cell r="C529" t="str">
            <v>C27202</v>
          </cell>
          <cell r="D529" t="str">
            <v>Chair</v>
          </cell>
          <cell r="E529">
            <v>5</v>
          </cell>
          <cell r="F529">
            <v>653.47</v>
          </cell>
          <cell r="G529" t="str">
            <v>967 Main St</v>
          </cell>
          <cell r="H529" t="str">
            <v>Credit Card</v>
          </cell>
          <cell r="I529" t="str">
            <v>Cancelled</v>
          </cell>
          <cell r="J529" t="str">
            <v>TRK75406128</v>
          </cell>
          <cell r="K529">
            <v>10</v>
          </cell>
          <cell r="L529" t="str">
            <v>SAVE10</v>
          </cell>
          <cell r="M529" t="str">
            <v>Referral</v>
          </cell>
          <cell r="N529">
            <v>3267.3500000000004</v>
          </cell>
        </row>
        <row r="530">
          <cell r="A530" t="str">
            <v>ORD200528</v>
          </cell>
          <cell r="B530">
            <v>45714</v>
          </cell>
          <cell r="C530" t="str">
            <v>C32011</v>
          </cell>
          <cell r="D530" t="str">
            <v>Chair</v>
          </cell>
          <cell r="E530">
            <v>1</v>
          </cell>
          <cell r="F530">
            <v>628.89</v>
          </cell>
          <cell r="G530" t="str">
            <v>686 Main St</v>
          </cell>
          <cell r="H530" t="str">
            <v>Credit Card</v>
          </cell>
          <cell r="I530" t="str">
            <v>Returned</v>
          </cell>
          <cell r="J530" t="str">
            <v>TRK70997744</v>
          </cell>
          <cell r="K530">
            <v>2</v>
          </cell>
          <cell r="L530" t="str">
            <v>SAVE10</v>
          </cell>
          <cell r="M530" t="str">
            <v>Referral</v>
          </cell>
          <cell r="N530">
            <v>628.89</v>
          </cell>
        </row>
        <row r="531">
          <cell r="A531" t="str">
            <v>ORD200529</v>
          </cell>
          <cell r="B531">
            <v>45389</v>
          </cell>
          <cell r="C531" t="str">
            <v>C21181</v>
          </cell>
          <cell r="D531" t="str">
            <v>Tablet</v>
          </cell>
          <cell r="E531">
            <v>2</v>
          </cell>
          <cell r="F531">
            <v>675.1</v>
          </cell>
          <cell r="G531" t="str">
            <v>938 Main St</v>
          </cell>
          <cell r="H531" t="str">
            <v>Cash</v>
          </cell>
          <cell r="I531" t="str">
            <v>Pending</v>
          </cell>
          <cell r="J531" t="str">
            <v>TRK50363421</v>
          </cell>
          <cell r="K531">
            <v>4</v>
          </cell>
          <cell r="L531" t="str">
            <v>FREESHIP</v>
          </cell>
          <cell r="M531" t="str">
            <v>Google</v>
          </cell>
          <cell r="N531">
            <v>1350.2</v>
          </cell>
        </row>
        <row r="532">
          <cell r="A532" t="str">
            <v>ORD200530</v>
          </cell>
          <cell r="B532">
            <v>45491</v>
          </cell>
          <cell r="C532" t="str">
            <v>C98450</v>
          </cell>
          <cell r="D532" t="str">
            <v>Chair</v>
          </cell>
          <cell r="E532">
            <v>4</v>
          </cell>
          <cell r="F532">
            <v>89.41</v>
          </cell>
          <cell r="G532" t="str">
            <v>613 Main St</v>
          </cell>
          <cell r="H532" t="str">
            <v>Online</v>
          </cell>
          <cell r="I532" t="str">
            <v>Pending</v>
          </cell>
          <cell r="J532" t="str">
            <v>TRK14809530</v>
          </cell>
          <cell r="K532">
            <v>9</v>
          </cell>
          <cell r="L532" t="str">
            <v>No Coupon</v>
          </cell>
          <cell r="M532" t="str">
            <v>Google</v>
          </cell>
          <cell r="N532">
            <v>357.64</v>
          </cell>
        </row>
        <row r="533">
          <cell r="A533" t="str">
            <v>ORD200531</v>
          </cell>
          <cell r="B533">
            <v>45475</v>
          </cell>
          <cell r="C533" t="str">
            <v>C64502</v>
          </cell>
          <cell r="D533" t="str">
            <v>Desk</v>
          </cell>
          <cell r="E533">
            <v>5</v>
          </cell>
          <cell r="F533">
            <v>320.01</v>
          </cell>
          <cell r="G533" t="str">
            <v>722 Main St</v>
          </cell>
          <cell r="H533" t="str">
            <v>Gift Card</v>
          </cell>
          <cell r="I533" t="str">
            <v>Delivered</v>
          </cell>
          <cell r="J533" t="str">
            <v>TRK14914388</v>
          </cell>
          <cell r="K533">
            <v>6</v>
          </cell>
          <cell r="L533" t="str">
            <v>No Coupon</v>
          </cell>
          <cell r="M533" t="str">
            <v>Referral</v>
          </cell>
          <cell r="N533">
            <v>1600.05</v>
          </cell>
        </row>
        <row r="534">
          <cell r="A534" t="str">
            <v>ORD200532</v>
          </cell>
          <cell r="B534">
            <v>45780</v>
          </cell>
          <cell r="C534" t="str">
            <v>C47365</v>
          </cell>
          <cell r="D534" t="str">
            <v>Laptop</v>
          </cell>
          <cell r="E534">
            <v>2</v>
          </cell>
          <cell r="F534">
            <v>41</v>
          </cell>
          <cell r="G534" t="str">
            <v>369 Main St</v>
          </cell>
          <cell r="H534" t="str">
            <v>Online</v>
          </cell>
          <cell r="I534" t="str">
            <v>Delivered</v>
          </cell>
          <cell r="J534" t="str">
            <v>TRK42207882</v>
          </cell>
          <cell r="K534">
            <v>7</v>
          </cell>
          <cell r="L534" t="str">
            <v>No Coupon</v>
          </cell>
          <cell r="M534" t="str">
            <v>Email</v>
          </cell>
          <cell r="N534">
            <v>82</v>
          </cell>
        </row>
        <row r="535">
          <cell r="A535" t="str">
            <v>ORD200533</v>
          </cell>
          <cell r="B535">
            <v>44990</v>
          </cell>
          <cell r="C535" t="str">
            <v>C66349</v>
          </cell>
          <cell r="D535" t="str">
            <v>Desk</v>
          </cell>
          <cell r="E535">
            <v>1</v>
          </cell>
          <cell r="F535">
            <v>565.85</v>
          </cell>
          <cell r="G535" t="str">
            <v>715 Main St</v>
          </cell>
          <cell r="H535" t="str">
            <v>Gift Card</v>
          </cell>
          <cell r="I535" t="str">
            <v>Returned</v>
          </cell>
          <cell r="J535" t="str">
            <v>TRK63550793</v>
          </cell>
          <cell r="K535">
            <v>1</v>
          </cell>
          <cell r="L535" t="str">
            <v>FREESHIP</v>
          </cell>
          <cell r="M535" t="str">
            <v>Facebook</v>
          </cell>
          <cell r="N535">
            <v>565.85</v>
          </cell>
        </row>
        <row r="536">
          <cell r="A536" t="str">
            <v>ORD200534</v>
          </cell>
          <cell r="B536">
            <v>45449</v>
          </cell>
          <cell r="C536" t="str">
            <v>C73289</v>
          </cell>
          <cell r="D536" t="str">
            <v>Chair</v>
          </cell>
          <cell r="E536">
            <v>3</v>
          </cell>
          <cell r="F536">
            <v>648.59</v>
          </cell>
          <cell r="G536" t="str">
            <v>906 Main St</v>
          </cell>
          <cell r="H536" t="str">
            <v>Debit Card</v>
          </cell>
          <cell r="I536" t="str">
            <v>Cancelled</v>
          </cell>
          <cell r="J536" t="str">
            <v>TRK70872738</v>
          </cell>
          <cell r="K536">
            <v>4</v>
          </cell>
          <cell r="L536" t="str">
            <v>SAVE10</v>
          </cell>
          <cell r="M536" t="str">
            <v>Email</v>
          </cell>
          <cell r="N536">
            <v>1945.77</v>
          </cell>
        </row>
        <row r="537">
          <cell r="A537" t="str">
            <v>ORD200535</v>
          </cell>
          <cell r="B537">
            <v>45497</v>
          </cell>
          <cell r="C537" t="str">
            <v>C48649</v>
          </cell>
          <cell r="D537" t="str">
            <v>Monitor</v>
          </cell>
          <cell r="E537">
            <v>3</v>
          </cell>
          <cell r="F537">
            <v>68.12</v>
          </cell>
          <cell r="G537" t="str">
            <v>332 Main St</v>
          </cell>
          <cell r="H537" t="str">
            <v>Online</v>
          </cell>
          <cell r="I537" t="str">
            <v>Cancelled</v>
          </cell>
          <cell r="J537" t="str">
            <v>TRK45821445</v>
          </cell>
          <cell r="K537">
            <v>3</v>
          </cell>
          <cell r="L537" t="str">
            <v>FREESHIP</v>
          </cell>
          <cell r="M537" t="str">
            <v>Email</v>
          </cell>
          <cell r="N537">
            <v>204.36</v>
          </cell>
        </row>
        <row r="538">
          <cell r="A538" t="str">
            <v>ORD200536</v>
          </cell>
          <cell r="B538">
            <v>45452</v>
          </cell>
          <cell r="C538" t="str">
            <v>C18724</v>
          </cell>
          <cell r="D538" t="str">
            <v>Chair</v>
          </cell>
          <cell r="E538">
            <v>1</v>
          </cell>
          <cell r="F538">
            <v>616.1</v>
          </cell>
          <cell r="G538" t="str">
            <v>124 Main St</v>
          </cell>
          <cell r="H538" t="str">
            <v>Cash</v>
          </cell>
          <cell r="I538" t="str">
            <v>Returned</v>
          </cell>
          <cell r="J538" t="str">
            <v>TRK52508861</v>
          </cell>
          <cell r="K538">
            <v>6</v>
          </cell>
          <cell r="L538" t="str">
            <v>No Coupon</v>
          </cell>
          <cell r="M538" t="str">
            <v>Email</v>
          </cell>
          <cell r="N538">
            <v>616.1</v>
          </cell>
        </row>
        <row r="539">
          <cell r="A539" t="str">
            <v>ORD200537</v>
          </cell>
          <cell r="B539">
            <v>45739</v>
          </cell>
          <cell r="C539" t="str">
            <v>C68553</v>
          </cell>
          <cell r="D539" t="str">
            <v>Tablet</v>
          </cell>
          <cell r="E539">
            <v>3</v>
          </cell>
          <cell r="F539">
            <v>247.47</v>
          </cell>
          <cell r="G539" t="str">
            <v>385 Main St</v>
          </cell>
          <cell r="H539" t="str">
            <v>Online</v>
          </cell>
          <cell r="I539" t="str">
            <v>Delivered</v>
          </cell>
          <cell r="J539" t="str">
            <v>TRK58218971</v>
          </cell>
          <cell r="K539">
            <v>4</v>
          </cell>
          <cell r="L539" t="str">
            <v>SAVE10</v>
          </cell>
          <cell r="M539" t="str">
            <v>Facebook</v>
          </cell>
          <cell r="N539">
            <v>742.41</v>
          </cell>
        </row>
        <row r="540">
          <cell r="A540" t="str">
            <v>ORD200538</v>
          </cell>
          <cell r="B540">
            <v>45436</v>
          </cell>
          <cell r="C540" t="str">
            <v>C61280</v>
          </cell>
          <cell r="D540" t="str">
            <v>Phone</v>
          </cell>
          <cell r="E540">
            <v>3</v>
          </cell>
          <cell r="F540">
            <v>490.74</v>
          </cell>
          <cell r="G540" t="str">
            <v>100 Main St</v>
          </cell>
          <cell r="H540" t="str">
            <v>Cash</v>
          </cell>
          <cell r="I540" t="str">
            <v>Shipped</v>
          </cell>
          <cell r="J540" t="str">
            <v>TRK95487711</v>
          </cell>
          <cell r="K540">
            <v>3</v>
          </cell>
          <cell r="L540" t="str">
            <v>WINTER15</v>
          </cell>
          <cell r="M540" t="str">
            <v>Email</v>
          </cell>
          <cell r="N540">
            <v>1472.22</v>
          </cell>
        </row>
        <row r="541">
          <cell r="A541" t="str">
            <v>ORD200539</v>
          </cell>
          <cell r="B541">
            <v>45706</v>
          </cell>
          <cell r="C541" t="str">
            <v>C53277</v>
          </cell>
          <cell r="D541" t="str">
            <v>Desk</v>
          </cell>
          <cell r="E541">
            <v>3</v>
          </cell>
          <cell r="F541">
            <v>531.72</v>
          </cell>
          <cell r="G541" t="str">
            <v>473 Main St</v>
          </cell>
          <cell r="H541" t="str">
            <v>Gift Card</v>
          </cell>
          <cell r="I541" t="str">
            <v>Delivered</v>
          </cell>
          <cell r="J541" t="str">
            <v>TRK17653832</v>
          </cell>
          <cell r="K541">
            <v>7</v>
          </cell>
          <cell r="L541" t="str">
            <v>SAVE10</v>
          </cell>
          <cell r="M541" t="str">
            <v>Google</v>
          </cell>
          <cell r="N541">
            <v>1595.16</v>
          </cell>
        </row>
        <row r="542">
          <cell r="A542" t="str">
            <v>ORD200540</v>
          </cell>
          <cell r="B542">
            <v>45320</v>
          </cell>
          <cell r="C542" t="str">
            <v>C87281</v>
          </cell>
          <cell r="D542" t="str">
            <v>Laptop</v>
          </cell>
          <cell r="E542">
            <v>5</v>
          </cell>
          <cell r="F542">
            <v>648.65</v>
          </cell>
          <cell r="G542" t="str">
            <v>852 Main St</v>
          </cell>
          <cell r="H542" t="str">
            <v>Online</v>
          </cell>
          <cell r="I542" t="str">
            <v>Pending</v>
          </cell>
          <cell r="J542" t="str">
            <v>TRK81765057</v>
          </cell>
          <cell r="K542">
            <v>7</v>
          </cell>
          <cell r="L542" t="str">
            <v>No Coupon</v>
          </cell>
          <cell r="M542" t="str">
            <v>Referral</v>
          </cell>
          <cell r="N542">
            <v>3243.25</v>
          </cell>
        </row>
        <row r="543">
          <cell r="A543" t="str">
            <v>ORD200541</v>
          </cell>
          <cell r="B543">
            <v>45145</v>
          </cell>
          <cell r="C543" t="str">
            <v>C69009</v>
          </cell>
          <cell r="D543" t="str">
            <v>Printer</v>
          </cell>
          <cell r="E543">
            <v>5</v>
          </cell>
          <cell r="F543">
            <v>456.06</v>
          </cell>
          <cell r="G543" t="str">
            <v>879 Main St</v>
          </cell>
          <cell r="H543" t="str">
            <v>Cash</v>
          </cell>
          <cell r="I543" t="str">
            <v>Pending</v>
          </cell>
          <cell r="J543" t="str">
            <v>TRK61295842</v>
          </cell>
          <cell r="K543">
            <v>10</v>
          </cell>
          <cell r="L543" t="str">
            <v>No Coupon</v>
          </cell>
          <cell r="M543" t="str">
            <v>Instagram</v>
          </cell>
          <cell r="N543">
            <v>2280.3000000000002</v>
          </cell>
        </row>
        <row r="544">
          <cell r="A544" t="str">
            <v>ORD200542</v>
          </cell>
          <cell r="B544">
            <v>45244</v>
          </cell>
          <cell r="C544" t="str">
            <v>C49726</v>
          </cell>
          <cell r="D544" t="str">
            <v>Tablet</v>
          </cell>
          <cell r="E544">
            <v>1</v>
          </cell>
          <cell r="F544">
            <v>17.98</v>
          </cell>
          <cell r="G544" t="str">
            <v>934 Main St</v>
          </cell>
          <cell r="H544" t="str">
            <v>Cash</v>
          </cell>
          <cell r="I544" t="str">
            <v>Cancelled</v>
          </cell>
          <cell r="J544" t="str">
            <v>TRK20739460</v>
          </cell>
          <cell r="K544">
            <v>6</v>
          </cell>
          <cell r="L544" t="str">
            <v>FREESHIP</v>
          </cell>
          <cell r="M544" t="str">
            <v>Email</v>
          </cell>
          <cell r="N544">
            <v>17.98</v>
          </cell>
        </row>
        <row r="545">
          <cell r="A545" t="str">
            <v>ORD200543</v>
          </cell>
          <cell r="B545">
            <v>45360</v>
          </cell>
          <cell r="C545" t="str">
            <v>C37531</v>
          </cell>
          <cell r="D545" t="str">
            <v>Desk</v>
          </cell>
          <cell r="E545">
            <v>5</v>
          </cell>
          <cell r="F545">
            <v>269.86</v>
          </cell>
          <cell r="G545" t="str">
            <v>354 Main St</v>
          </cell>
          <cell r="H545" t="str">
            <v>Cash</v>
          </cell>
          <cell r="I545" t="str">
            <v>Shipped</v>
          </cell>
          <cell r="J545" t="str">
            <v>TRK93877673</v>
          </cell>
          <cell r="K545">
            <v>6</v>
          </cell>
          <cell r="L545" t="str">
            <v>WINTER15</v>
          </cell>
          <cell r="M545" t="str">
            <v>Facebook</v>
          </cell>
          <cell r="N545">
            <v>1349.3000000000002</v>
          </cell>
        </row>
        <row r="546">
          <cell r="A546" t="str">
            <v>ORD200544</v>
          </cell>
          <cell r="B546">
            <v>45361</v>
          </cell>
          <cell r="C546" t="str">
            <v>C48713</v>
          </cell>
          <cell r="D546" t="str">
            <v>Printer</v>
          </cell>
          <cell r="E546">
            <v>5</v>
          </cell>
          <cell r="F546">
            <v>31.96</v>
          </cell>
          <cell r="G546" t="str">
            <v>373 Main St</v>
          </cell>
          <cell r="H546" t="str">
            <v>Credit Card</v>
          </cell>
          <cell r="I546" t="str">
            <v>Returned</v>
          </cell>
          <cell r="J546" t="str">
            <v>TRK96334419</v>
          </cell>
          <cell r="K546">
            <v>5</v>
          </cell>
          <cell r="L546" t="str">
            <v>FREESHIP</v>
          </cell>
          <cell r="M546" t="str">
            <v>Referral</v>
          </cell>
          <cell r="N546">
            <v>159.80000000000001</v>
          </cell>
        </row>
        <row r="547">
          <cell r="A547" t="str">
            <v>ORD200545</v>
          </cell>
          <cell r="B547">
            <v>45279</v>
          </cell>
          <cell r="C547" t="str">
            <v>C74138</v>
          </cell>
          <cell r="D547" t="str">
            <v>Monitor</v>
          </cell>
          <cell r="E547">
            <v>2</v>
          </cell>
          <cell r="F547">
            <v>98.47</v>
          </cell>
          <cell r="G547" t="str">
            <v>964 Main St</v>
          </cell>
          <cell r="H547" t="str">
            <v>Cash</v>
          </cell>
          <cell r="I547" t="str">
            <v>Returned</v>
          </cell>
          <cell r="J547" t="str">
            <v>TRK74091695</v>
          </cell>
          <cell r="K547">
            <v>3</v>
          </cell>
          <cell r="L547" t="str">
            <v>No Coupon</v>
          </cell>
          <cell r="M547" t="str">
            <v>Instagram</v>
          </cell>
          <cell r="N547">
            <v>196.94</v>
          </cell>
        </row>
        <row r="548">
          <cell r="A548" t="str">
            <v>ORD200546</v>
          </cell>
          <cell r="B548">
            <v>45352</v>
          </cell>
          <cell r="C548" t="str">
            <v>C82399</v>
          </cell>
          <cell r="D548" t="str">
            <v>Monitor</v>
          </cell>
          <cell r="E548">
            <v>1</v>
          </cell>
          <cell r="F548">
            <v>158.68</v>
          </cell>
          <cell r="G548" t="str">
            <v>928 Main St</v>
          </cell>
          <cell r="H548" t="str">
            <v>Credit Card</v>
          </cell>
          <cell r="I548" t="str">
            <v>Returned</v>
          </cell>
          <cell r="J548" t="str">
            <v>TRK77177284</v>
          </cell>
          <cell r="K548">
            <v>6</v>
          </cell>
          <cell r="L548" t="str">
            <v>WINTER15</v>
          </cell>
          <cell r="M548" t="str">
            <v>Instagram</v>
          </cell>
          <cell r="N548">
            <v>158.68</v>
          </cell>
        </row>
        <row r="549">
          <cell r="A549" t="str">
            <v>ORD200547</v>
          </cell>
          <cell r="B549">
            <v>45158</v>
          </cell>
          <cell r="C549" t="str">
            <v>C40427</v>
          </cell>
          <cell r="D549" t="str">
            <v>Phone</v>
          </cell>
          <cell r="E549">
            <v>1</v>
          </cell>
          <cell r="F549">
            <v>613.98</v>
          </cell>
          <cell r="G549" t="str">
            <v>411 Main St</v>
          </cell>
          <cell r="H549" t="str">
            <v>Online</v>
          </cell>
          <cell r="I549" t="str">
            <v>Delivered</v>
          </cell>
          <cell r="J549" t="str">
            <v>TRK25392280</v>
          </cell>
          <cell r="K549">
            <v>4</v>
          </cell>
          <cell r="L549" t="str">
            <v>FREESHIP</v>
          </cell>
          <cell r="M549" t="str">
            <v>Facebook</v>
          </cell>
          <cell r="N549">
            <v>613.98</v>
          </cell>
        </row>
        <row r="550">
          <cell r="A550" t="str">
            <v>ORD200548</v>
          </cell>
          <cell r="B550">
            <v>45296</v>
          </cell>
          <cell r="C550" t="str">
            <v>C17103</v>
          </cell>
          <cell r="D550" t="str">
            <v>Printer</v>
          </cell>
          <cell r="E550">
            <v>3</v>
          </cell>
          <cell r="F550">
            <v>426.12</v>
          </cell>
          <cell r="G550" t="str">
            <v>922 Main St</v>
          </cell>
          <cell r="H550" t="str">
            <v>Online</v>
          </cell>
          <cell r="I550" t="str">
            <v>Delivered</v>
          </cell>
          <cell r="J550" t="str">
            <v>TRK64398650</v>
          </cell>
          <cell r="K550">
            <v>5</v>
          </cell>
          <cell r="L550" t="str">
            <v>WINTER15</v>
          </cell>
          <cell r="M550" t="str">
            <v>Instagram</v>
          </cell>
          <cell r="N550">
            <v>1278.3600000000001</v>
          </cell>
        </row>
        <row r="551">
          <cell r="A551" t="str">
            <v>ORD200549</v>
          </cell>
          <cell r="B551">
            <v>45713</v>
          </cell>
          <cell r="C551" t="str">
            <v>C34266</v>
          </cell>
          <cell r="D551" t="str">
            <v>Monitor</v>
          </cell>
          <cell r="E551">
            <v>4</v>
          </cell>
          <cell r="F551">
            <v>629.88</v>
          </cell>
          <cell r="G551" t="str">
            <v>550 Main St</v>
          </cell>
          <cell r="H551" t="str">
            <v>Debit Card</v>
          </cell>
          <cell r="I551" t="str">
            <v>Cancelled</v>
          </cell>
          <cell r="J551" t="str">
            <v>TRK56378197</v>
          </cell>
          <cell r="K551">
            <v>8</v>
          </cell>
          <cell r="L551" t="str">
            <v>WINTER15</v>
          </cell>
          <cell r="M551" t="str">
            <v>Instagram</v>
          </cell>
          <cell r="N551">
            <v>2519.52</v>
          </cell>
        </row>
        <row r="552">
          <cell r="A552" t="str">
            <v>ORD200550</v>
          </cell>
          <cell r="B552">
            <v>45228</v>
          </cell>
          <cell r="C552" t="str">
            <v>C97485</v>
          </cell>
          <cell r="D552" t="str">
            <v>Laptop</v>
          </cell>
          <cell r="E552">
            <v>4</v>
          </cell>
          <cell r="F552">
            <v>228.91</v>
          </cell>
          <cell r="G552" t="str">
            <v>573 Main St</v>
          </cell>
          <cell r="H552" t="str">
            <v>Cash</v>
          </cell>
          <cell r="I552" t="str">
            <v>Shipped</v>
          </cell>
          <cell r="J552" t="str">
            <v>TRK81794737</v>
          </cell>
          <cell r="K552">
            <v>4</v>
          </cell>
          <cell r="L552" t="str">
            <v>FREESHIP</v>
          </cell>
          <cell r="M552" t="str">
            <v>Google</v>
          </cell>
          <cell r="N552">
            <v>915.64</v>
          </cell>
        </row>
        <row r="553">
          <cell r="A553" t="str">
            <v>ORD200551</v>
          </cell>
          <cell r="B553">
            <v>45064</v>
          </cell>
          <cell r="C553" t="str">
            <v>C23947</v>
          </cell>
          <cell r="D553" t="str">
            <v>Laptop</v>
          </cell>
          <cell r="E553">
            <v>1</v>
          </cell>
          <cell r="F553">
            <v>120.98</v>
          </cell>
          <cell r="G553" t="str">
            <v>353 Main St</v>
          </cell>
          <cell r="H553" t="str">
            <v>Debit Card</v>
          </cell>
          <cell r="I553" t="str">
            <v>Delivered</v>
          </cell>
          <cell r="J553" t="str">
            <v>TRK74812710</v>
          </cell>
          <cell r="K553">
            <v>6</v>
          </cell>
          <cell r="L553" t="str">
            <v>WINTER15</v>
          </cell>
          <cell r="M553" t="str">
            <v>Email</v>
          </cell>
          <cell r="N553">
            <v>120.98</v>
          </cell>
        </row>
        <row r="554">
          <cell r="A554" t="str">
            <v>ORD200552</v>
          </cell>
          <cell r="B554">
            <v>45199</v>
          </cell>
          <cell r="C554" t="str">
            <v>C21665</v>
          </cell>
          <cell r="D554" t="str">
            <v>Chair</v>
          </cell>
          <cell r="E554">
            <v>4</v>
          </cell>
          <cell r="F554">
            <v>425.18</v>
          </cell>
          <cell r="G554" t="str">
            <v>560 Main St</v>
          </cell>
          <cell r="H554" t="str">
            <v>Online</v>
          </cell>
          <cell r="I554" t="str">
            <v>Returned</v>
          </cell>
          <cell r="J554" t="str">
            <v>TRK29890761</v>
          </cell>
          <cell r="K554">
            <v>8</v>
          </cell>
          <cell r="L554" t="str">
            <v>WINTER15</v>
          </cell>
          <cell r="M554" t="str">
            <v>Facebook</v>
          </cell>
          <cell r="N554">
            <v>1700.72</v>
          </cell>
        </row>
        <row r="555">
          <cell r="A555" t="str">
            <v>ORD200553</v>
          </cell>
          <cell r="B555">
            <v>45161</v>
          </cell>
          <cell r="C555" t="str">
            <v>C82550</v>
          </cell>
          <cell r="D555" t="str">
            <v>Phone</v>
          </cell>
          <cell r="E555">
            <v>2</v>
          </cell>
          <cell r="F555">
            <v>333.83</v>
          </cell>
          <cell r="G555" t="str">
            <v>828 Main St</v>
          </cell>
          <cell r="H555" t="str">
            <v>Gift Card</v>
          </cell>
          <cell r="I555" t="str">
            <v>Cancelled</v>
          </cell>
          <cell r="J555" t="str">
            <v>TRK74103758</v>
          </cell>
          <cell r="K555">
            <v>4</v>
          </cell>
          <cell r="L555" t="str">
            <v>FREESHIP</v>
          </cell>
          <cell r="M555" t="str">
            <v>Referral</v>
          </cell>
          <cell r="N555">
            <v>667.66</v>
          </cell>
        </row>
        <row r="556">
          <cell r="A556" t="str">
            <v>ORD200554</v>
          </cell>
          <cell r="B556">
            <v>45807</v>
          </cell>
          <cell r="C556" t="str">
            <v>C61943</v>
          </cell>
          <cell r="D556" t="str">
            <v>Laptop</v>
          </cell>
          <cell r="E556">
            <v>2</v>
          </cell>
          <cell r="F556">
            <v>492.9</v>
          </cell>
          <cell r="G556" t="str">
            <v>610 Main St</v>
          </cell>
          <cell r="H556" t="str">
            <v>Cash</v>
          </cell>
          <cell r="I556" t="str">
            <v>Returned</v>
          </cell>
          <cell r="J556" t="str">
            <v>TRK66126496</v>
          </cell>
          <cell r="K556">
            <v>5</v>
          </cell>
          <cell r="L556" t="str">
            <v>FREESHIP</v>
          </cell>
          <cell r="M556" t="str">
            <v>Instagram</v>
          </cell>
          <cell r="N556">
            <v>985.8</v>
          </cell>
        </row>
        <row r="557">
          <cell r="A557" t="str">
            <v>ORD200555</v>
          </cell>
          <cell r="B557">
            <v>44933</v>
          </cell>
          <cell r="C557" t="str">
            <v>C88933</v>
          </cell>
          <cell r="D557" t="str">
            <v>Tablet</v>
          </cell>
          <cell r="E557">
            <v>1</v>
          </cell>
          <cell r="F557">
            <v>92.04</v>
          </cell>
          <cell r="G557" t="str">
            <v>333 Main St</v>
          </cell>
          <cell r="H557" t="str">
            <v>Cash</v>
          </cell>
          <cell r="I557" t="str">
            <v>Shipped</v>
          </cell>
          <cell r="J557" t="str">
            <v>TRK89306964</v>
          </cell>
          <cell r="K557">
            <v>2</v>
          </cell>
          <cell r="L557" t="str">
            <v>No Coupon</v>
          </cell>
          <cell r="M557" t="str">
            <v>Facebook</v>
          </cell>
          <cell r="N557">
            <v>92.04</v>
          </cell>
        </row>
        <row r="558">
          <cell r="A558" t="str">
            <v>ORD200556</v>
          </cell>
          <cell r="B558">
            <v>44954</v>
          </cell>
          <cell r="C558" t="str">
            <v>C30923</v>
          </cell>
          <cell r="D558" t="str">
            <v>Laptop</v>
          </cell>
          <cell r="E558">
            <v>1</v>
          </cell>
          <cell r="F558">
            <v>654.27</v>
          </cell>
          <cell r="G558" t="str">
            <v>932 Main St</v>
          </cell>
          <cell r="H558" t="str">
            <v>Gift Card</v>
          </cell>
          <cell r="I558" t="str">
            <v>Pending</v>
          </cell>
          <cell r="J558" t="str">
            <v>TRK82609328</v>
          </cell>
          <cell r="K558">
            <v>2</v>
          </cell>
          <cell r="L558" t="str">
            <v>SAVE10</v>
          </cell>
          <cell r="M558" t="str">
            <v>Facebook</v>
          </cell>
          <cell r="N558">
            <v>654.27</v>
          </cell>
        </row>
        <row r="559">
          <cell r="A559" t="str">
            <v>ORD200557</v>
          </cell>
          <cell r="B559">
            <v>45106</v>
          </cell>
          <cell r="C559" t="str">
            <v>C56969</v>
          </cell>
          <cell r="D559" t="str">
            <v>Tablet</v>
          </cell>
          <cell r="E559">
            <v>1</v>
          </cell>
          <cell r="F559">
            <v>56.2</v>
          </cell>
          <cell r="G559" t="str">
            <v>130 Main St</v>
          </cell>
          <cell r="H559" t="str">
            <v>Debit Card</v>
          </cell>
          <cell r="I559" t="str">
            <v>Pending</v>
          </cell>
          <cell r="J559" t="str">
            <v>TRK40719215</v>
          </cell>
          <cell r="K559">
            <v>1</v>
          </cell>
          <cell r="L559" t="str">
            <v>WINTER15</v>
          </cell>
          <cell r="M559" t="str">
            <v>Facebook</v>
          </cell>
          <cell r="N559">
            <v>56.2</v>
          </cell>
        </row>
        <row r="560">
          <cell r="A560" t="str">
            <v>ORD200558</v>
          </cell>
          <cell r="B560">
            <v>45489</v>
          </cell>
          <cell r="C560" t="str">
            <v>C76766</v>
          </cell>
          <cell r="D560" t="str">
            <v>Phone</v>
          </cell>
          <cell r="E560">
            <v>4</v>
          </cell>
          <cell r="F560">
            <v>628.12</v>
          </cell>
          <cell r="G560" t="str">
            <v>485 Main St</v>
          </cell>
          <cell r="H560" t="str">
            <v>Online</v>
          </cell>
          <cell r="I560" t="str">
            <v>Delivered</v>
          </cell>
          <cell r="J560" t="str">
            <v>TRK32052962</v>
          </cell>
          <cell r="K560">
            <v>6</v>
          </cell>
          <cell r="L560" t="str">
            <v>WINTER15</v>
          </cell>
          <cell r="M560" t="str">
            <v>Instagram</v>
          </cell>
          <cell r="N560">
            <v>2512.48</v>
          </cell>
        </row>
        <row r="561">
          <cell r="A561" t="str">
            <v>ORD200559</v>
          </cell>
          <cell r="B561">
            <v>45397</v>
          </cell>
          <cell r="C561" t="str">
            <v>C22981</v>
          </cell>
          <cell r="D561" t="str">
            <v>Desk</v>
          </cell>
          <cell r="E561">
            <v>3</v>
          </cell>
          <cell r="F561">
            <v>157.4</v>
          </cell>
          <cell r="G561" t="str">
            <v>454 Main St</v>
          </cell>
          <cell r="H561" t="str">
            <v>Debit Card</v>
          </cell>
          <cell r="I561" t="str">
            <v>Cancelled</v>
          </cell>
          <cell r="J561" t="str">
            <v>TRK10115285</v>
          </cell>
          <cell r="K561">
            <v>7</v>
          </cell>
          <cell r="L561" t="str">
            <v>WINTER15</v>
          </cell>
          <cell r="M561" t="str">
            <v>Email</v>
          </cell>
          <cell r="N561">
            <v>472.20000000000005</v>
          </cell>
        </row>
        <row r="562">
          <cell r="A562" t="str">
            <v>ORD200560</v>
          </cell>
          <cell r="B562">
            <v>44957</v>
          </cell>
          <cell r="C562" t="str">
            <v>C33634</v>
          </cell>
          <cell r="D562" t="str">
            <v>Monitor</v>
          </cell>
          <cell r="E562">
            <v>4</v>
          </cell>
          <cell r="F562">
            <v>588.85</v>
          </cell>
          <cell r="G562" t="str">
            <v>524 Main St</v>
          </cell>
          <cell r="H562" t="str">
            <v>Gift Card</v>
          </cell>
          <cell r="I562" t="str">
            <v>Pending</v>
          </cell>
          <cell r="J562" t="str">
            <v>TRK93168008</v>
          </cell>
          <cell r="K562">
            <v>7</v>
          </cell>
          <cell r="L562" t="str">
            <v>No Coupon</v>
          </cell>
          <cell r="M562" t="str">
            <v>Email</v>
          </cell>
          <cell r="N562">
            <v>2355.4</v>
          </cell>
        </row>
        <row r="563">
          <cell r="A563" t="str">
            <v>ORD200561</v>
          </cell>
          <cell r="B563">
            <v>44957</v>
          </cell>
          <cell r="C563" t="str">
            <v>C96822</v>
          </cell>
          <cell r="D563" t="str">
            <v>Printer</v>
          </cell>
          <cell r="E563">
            <v>2</v>
          </cell>
          <cell r="F563">
            <v>494.78</v>
          </cell>
          <cell r="G563" t="str">
            <v>198 Main St</v>
          </cell>
          <cell r="H563" t="str">
            <v>Online</v>
          </cell>
          <cell r="I563" t="str">
            <v>Shipped</v>
          </cell>
          <cell r="J563" t="str">
            <v>TRK89180077</v>
          </cell>
          <cell r="K563">
            <v>2</v>
          </cell>
          <cell r="L563" t="str">
            <v>No Coupon</v>
          </cell>
          <cell r="M563" t="str">
            <v>Google</v>
          </cell>
          <cell r="N563">
            <v>989.56</v>
          </cell>
        </row>
        <row r="564">
          <cell r="A564" t="str">
            <v>ORD200562</v>
          </cell>
          <cell r="B564">
            <v>45205</v>
          </cell>
          <cell r="C564" t="str">
            <v>C76675</v>
          </cell>
          <cell r="D564" t="str">
            <v>Laptop</v>
          </cell>
          <cell r="E564">
            <v>3</v>
          </cell>
          <cell r="F564">
            <v>663.93</v>
          </cell>
          <cell r="G564" t="str">
            <v>922 Main St</v>
          </cell>
          <cell r="H564" t="str">
            <v>Gift Card</v>
          </cell>
          <cell r="I564" t="str">
            <v>Returned</v>
          </cell>
          <cell r="J564" t="str">
            <v>TRK28043915</v>
          </cell>
          <cell r="K564">
            <v>6</v>
          </cell>
          <cell r="L564" t="str">
            <v>FREESHIP</v>
          </cell>
          <cell r="M564" t="str">
            <v>Email</v>
          </cell>
          <cell r="N564">
            <v>1991.79</v>
          </cell>
        </row>
        <row r="565">
          <cell r="A565" t="str">
            <v>ORD200563</v>
          </cell>
          <cell r="B565">
            <v>45272</v>
          </cell>
          <cell r="C565" t="str">
            <v>C12039</v>
          </cell>
          <cell r="D565" t="str">
            <v>Laptop</v>
          </cell>
          <cell r="E565">
            <v>1</v>
          </cell>
          <cell r="F565">
            <v>132.68</v>
          </cell>
          <cell r="G565" t="str">
            <v>844 Main St</v>
          </cell>
          <cell r="H565" t="str">
            <v>Debit Card</v>
          </cell>
          <cell r="I565" t="str">
            <v>Returned</v>
          </cell>
          <cell r="J565" t="str">
            <v>TRK68645763</v>
          </cell>
          <cell r="K565">
            <v>1</v>
          </cell>
          <cell r="L565" t="str">
            <v>SAVE10</v>
          </cell>
          <cell r="M565" t="str">
            <v>Referral</v>
          </cell>
          <cell r="N565">
            <v>132.68</v>
          </cell>
        </row>
        <row r="566">
          <cell r="A566" t="str">
            <v>ORD200564</v>
          </cell>
          <cell r="B566">
            <v>45755</v>
          </cell>
          <cell r="C566" t="str">
            <v>C93309</v>
          </cell>
          <cell r="D566" t="str">
            <v>Desk</v>
          </cell>
          <cell r="E566">
            <v>5</v>
          </cell>
          <cell r="F566">
            <v>364.28</v>
          </cell>
          <cell r="G566" t="str">
            <v>734 Main St</v>
          </cell>
          <cell r="H566" t="str">
            <v>Credit Card</v>
          </cell>
          <cell r="I566" t="str">
            <v>Cancelled</v>
          </cell>
          <cell r="J566" t="str">
            <v>TRK99446987</v>
          </cell>
          <cell r="K566">
            <v>5</v>
          </cell>
          <cell r="L566" t="str">
            <v>WINTER15</v>
          </cell>
          <cell r="M566" t="str">
            <v>Google</v>
          </cell>
          <cell r="N566">
            <v>1821.3999999999999</v>
          </cell>
        </row>
        <row r="567">
          <cell r="A567" t="str">
            <v>ORD200565</v>
          </cell>
          <cell r="B567">
            <v>45060</v>
          </cell>
          <cell r="C567" t="str">
            <v>C62042</v>
          </cell>
          <cell r="D567" t="str">
            <v>Tablet</v>
          </cell>
          <cell r="E567">
            <v>5</v>
          </cell>
          <cell r="F567">
            <v>307.98</v>
          </cell>
          <cell r="G567" t="str">
            <v>214 Main St</v>
          </cell>
          <cell r="H567" t="str">
            <v>Online</v>
          </cell>
          <cell r="I567" t="str">
            <v>Pending</v>
          </cell>
          <cell r="J567" t="str">
            <v>TRK42605492</v>
          </cell>
          <cell r="K567">
            <v>10</v>
          </cell>
          <cell r="L567" t="str">
            <v>No Coupon</v>
          </cell>
          <cell r="M567" t="str">
            <v>Facebook</v>
          </cell>
          <cell r="N567">
            <v>1539.9</v>
          </cell>
        </row>
        <row r="568">
          <cell r="A568" t="str">
            <v>ORD200566</v>
          </cell>
          <cell r="B568">
            <v>45400</v>
          </cell>
          <cell r="C568" t="str">
            <v>C83223</v>
          </cell>
          <cell r="D568" t="str">
            <v>Phone</v>
          </cell>
          <cell r="E568">
            <v>4</v>
          </cell>
          <cell r="F568">
            <v>162.71</v>
          </cell>
          <cell r="G568" t="str">
            <v>167 Main St</v>
          </cell>
          <cell r="H568" t="str">
            <v>Cash</v>
          </cell>
          <cell r="I568" t="str">
            <v>Cancelled</v>
          </cell>
          <cell r="J568" t="str">
            <v>TRK54339083</v>
          </cell>
          <cell r="K568">
            <v>7</v>
          </cell>
          <cell r="L568" t="str">
            <v>FREESHIP</v>
          </cell>
          <cell r="M568" t="str">
            <v>Email</v>
          </cell>
          <cell r="N568">
            <v>650.84</v>
          </cell>
        </row>
        <row r="569">
          <cell r="A569" t="str">
            <v>ORD200567</v>
          </cell>
          <cell r="B569">
            <v>45565</v>
          </cell>
          <cell r="C569" t="str">
            <v>C92575</v>
          </cell>
          <cell r="D569" t="str">
            <v>Chair</v>
          </cell>
          <cell r="E569">
            <v>5</v>
          </cell>
          <cell r="F569">
            <v>492.94</v>
          </cell>
          <cell r="G569" t="str">
            <v>153 Main St</v>
          </cell>
          <cell r="H569" t="str">
            <v>Cash</v>
          </cell>
          <cell r="I569" t="str">
            <v>Shipped</v>
          </cell>
          <cell r="J569" t="str">
            <v>TRK53579227</v>
          </cell>
          <cell r="K569">
            <v>10</v>
          </cell>
          <cell r="L569" t="str">
            <v>FREESHIP</v>
          </cell>
          <cell r="M569" t="str">
            <v>Email</v>
          </cell>
          <cell r="N569">
            <v>2464.6999999999998</v>
          </cell>
        </row>
        <row r="570">
          <cell r="A570" t="str">
            <v>ORD200568</v>
          </cell>
          <cell r="B570">
            <v>44995</v>
          </cell>
          <cell r="C570" t="str">
            <v>C29072</v>
          </cell>
          <cell r="D570" t="str">
            <v>Laptop</v>
          </cell>
          <cell r="E570">
            <v>2</v>
          </cell>
          <cell r="F570">
            <v>343.99</v>
          </cell>
          <cell r="G570" t="str">
            <v>312 Main St</v>
          </cell>
          <cell r="H570" t="str">
            <v>Online</v>
          </cell>
          <cell r="I570" t="str">
            <v>Delivered</v>
          </cell>
          <cell r="J570" t="str">
            <v>TRK72334047</v>
          </cell>
          <cell r="K570">
            <v>4</v>
          </cell>
          <cell r="L570" t="str">
            <v>No Coupon</v>
          </cell>
          <cell r="M570" t="str">
            <v>Google</v>
          </cell>
          <cell r="N570">
            <v>687.98</v>
          </cell>
        </row>
        <row r="571">
          <cell r="A571" t="str">
            <v>ORD200569</v>
          </cell>
          <cell r="B571">
            <v>45738</v>
          </cell>
          <cell r="C571" t="str">
            <v>C25783</v>
          </cell>
          <cell r="D571" t="str">
            <v>Desk</v>
          </cell>
          <cell r="E571">
            <v>5</v>
          </cell>
          <cell r="F571">
            <v>250.68</v>
          </cell>
          <cell r="G571" t="str">
            <v>672 Main St</v>
          </cell>
          <cell r="H571" t="str">
            <v>Cash</v>
          </cell>
          <cell r="I571" t="str">
            <v>Shipped</v>
          </cell>
          <cell r="J571" t="str">
            <v>TRK13289741</v>
          </cell>
          <cell r="K571">
            <v>8</v>
          </cell>
          <cell r="L571" t="str">
            <v>SAVE10</v>
          </cell>
          <cell r="M571" t="str">
            <v>Instagram</v>
          </cell>
          <cell r="N571">
            <v>1253.4000000000001</v>
          </cell>
        </row>
        <row r="572">
          <cell r="A572" t="str">
            <v>ORD200570</v>
          </cell>
          <cell r="B572">
            <v>45653</v>
          </cell>
          <cell r="C572" t="str">
            <v>C63727</v>
          </cell>
          <cell r="D572" t="str">
            <v>Desk</v>
          </cell>
          <cell r="E572">
            <v>2</v>
          </cell>
          <cell r="F572">
            <v>362.14</v>
          </cell>
          <cell r="G572" t="str">
            <v>122 Main St</v>
          </cell>
          <cell r="H572" t="str">
            <v>Debit Card</v>
          </cell>
          <cell r="I572" t="str">
            <v>Pending</v>
          </cell>
          <cell r="J572" t="str">
            <v>TRK13611021</v>
          </cell>
          <cell r="K572">
            <v>2</v>
          </cell>
          <cell r="L572" t="str">
            <v>SAVE10</v>
          </cell>
          <cell r="M572" t="str">
            <v>Instagram</v>
          </cell>
          <cell r="N572">
            <v>724.28</v>
          </cell>
        </row>
        <row r="573">
          <cell r="A573" t="str">
            <v>ORD200571</v>
          </cell>
          <cell r="B573">
            <v>45619</v>
          </cell>
          <cell r="C573" t="str">
            <v>C42365</v>
          </cell>
          <cell r="D573" t="str">
            <v>Tablet</v>
          </cell>
          <cell r="E573">
            <v>1</v>
          </cell>
          <cell r="F573">
            <v>214.08</v>
          </cell>
          <cell r="G573" t="str">
            <v>867 Main St</v>
          </cell>
          <cell r="H573" t="str">
            <v>Gift Card</v>
          </cell>
          <cell r="I573" t="str">
            <v>Returned</v>
          </cell>
          <cell r="J573" t="str">
            <v>TRK39563288</v>
          </cell>
          <cell r="K573">
            <v>2</v>
          </cell>
          <cell r="L573" t="str">
            <v>WINTER15</v>
          </cell>
          <cell r="M573" t="str">
            <v>Google</v>
          </cell>
          <cell r="N573">
            <v>214.08</v>
          </cell>
        </row>
        <row r="574">
          <cell r="A574" t="str">
            <v>ORD200572</v>
          </cell>
          <cell r="B574">
            <v>45241</v>
          </cell>
          <cell r="C574" t="str">
            <v>C27438</v>
          </cell>
          <cell r="D574" t="str">
            <v>Printer</v>
          </cell>
          <cell r="E574">
            <v>1</v>
          </cell>
          <cell r="F574">
            <v>70.319999999999993</v>
          </cell>
          <cell r="G574" t="str">
            <v>341 Main St</v>
          </cell>
          <cell r="H574" t="str">
            <v>Cash</v>
          </cell>
          <cell r="I574" t="str">
            <v>Returned</v>
          </cell>
          <cell r="J574" t="str">
            <v>TRK69125497</v>
          </cell>
          <cell r="K574">
            <v>4</v>
          </cell>
          <cell r="L574" t="str">
            <v>WINTER15</v>
          </cell>
          <cell r="M574" t="str">
            <v>Facebook</v>
          </cell>
          <cell r="N574">
            <v>70.319999999999993</v>
          </cell>
        </row>
        <row r="575">
          <cell r="A575" t="str">
            <v>ORD200573</v>
          </cell>
          <cell r="B575">
            <v>44951</v>
          </cell>
          <cell r="C575" t="str">
            <v>C13205</v>
          </cell>
          <cell r="D575" t="str">
            <v>Chair</v>
          </cell>
          <cell r="E575">
            <v>5</v>
          </cell>
          <cell r="F575">
            <v>421.42</v>
          </cell>
          <cell r="G575" t="str">
            <v>522 Main St</v>
          </cell>
          <cell r="H575" t="str">
            <v>Debit Card</v>
          </cell>
          <cell r="I575" t="str">
            <v>Cancelled</v>
          </cell>
          <cell r="J575" t="str">
            <v>TRK30686578</v>
          </cell>
          <cell r="K575">
            <v>7</v>
          </cell>
          <cell r="L575" t="str">
            <v>No Coupon</v>
          </cell>
          <cell r="M575" t="str">
            <v>Instagram</v>
          </cell>
          <cell r="N575">
            <v>2107.1</v>
          </cell>
        </row>
        <row r="576">
          <cell r="A576" t="str">
            <v>ORD200574</v>
          </cell>
          <cell r="B576">
            <v>45315</v>
          </cell>
          <cell r="C576" t="str">
            <v>C29685</v>
          </cell>
          <cell r="D576" t="str">
            <v>Chair</v>
          </cell>
          <cell r="E576">
            <v>5</v>
          </cell>
          <cell r="F576">
            <v>384.69</v>
          </cell>
          <cell r="G576" t="str">
            <v>275 Main St</v>
          </cell>
          <cell r="H576" t="str">
            <v>Credit Card</v>
          </cell>
          <cell r="I576" t="str">
            <v>Pending</v>
          </cell>
          <cell r="J576" t="str">
            <v>TRK97733212</v>
          </cell>
          <cell r="K576">
            <v>6</v>
          </cell>
          <cell r="L576" t="str">
            <v>FREESHIP</v>
          </cell>
          <cell r="M576" t="str">
            <v>Email</v>
          </cell>
          <cell r="N576">
            <v>1923.45</v>
          </cell>
        </row>
        <row r="577">
          <cell r="A577" t="str">
            <v>ORD200575</v>
          </cell>
          <cell r="B577">
            <v>45084</v>
          </cell>
          <cell r="C577" t="str">
            <v>C74005</v>
          </cell>
          <cell r="D577" t="str">
            <v>Chair</v>
          </cell>
          <cell r="E577">
            <v>5</v>
          </cell>
          <cell r="F577">
            <v>448.15</v>
          </cell>
          <cell r="G577" t="str">
            <v>528 Main St</v>
          </cell>
          <cell r="H577" t="str">
            <v>Gift Card</v>
          </cell>
          <cell r="I577" t="str">
            <v>Returned</v>
          </cell>
          <cell r="J577" t="str">
            <v>TRK61640534</v>
          </cell>
          <cell r="K577">
            <v>7</v>
          </cell>
          <cell r="L577" t="str">
            <v>SAVE10</v>
          </cell>
          <cell r="M577" t="str">
            <v>Google</v>
          </cell>
          <cell r="N577">
            <v>2240.75</v>
          </cell>
        </row>
        <row r="578">
          <cell r="A578" t="str">
            <v>ORD200576</v>
          </cell>
          <cell r="B578">
            <v>45441</v>
          </cell>
          <cell r="C578" t="str">
            <v>C14457</v>
          </cell>
          <cell r="D578" t="str">
            <v>Laptop</v>
          </cell>
          <cell r="E578">
            <v>5</v>
          </cell>
          <cell r="F578">
            <v>79.08</v>
          </cell>
          <cell r="G578" t="str">
            <v>747 Main St</v>
          </cell>
          <cell r="H578" t="str">
            <v>Cash</v>
          </cell>
          <cell r="I578" t="str">
            <v>Pending</v>
          </cell>
          <cell r="J578" t="str">
            <v>TRK42517811</v>
          </cell>
          <cell r="K578">
            <v>8</v>
          </cell>
          <cell r="L578" t="str">
            <v>No Coupon</v>
          </cell>
          <cell r="M578" t="str">
            <v>Facebook</v>
          </cell>
          <cell r="N578">
            <v>395.4</v>
          </cell>
        </row>
        <row r="579">
          <cell r="A579" t="str">
            <v>ORD200577</v>
          </cell>
          <cell r="B579">
            <v>44948</v>
          </cell>
          <cell r="C579" t="str">
            <v>C77046</v>
          </cell>
          <cell r="D579" t="str">
            <v>Tablet</v>
          </cell>
          <cell r="E579">
            <v>4</v>
          </cell>
          <cell r="F579">
            <v>185.41</v>
          </cell>
          <cell r="G579" t="str">
            <v>967 Main St</v>
          </cell>
          <cell r="H579" t="str">
            <v>Online</v>
          </cell>
          <cell r="I579" t="str">
            <v>Returned</v>
          </cell>
          <cell r="J579" t="str">
            <v>TRK44401497</v>
          </cell>
          <cell r="K579">
            <v>9</v>
          </cell>
          <cell r="L579" t="str">
            <v>WINTER15</v>
          </cell>
          <cell r="M579" t="str">
            <v>Google</v>
          </cell>
          <cell r="N579">
            <v>741.64</v>
          </cell>
        </row>
        <row r="580">
          <cell r="A580" t="str">
            <v>ORD200578</v>
          </cell>
          <cell r="B580">
            <v>45575</v>
          </cell>
          <cell r="C580" t="str">
            <v>C50415</v>
          </cell>
          <cell r="D580" t="str">
            <v>Monitor</v>
          </cell>
          <cell r="E580">
            <v>5</v>
          </cell>
          <cell r="F580">
            <v>566.07000000000005</v>
          </cell>
          <cell r="G580" t="str">
            <v>587 Main St</v>
          </cell>
          <cell r="H580" t="str">
            <v>Credit Card</v>
          </cell>
          <cell r="I580" t="str">
            <v>Delivered</v>
          </cell>
          <cell r="J580" t="str">
            <v>TRK41345634</v>
          </cell>
          <cell r="K580">
            <v>6</v>
          </cell>
          <cell r="L580" t="str">
            <v>SAVE10</v>
          </cell>
          <cell r="M580" t="str">
            <v>Instagram</v>
          </cell>
          <cell r="N580">
            <v>2830.3500000000004</v>
          </cell>
        </row>
        <row r="581">
          <cell r="A581" t="str">
            <v>ORD200579</v>
          </cell>
          <cell r="B581">
            <v>45081</v>
          </cell>
          <cell r="C581" t="str">
            <v>C73999</v>
          </cell>
          <cell r="D581" t="str">
            <v>Tablet</v>
          </cell>
          <cell r="E581">
            <v>2</v>
          </cell>
          <cell r="F581">
            <v>187.88</v>
          </cell>
          <cell r="G581" t="str">
            <v>413 Main St</v>
          </cell>
          <cell r="H581" t="str">
            <v>Online</v>
          </cell>
          <cell r="I581" t="str">
            <v>Shipped</v>
          </cell>
          <cell r="J581" t="str">
            <v>TRK67919507</v>
          </cell>
          <cell r="K581">
            <v>4</v>
          </cell>
          <cell r="L581" t="str">
            <v>WINTER15</v>
          </cell>
          <cell r="M581" t="str">
            <v>Facebook</v>
          </cell>
          <cell r="N581">
            <v>375.76</v>
          </cell>
        </row>
        <row r="582">
          <cell r="A582" t="str">
            <v>ORD200580</v>
          </cell>
          <cell r="B582">
            <v>45244</v>
          </cell>
          <cell r="C582" t="str">
            <v>C71076</v>
          </cell>
          <cell r="D582" t="str">
            <v>Monitor</v>
          </cell>
          <cell r="E582">
            <v>2</v>
          </cell>
          <cell r="F582">
            <v>255.99</v>
          </cell>
          <cell r="G582" t="str">
            <v>340 Main St</v>
          </cell>
          <cell r="H582" t="str">
            <v>Credit Card</v>
          </cell>
          <cell r="I582" t="str">
            <v>Delivered</v>
          </cell>
          <cell r="J582" t="str">
            <v>TRK65148292</v>
          </cell>
          <cell r="K582">
            <v>4</v>
          </cell>
          <cell r="L582" t="str">
            <v>SAVE10</v>
          </cell>
          <cell r="M582" t="str">
            <v>Instagram</v>
          </cell>
          <cell r="N582">
            <v>511.98</v>
          </cell>
        </row>
        <row r="583">
          <cell r="A583" t="str">
            <v>ORD200581</v>
          </cell>
          <cell r="B583">
            <v>45607</v>
          </cell>
          <cell r="C583" t="str">
            <v>C44674</v>
          </cell>
          <cell r="D583" t="str">
            <v>Laptop</v>
          </cell>
          <cell r="E583">
            <v>1</v>
          </cell>
          <cell r="F583">
            <v>627.34</v>
          </cell>
          <cell r="G583" t="str">
            <v>942 Main St</v>
          </cell>
          <cell r="H583" t="str">
            <v>Online</v>
          </cell>
          <cell r="I583" t="str">
            <v>Delivered</v>
          </cell>
          <cell r="J583" t="str">
            <v>TRK87158684</v>
          </cell>
          <cell r="K583">
            <v>1</v>
          </cell>
          <cell r="L583" t="str">
            <v>No Coupon</v>
          </cell>
          <cell r="M583" t="str">
            <v>Referral</v>
          </cell>
          <cell r="N583">
            <v>627.34</v>
          </cell>
        </row>
        <row r="584">
          <cell r="A584" t="str">
            <v>ORD200582</v>
          </cell>
          <cell r="B584">
            <v>45341</v>
          </cell>
          <cell r="C584" t="str">
            <v>C15228</v>
          </cell>
          <cell r="D584" t="str">
            <v>Tablet</v>
          </cell>
          <cell r="E584">
            <v>3</v>
          </cell>
          <cell r="F584">
            <v>474.14</v>
          </cell>
          <cell r="G584" t="str">
            <v>558 Main St</v>
          </cell>
          <cell r="H584" t="str">
            <v>Gift Card</v>
          </cell>
          <cell r="I584" t="str">
            <v>Shipped</v>
          </cell>
          <cell r="J584" t="str">
            <v>TRK33860620</v>
          </cell>
          <cell r="K584">
            <v>8</v>
          </cell>
          <cell r="L584" t="str">
            <v>WINTER15</v>
          </cell>
          <cell r="M584" t="str">
            <v>Google</v>
          </cell>
          <cell r="N584">
            <v>1422.42</v>
          </cell>
        </row>
        <row r="585">
          <cell r="A585" t="str">
            <v>ORD200583</v>
          </cell>
          <cell r="B585">
            <v>45823</v>
          </cell>
          <cell r="C585" t="str">
            <v>C27072</v>
          </cell>
          <cell r="D585" t="str">
            <v>Chair</v>
          </cell>
          <cell r="E585">
            <v>3</v>
          </cell>
          <cell r="F585">
            <v>154.37</v>
          </cell>
          <cell r="G585" t="str">
            <v>996 Main St</v>
          </cell>
          <cell r="H585" t="str">
            <v>Gift Card</v>
          </cell>
          <cell r="I585" t="str">
            <v>Delivered</v>
          </cell>
          <cell r="J585" t="str">
            <v>TRK29750379</v>
          </cell>
          <cell r="K585">
            <v>4</v>
          </cell>
          <cell r="L585" t="str">
            <v>No Coupon</v>
          </cell>
          <cell r="M585" t="str">
            <v>Instagram</v>
          </cell>
          <cell r="N585">
            <v>463.11</v>
          </cell>
        </row>
        <row r="586">
          <cell r="A586" t="str">
            <v>ORD200584</v>
          </cell>
          <cell r="B586">
            <v>45737</v>
          </cell>
          <cell r="C586" t="str">
            <v>C15257</v>
          </cell>
          <cell r="D586" t="str">
            <v>Chair</v>
          </cell>
          <cell r="E586">
            <v>4</v>
          </cell>
          <cell r="F586">
            <v>145.05000000000001</v>
          </cell>
          <cell r="G586" t="str">
            <v>626 Main St</v>
          </cell>
          <cell r="H586" t="str">
            <v>Online</v>
          </cell>
          <cell r="I586" t="str">
            <v>Delivered</v>
          </cell>
          <cell r="J586" t="str">
            <v>TRK28779938</v>
          </cell>
          <cell r="K586">
            <v>6</v>
          </cell>
          <cell r="L586" t="str">
            <v>SAVE10</v>
          </cell>
          <cell r="M586" t="str">
            <v>Google</v>
          </cell>
          <cell r="N586">
            <v>580.20000000000005</v>
          </cell>
        </row>
        <row r="587">
          <cell r="A587" t="str">
            <v>ORD200585</v>
          </cell>
          <cell r="B587">
            <v>45158</v>
          </cell>
          <cell r="C587" t="str">
            <v>C91486</v>
          </cell>
          <cell r="D587" t="str">
            <v>Tablet</v>
          </cell>
          <cell r="E587">
            <v>4</v>
          </cell>
          <cell r="F587">
            <v>67.08</v>
          </cell>
          <cell r="G587" t="str">
            <v>907 Main St</v>
          </cell>
          <cell r="H587" t="str">
            <v>Cash</v>
          </cell>
          <cell r="I587" t="str">
            <v>Returned</v>
          </cell>
          <cell r="J587" t="str">
            <v>TRK79617136</v>
          </cell>
          <cell r="K587">
            <v>8</v>
          </cell>
          <cell r="L587" t="str">
            <v>WINTER15</v>
          </cell>
          <cell r="M587" t="str">
            <v>Google</v>
          </cell>
          <cell r="N587">
            <v>268.32</v>
          </cell>
        </row>
        <row r="588">
          <cell r="A588" t="str">
            <v>ORD200586</v>
          </cell>
          <cell r="B588">
            <v>45606</v>
          </cell>
          <cell r="C588" t="str">
            <v>C17389</v>
          </cell>
          <cell r="D588" t="str">
            <v>Monitor</v>
          </cell>
          <cell r="E588">
            <v>1</v>
          </cell>
          <cell r="F588">
            <v>522.08000000000004</v>
          </cell>
          <cell r="G588" t="str">
            <v>905 Main St</v>
          </cell>
          <cell r="H588" t="str">
            <v>Gift Card</v>
          </cell>
          <cell r="I588" t="str">
            <v>Returned</v>
          </cell>
          <cell r="J588" t="str">
            <v>TRK98857880</v>
          </cell>
          <cell r="K588">
            <v>5</v>
          </cell>
          <cell r="L588" t="str">
            <v>FREESHIP</v>
          </cell>
          <cell r="M588" t="str">
            <v>Referral</v>
          </cell>
          <cell r="N588">
            <v>522.08000000000004</v>
          </cell>
        </row>
        <row r="589">
          <cell r="A589" t="str">
            <v>ORD200587</v>
          </cell>
          <cell r="B589">
            <v>45089</v>
          </cell>
          <cell r="C589" t="str">
            <v>C18820</v>
          </cell>
          <cell r="D589" t="str">
            <v>Monitor</v>
          </cell>
          <cell r="E589">
            <v>5</v>
          </cell>
          <cell r="F589">
            <v>514.6</v>
          </cell>
          <cell r="G589" t="str">
            <v>347 Main St</v>
          </cell>
          <cell r="H589" t="str">
            <v>Gift Card</v>
          </cell>
          <cell r="I589" t="str">
            <v>Delivered</v>
          </cell>
          <cell r="J589" t="str">
            <v>TRK91547425</v>
          </cell>
          <cell r="K589">
            <v>10</v>
          </cell>
          <cell r="L589" t="str">
            <v>FREESHIP</v>
          </cell>
          <cell r="M589" t="str">
            <v>Instagram</v>
          </cell>
          <cell r="N589">
            <v>2573</v>
          </cell>
        </row>
        <row r="590">
          <cell r="A590" t="str">
            <v>ORD200588</v>
          </cell>
          <cell r="B590">
            <v>45636</v>
          </cell>
          <cell r="C590" t="str">
            <v>C61849</v>
          </cell>
          <cell r="D590" t="str">
            <v>Monitor</v>
          </cell>
          <cell r="E590">
            <v>4</v>
          </cell>
          <cell r="F590">
            <v>577.82000000000005</v>
          </cell>
          <cell r="G590" t="str">
            <v>811 Main St</v>
          </cell>
          <cell r="H590" t="str">
            <v>Credit Card</v>
          </cell>
          <cell r="I590" t="str">
            <v>Delivered</v>
          </cell>
          <cell r="J590" t="str">
            <v>TRK47613918</v>
          </cell>
          <cell r="K590">
            <v>9</v>
          </cell>
          <cell r="L590" t="str">
            <v>No Coupon</v>
          </cell>
          <cell r="M590" t="str">
            <v>Google</v>
          </cell>
          <cell r="N590">
            <v>2311.2800000000002</v>
          </cell>
        </row>
        <row r="591">
          <cell r="A591" t="str">
            <v>ORD200589</v>
          </cell>
          <cell r="B591">
            <v>45698</v>
          </cell>
          <cell r="C591" t="str">
            <v>C84041</v>
          </cell>
          <cell r="D591" t="str">
            <v>Laptop</v>
          </cell>
          <cell r="E591">
            <v>2</v>
          </cell>
          <cell r="F591">
            <v>500.8</v>
          </cell>
          <cell r="G591" t="str">
            <v>900 Main St</v>
          </cell>
          <cell r="H591" t="str">
            <v>Cash</v>
          </cell>
          <cell r="I591" t="str">
            <v>Delivered</v>
          </cell>
          <cell r="J591" t="str">
            <v>TRK84920444</v>
          </cell>
          <cell r="K591">
            <v>3</v>
          </cell>
          <cell r="L591" t="str">
            <v>FREESHIP</v>
          </cell>
          <cell r="M591" t="str">
            <v>Referral</v>
          </cell>
          <cell r="N591">
            <v>1001.6</v>
          </cell>
        </row>
        <row r="592">
          <cell r="A592" t="str">
            <v>ORD200590</v>
          </cell>
          <cell r="B592">
            <v>45179</v>
          </cell>
          <cell r="C592" t="str">
            <v>C55757</v>
          </cell>
          <cell r="D592" t="str">
            <v>Printer</v>
          </cell>
          <cell r="E592">
            <v>2</v>
          </cell>
          <cell r="F592">
            <v>461.13</v>
          </cell>
          <cell r="G592" t="str">
            <v>175 Main St</v>
          </cell>
          <cell r="H592" t="str">
            <v>Gift Card</v>
          </cell>
          <cell r="I592" t="str">
            <v>Returned</v>
          </cell>
          <cell r="J592" t="str">
            <v>TRK27356242</v>
          </cell>
          <cell r="K592">
            <v>4</v>
          </cell>
          <cell r="L592" t="str">
            <v>No Coupon</v>
          </cell>
          <cell r="M592" t="str">
            <v>Email</v>
          </cell>
          <cell r="N592">
            <v>922.26</v>
          </cell>
        </row>
        <row r="593">
          <cell r="A593" t="str">
            <v>ORD200591</v>
          </cell>
          <cell r="B593">
            <v>45614</v>
          </cell>
          <cell r="C593" t="str">
            <v>C18187</v>
          </cell>
          <cell r="D593" t="str">
            <v>Laptop</v>
          </cell>
          <cell r="E593">
            <v>1</v>
          </cell>
          <cell r="F593">
            <v>605.28</v>
          </cell>
          <cell r="G593" t="str">
            <v>470 Main St</v>
          </cell>
          <cell r="H593" t="str">
            <v>Gift Card</v>
          </cell>
          <cell r="I593" t="str">
            <v>Shipped</v>
          </cell>
          <cell r="J593" t="str">
            <v>TRK50528185</v>
          </cell>
          <cell r="K593">
            <v>3</v>
          </cell>
          <cell r="L593" t="str">
            <v>FREESHIP</v>
          </cell>
          <cell r="M593" t="str">
            <v>Referral</v>
          </cell>
          <cell r="N593">
            <v>605.28</v>
          </cell>
        </row>
        <row r="594">
          <cell r="A594" t="str">
            <v>ORD200592</v>
          </cell>
          <cell r="B594">
            <v>45405</v>
          </cell>
          <cell r="C594" t="str">
            <v>C42306</v>
          </cell>
          <cell r="D594" t="str">
            <v>Phone</v>
          </cell>
          <cell r="E594">
            <v>3</v>
          </cell>
          <cell r="F594">
            <v>204.27</v>
          </cell>
          <cell r="G594" t="str">
            <v>938 Main St</v>
          </cell>
          <cell r="H594" t="str">
            <v>Online</v>
          </cell>
          <cell r="I594" t="str">
            <v>Returned</v>
          </cell>
          <cell r="J594" t="str">
            <v>TRK15499648</v>
          </cell>
          <cell r="K594">
            <v>4</v>
          </cell>
          <cell r="L594" t="str">
            <v>No Coupon</v>
          </cell>
          <cell r="M594" t="str">
            <v>Google</v>
          </cell>
          <cell r="N594">
            <v>612.81000000000006</v>
          </cell>
        </row>
        <row r="595">
          <cell r="A595" t="str">
            <v>ORD200593</v>
          </cell>
          <cell r="B595">
            <v>45140</v>
          </cell>
          <cell r="C595" t="str">
            <v>C51024</v>
          </cell>
          <cell r="D595" t="str">
            <v>Monitor</v>
          </cell>
          <cell r="E595">
            <v>1</v>
          </cell>
          <cell r="F595">
            <v>489.8</v>
          </cell>
          <cell r="G595" t="str">
            <v>636 Main St</v>
          </cell>
          <cell r="H595" t="str">
            <v>Gift Card</v>
          </cell>
          <cell r="I595" t="str">
            <v>Shipped</v>
          </cell>
          <cell r="J595" t="str">
            <v>TRK31375086</v>
          </cell>
          <cell r="K595">
            <v>4</v>
          </cell>
          <cell r="L595" t="str">
            <v>FREESHIP</v>
          </cell>
          <cell r="M595" t="str">
            <v>Facebook</v>
          </cell>
          <cell r="N595">
            <v>489.8</v>
          </cell>
        </row>
        <row r="596">
          <cell r="A596" t="str">
            <v>ORD200594</v>
          </cell>
          <cell r="B596">
            <v>45343</v>
          </cell>
          <cell r="C596" t="str">
            <v>C40140</v>
          </cell>
          <cell r="D596" t="str">
            <v>Phone</v>
          </cell>
          <cell r="E596">
            <v>5</v>
          </cell>
          <cell r="F596">
            <v>72.64</v>
          </cell>
          <cell r="G596" t="str">
            <v>598 Main St</v>
          </cell>
          <cell r="H596" t="str">
            <v>Credit Card</v>
          </cell>
          <cell r="I596" t="str">
            <v>Cancelled</v>
          </cell>
          <cell r="J596" t="str">
            <v>TRK12671989</v>
          </cell>
          <cell r="K596">
            <v>7</v>
          </cell>
          <cell r="L596" t="str">
            <v>No Coupon</v>
          </cell>
          <cell r="M596" t="str">
            <v>Email</v>
          </cell>
          <cell r="N596">
            <v>363.2</v>
          </cell>
        </row>
        <row r="597">
          <cell r="A597" t="str">
            <v>ORD200595</v>
          </cell>
          <cell r="B597">
            <v>45667</v>
          </cell>
          <cell r="C597" t="str">
            <v>C72596</v>
          </cell>
          <cell r="D597" t="str">
            <v>Printer</v>
          </cell>
          <cell r="E597">
            <v>2</v>
          </cell>
          <cell r="F597">
            <v>385.16</v>
          </cell>
          <cell r="G597" t="str">
            <v>491 Main St</v>
          </cell>
          <cell r="H597" t="str">
            <v>Online</v>
          </cell>
          <cell r="I597" t="str">
            <v>Pending</v>
          </cell>
          <cell r="J597" t="str">
            <v>TRK83870446</v>
          </cell>
          <cell r="K597">
            <v>7</v>
          </cell>
          <cell r="L597" t="str">
            <v>SAVE10</v>
          </cell>
          <cell r="M597" t="str">
            <v>Email</v>
          </cell>
          <cell r="N597">
            <v>770.32</v>
          </cell>
        </row>
        <row r="598">
          <cell r="A598" t="str">
            <v>ORD200596</v>
          </cell>
          <cell r="B598">
            <v>45089</v>
          </cell>
          <cell r="C598" t="str">
            <v>C91805</v>
          </cell>
          <cell r="D598" t="str">
            <v>Desk</v>
          </cell>
          <cell r="E598">
            <v>3</v>
          </cell>
          <cell r="F598">
            <v>606.41</v>
          </cell>
          <cell r="G598" t="str">
            <v>653 Main St</v>
          </cell>
          <cell r="H598" t="str">
            <v>Debit Card</v>
          </cell>
          <cell r="I598" t="str">
            <v>Returned</v>
          </cell>
          <cell r="J598" t="str">
            <v>TRK34504030</v>
          </cell>
          <cell r="K598">
            <v>7</v>
          </cell>
          <cell r="L598" t="str">
            <v>FREESHIP</v>
          </cell>
          <cell r="M598" t="str">
            <v>Facebook</v>
          </cell>
          <cell r="N598">
            <v>1819.23</v>
          </cell>
        </row>
        <row r="599">
          <cell r="A599" t="str">
            <v>ORD200597</v>
          </cell>
          <cell r="B599">
            <v>45621</v>
          </cell>
          <cell r="C599" t="str">
            <v>C40538</v>
          </cell>
          <cell r="D599" t="str">
            <v>Desk</v>
          </cell>
          <cell r="E599">
            <v>2</v>
          </cell>
          <cell r="F599">
            <v>211.82</v>
          </cell>
          <cell r="G599" t="str">
            <v>700 Main St</v>
          </cell>
          <cell r="H599" t="str">
            <v>Gift Card</v>
          </cell>
          <cell r="I599" t="str">
            <v>Cancelled</v>
          </cell>
          <cell r="J599" t="str">
            <v>TRK29821356</v>
          </cell>
          <cell r="K599">
            <v>4</v>
          </cell>
          <cell r="L599" t="str">
            <v>WINTER15</v>
          </cell>
          <cell r="M599" t="str">
            <v>Email</v>
          </cell>
          <cell r="N599">
            <v>423.64</v>
          </cell>
        </row>
        <row r="600">
          <cell r="A600" t="str">
            <v>ORD200598</v>
          </cell>
          <cell r="B600">
            <v>45408</v>
          </cell>
          <cell r="C600" t="str">
            <v>C60329</v>
          </cell>
          <cell r="D600" t="str">
            <v>Desk</v>
          </cell>
          <cell r="E600">
            <v>5</v>
          </cell>
          <cell r="F600">
            <v>495.35</v>
          </cell>
          <cell r="G600" t="str">
            <v>826 Main St</v>
          </cell>
          <cell r="H600" t="str">
            <v>Credit Card</v>
          </cell>
          <cell r="I600" t="str">
            <v>Pending</v>
          </cell>
          <cell r="J600" t="str">
            <v>TRK59069987</v>
          </cell>
          <cell r="K600">
            <v>5</v>
          </cell>
          <cell r="L600" t="str">
            <v>No Coupon</v>
          </cell>
          <cell r="M600" t="str">
            <v>Facebook</v>
          </cell>
          <cell r="N600">
            <v>2476.75</v>
          </cell>
        </row>
        <row r="601">
          <cell r="A601" t="str">
            <v>ORD200599</v>
          </cell>
          <cell r="B601">
            <v>45107</v>
          </cell>
          <cell r="C601" t="str">
            <v>C28740</v>
          </cell>
          <cell r="D601" t="str">
            <v>Chair</v>
          </cell>
          <cell r="E601">
            <v>3</v>
          </cell>
          <cell r="F601">
            <v>556.99</v>
          </cell>
          <cell r="G601" t="str">
            <v>123 Main St</v>
          </cell>
          <cell r="H601" t="str">
            <v>Online</v>
          </cell>
          <cell r="I601" t="str">
            <v>Cancelled</v>
          </cell>
          <cell r="J601" t="str">
            <v>TRK33642221</v>
          </cell>
          <cell r="K601">
            <v>4</v>
          </cell>
          <cell r="L601" t="str">
            <v>FREESHIP</v>
          </cell>
          <cell r="M601" t="str">
            <v>Facebook</v>
          </cell>
          <cell r="N601">
            <v>1670.97</v>
          </cell>
        </row>
        <row r="602">
          <cell r="A602" t="str">
            <v>ORD200600</v>
          </cell>
          <cell r="B602">
            <v>45072</v>
          </cell>
          <cell r="C602" t="str">
            <v>C87051</v>
          </cell>
          <cell r="D602" t="str">
            <v>Printer</v>
          </cell>
          <cell r="E602">
            <v>1</v>
          </cell>
          <cell r="F602">
            <v>72.31</v>
          </cell>
          <cell r="G602" t="str">
            <v>460 Main St</v>
          </cell>
          <cell r="H602" t="str">
            <v>Gift Card</v>
          </cell>
          <cell r="I602" t="str">
            <v>Cancelled</v>
          </cell>
          <cell r="J602" t="str">
            <v>TRK82056333</v>
          </cell>
          <cell r="K602">
            <v>1</v>
          </cell>
          <cell r="L602" t="str">
            <v>FREESHIP</v>
          </cell>
          <cell r="M602" t="str">
            <v>Facebook</v>
          </cell>
          <cell r="N602">
            <v>72.31</v>
          </cell>
        </row>
        <row r="603">
          <cell r="A603" t="str">
            <v>ORD200601</v>
          </cell>
          <cell r="B603">
            <v>45201</v>
          </cell>
          <cell r="C603" t="str">
            <v>C12479</v>
          </cell>
          <cell r="D603" t="str">
            <v>Monitor</v>
          </cell>
          <cell r="E603">
            <v>5</v>
          </cell>
          <cell r="F603">
            <v>24.82</v>
          </cell>
          <cell r="G603" t="str">
            <v>529 Main St</v>
          </cell>
          <cell r="H603" t="str">
            <v>Credit Card</v>
          </cell>
          <cell r="I603" t="str">
            <v>Shipped</v>
          </cell>
          <cell r="J603" t="str">
            <v>TRK73935314</v>
          </cell>
          <cell r="K603">
            <v>10</v>
          </cell>
          <cell r="L603" t="str">
            <v>No Coupon</v>
          </cell>
          <cell r="M603" t="str">
            <v>Referral</v>
          </cell>
          <cell r="N603">
            <v>124.1</v>
          </cell>
        </row>
        <row r="604">
          <cell r="A604" t="str">
            <v>ORD200602</v>
          </cell>
          <cell r="B604">
            <v>45356</v>
          </cell>
          <cell r="C604" t="str">
            <v>C35852</v>
          </cell>
          <cell r="D604" t="str">
            <v>Tablet</v>
          </cell>
          <cell r="E604">
            <v>4</v>
          </cell>
          <cell r="F604">
            <v>26.04</v>
          </cell>
          <cell r="G604" t="str">
            <v>982 Main St</v>
          </cell>
          <cell r="H604" t="str">
            <v>Online</v>
          </cell>
          <cell r="I604" t="str">
            <v>Pending</v>
          </cell>
          <cell r="J604" t="str">
            <v>TRK64660134</v>
          </cell>
          <cell r="K604">
            <v>5</v>
          </cell>
          <cell r="L604" t="str">
            <v>SAVE10</v>
          </cell>
          <cell r="M604" t="str">
            <v>Instagram</v>
          </cell>
          <cell r="N604">
            <v>104.16</v>
          </cell>
        </row>
        <row r="605">
          <cell r="A605" t="str">
            <v>ORD200603</v>
          </cell>
          <cell r="B605">
            <v>45569</v>
          </cell>
          <cell r="C605" t="str">
            <v>C26223</v>
          </cell>
          <cell r="D605" t="str">
            <v>Tablet</v>
          </cell>
          <cell r="E605">
            <v>1</v>
          </cell>
          <cell r="F605">
            <v>657.07</v>
          </cell>
          <cell r="G605" t="str">
            <v>800 Main St</v>
          </cell>
          <cell r="H605" t="str">
            <v>Cash</v>
          </cell>
          <cell r="I605" t="str">
            <v>Pending</v>
          </cell>
          <cell r="J605" t="str">
            <v>TRK50900547</v>
          </cell>
          <cell r="K605">
            <v>4</v>
          </cell>
          <cell r="L605" t="str">
            <v>SAVE10</v>
          </cell>
          <cell r="M605" t="str">
            <v>Google</v>
          </cell>
          <cell r="N605">
            <v>657.07</v>
          </cell>
        </row>
        <row r="606">
          <cell r="A606" t="str">
            <v>ORD200604</v>
          </cell>
          <cell r="B606">
            <v>45830</v>
          </cell>
          <cell r="C606" t="str">
            <v>C99214</v>
          </cell>
          <cell r="D606" t="str">
            <v>Chair</v>
          </cell>
          <cell r="E606">
            <v>3</v>
          </cell>
          <cell r="F606">
            <v>32.619999999999997</v>
          </cell>
          <cell r="G606" t="str">
            <v>252 Main St</v>
          </cell>
          <cell r="H606" t="str">
            <v>Debit Card</v>
          </cell>
          <cell r="I606" t="str">
            <v>Delivered</v>
          </cell>
          <cell r="J606" t="str">
            <v>TRK81368481</v>
          </cell>
          <cell r="K606">
            <v>6</v>
          </cell>
          <cell r="L606" t="str">
            <v>No Coupon</v>
          </cell>
          <cell r="M606" t="str">
            <v>Facebook</v>
          </cell>
          <cell r="N606">
            <v>97.859999999999985</v>
          </cell>
        </row>
        <row r="607">
          <cell r="A607" t="str">
            <v>ORD200605</v>
          </cell>
          <cell r="B607">
            <v>45422</v>
          </cell>
          <cell r="C607" t="str">
            <v>C49605</v>
          </cell>
          <cell r="D607" t="str">
            <v>Monitor</v>
          </cell>
          <cell r="E607">
            <v>2</v>
          </cell>
          <cell r="F607">
            <v>228.91</v>
          </cell>
          <cell r="G607" t="str">
            <v>892 Main St</v>
          </cell>
          <cell r="H607" t="str">
            <v>Debit Card</v>
          </cell>
          <cell r="I607" t="str">
            <v>Shipped</v>
          </cell>
          <cell r="J607" t="str">
            <v>TRK95620066</v>
          </cell>
          <cell r="K607">
            <v>4</v>
          </cell>
          <cell r="L607" t="str">
            <v>SAVE10</v>
          </cell>
          <cell r="M607" t="str">
            <v>Referral</v>
          </cell>
          <cell r="N607">
            <v>457.82</v>
          </cell>
        </row>
        <row r="608">
          <cell r="A608" t="str">
            <v>ORD200606</v>
          </cell>
          <cell r="B608">
            <v>45602</v>
          </cell>
          <cell r="C608" t="str">
            <v>C85018</v>
          </cell>
          <cell r="D608" t="str">
            <v>Laptop</v>
          </cell>
          <cell r="E608">
            <v>3</v>
          </cell>
          <cell r="F608">
            <v>274.75</v>
          </cell>
          <cell r="G608" t="str">
            <v>783 Main St</v>
          </cell>
          <cell r="H608" t="str">
            <v>Cash</v>
          </cell>
          <cell r="I608" t="str">
            <v>Cancelled</v>
          </cell>
          <cell r="J608" t="str">
            <v>TRK54128886</v>
          </cell>
          <cell r="K608">
            <v>3</v>
          </cell>
          <cell r="L608" t="str">
            <v>SAVE10</v>
          </cell>
          <cell r="M608" t="str">
            <v>Google</v>
          </cell>
          <cell r="N608">
            <v>824.25</v>
          </cell>
        </row>
        <row r="609">
          <cell r="A609" t="str">
            <v>ORD200607</v>
          </cell>
          <cell r="B609">
            <v>45808</v>
          </cell>
          <cell r="C609" t="str">
            <v>C96434</v>
          </cell>
          <cell r="D609" t="str">
            <v>Printer</v>
          </cell>
          <cell r="E609">
            <v>4</v>
          </cell>
          <cell r="F609">
            <v>634.04999999999995</v>
          </cell>
          <cell r="G609" t="str">
            <v>282 Main St</v>
          </cell>
          <cell r="H609" t="str">
            <v>Cash</v>
          </cell>
          <cell r="I609" t="str">
            <v>Shipped</v>
          </cell>
          <cell r="J609" t="str">
            <v>TRK56730647</v>
          </cell>
          <cell r="K609">
            <v>6</v>
          </cell>
          <cell r="L609" t="str">
            <v>SAVE10</v>
          </cell>
          <cell r="M609" t="str">
            <v>Google</v>
          </cell>
          <cell r="N609">
            <v>2536.1999999999998</v>
          </cell>
        </row>
        <row r="610">
          <cell r="A610" t="str">
            <v>ORD200608</v>
          </cell>
          <cell r="B610">
            <v>45497</v>
          </cell>
          <cell r="C610" t="str">
            <v>C32956</v>
          </cell>
          <cell r="D610" t="str">
            <v>Laptop</v>
          </cell>
          <cell r="E610">
            <v>5</v>
          </cell>
          <cell r="F610">
            <v>543.16</v>
          </cell>
          <cell r="G610" t="str">
            <v>788 Main St</v>
          </cell>
          <cell r="H610" t="str">
            <v>Online</v>
          </cell>
          <cell r="I610" t="str">
            <v>Cancelled</v>
          </cell>
          <cell r="J610" t="str">
            <v>TRK73140103</v>
          </cell>
          <cell r="K610">
            <v>6</v>
          </cell>
          <cell r="L610" t="str">
            <v>SAVE10</v>
          </cell>
          <cell r="M610" t="str">
            <v>Instagram</v>
          </cell>
          <cell r="N610">
            <v>2715.7999999999997</v>
          </cell>
        </row>
        <row r="611">
          <cell r="A611" t="str">
            <v>ORD200609</v>
          </cell>
          <cell r="B611">
            <v>45684</v>
          </cell>
          <cell r="C611" t="str">
            <v>C41137</v>
          </cell>
          <cell r="D611" t="str">
            <v>Chair</v>
          </cell>
          <cell r="E611">
            <v>3</v>
          </cell>
          <cell r="F611">
            <v>449.13</v>
          </cell>
          <cell r="G611" t="str">
            <v>809 Main St</v>
          </cell>
          <cell r="H611" t="str">
            <v>Cash</v>
          </cell>
          <cell r="I611" t="str">
            <v>Returned</v>
          </cell>
          <cell r="J611" t="str">
            <v>TRK52732162</v>
          </cell>
          <cell r="K611">
            <v>5</v>
          </cell>
          <cell r="L611" t="str">
            <v>WINTER15</v>
          </cell>
          <cell r="M611" t="str">
            <v>Referral</v>
          </cell>
          <cell r="N611">
            <v>1347.3899999999999</v>
          </cell>
        </row>
        <row r="612">
          <cell r="A612" t="str">
            <v>ORD200610</v>
          </cell>
          <cell r="B612">
            <v>45459</v>
          </cell>
          <cell r="C612" t="str">
            <v>C60361</v>
          </cell>
          <cell r="D612" t="str">
            <v>Desk</v>
          </cell>
          <cell r="E612">
            <v>5</v>
          </cell>
          <cell r="F612">
            <v>389.62</v>
          </cell>
          <cell r="G612" t="str">
            <v>623 Main St</v>
          </cell>
          <cell r="H612" t="str">
            <v>Cash</v>
          </cell>
          <cell r="I612" t="str">
            <v>Returned</v>
          </cell>
          <cell r="J612" t="str">
            <v>TRK83566924</v>
          </cell>
          <cell r="K612">
            <v>7</v>
          </cell>
          <cell r="L612" t="str">
            <v>FREESHIP</v>
          </cell>
          <cell r="M612" t="str">
            <v>Facebook</v>
          </cell>
          <cell r="N612">
            <v>1948.1</v>
          </cell>
        </row>
        <row r="613">
          <cell r="A613" t="str">
            <v>ORD200611</v>
          </cell>
          <cell r="B613">
            <v>45037</v>
          </cell>
          <cell r="C613" t="str">
            <v>C36688</v>
          </cell>
          <cell r="D613" t="str">
            <v>Desk</v>
          </cell>
          <cell r="E613">
            <v>1</v>
          </cell>
          <cell r="F613">
            <v>305.17</v>
          </cell>
          <cell r="G613" t="str">
            <v>700 Main St</v>
          </cell>
          <cell r="H613" t="str">
            <v>Gift Card</v>
          </cell>
          <cell r="I613" t="str">
            <v>Returned</v>
          </cell>
          <cell r="J613" t="str">
            <v>TRK35720426</v>
          </cell>
          <cell r="K613">
            <v>3</v>
          </cell>
          <cell r="L613" t="str">
            <v>WINTER15</v>
          </cell>
          <cell r="M613" t="str">
            <v>Referral</v>
          </cell>
          <cell r="N613">
            <v>305.17</v>
          </cell>
        </row>
        <row r="614">
          <cell r="A614" t="str">
            <v>ORD200612</v>
          </cell>
          <cell r="B614">
            <v>45079</v>
          </cell>
          <cell r="C614" t="str">
            <v>C51811</v>
          </cell>
          <cell r="D614" t="str">
            <v>Chair</v>
          </cell>
          <cell r="E614">
            <v>3</v>
          </cell>
          <cell r="F614">
            <v>445.12</v>
          </cell>
          <cell r="G614" t="str">
            <v>339 Main St</v>
          </cell>
          <cell r="H614" t="str">
            <v>Gift Card</v>
          </cell>
          <cell r="I614" t="str">
            <v>Cancelled</v>
          </cell>
          <cell r="J614" t="str">
            <v>TRK82377939</v>
          </cell>
          <cell r="K614">
            <v>8</v>
          </cell>
          <cell r="L614" t="str">
            <v>No Coupon</v>
          </cell>
          <cell r="M614" t="str">
            <v>Google</v>
          </cell>
          <cell r="N614">
            <v>1335.3600000000001</v>
          </cell>
        </row>
        <row r="615">
          <cell r="A615" t="str">
            <v>ORD200613</v>
          </cell>
          <cell r="B615">
            <v>45645</v>
          </cell>
          <cell r="C615" t="str">
            <v>C62405</v>
          </cell>
          <cell r="D615" t="str">
            <v>Laptop</v>
          </cell>
          <cell r="E615">
            <v>2</v>
          </cell>
          <cell r="F615">
            <v>230.36</v>
          </cell>
          <cell r="G615" t="str">
            <v>154 Main St</v>
          </cell>
          <cell r="H615" t="str">
            <v>Online</v>
          </cell>
          <cell r="I615" t="str">
            <v>Returned</v>
          </cell>
          <cell r="J615" t="str">
            <v>TRK14721763</v>
          </cell>
          <cell r="K615">
            <v>4</v>
          </cell>
          <cell r="L615" t="str">
            <v>WINTER15</v>
          </cell>
          <cell r="M615" t="str">
            <v>Email</v>
          </cell>
          <cell r="N615">
            <v>460.72</v>
          </cell>
        </row>
        <row r="616">
          <cell r="A616" t="str">
            <v>ORD200614</v>
          </cell>
          <cell r="B616">
            <v>45359</v>
          </cell>
          <cell r="C616" t="str">
            <v>C77363</v>
          </cell>
          <cell r="D616" t="str">
            <v>Phone</v>
          </cell>
          <cell r="E616">
            <v>1</v>
          </cell>
          <cell r="F616">
            <v>96.81</v>
          </cell>
          <cell r="G616" t="str">
            <v>807 Main St</v>
          </cell>
          <cell r="H616" t="str">
            <v>Gift Card</v>
          </cell>
          <cell r="I616" t="str">
            <v>Cancelled</v>
          </cell>
          <cell r="J616" t="str">
            <v>TRK12439827</v>
          </cell>
          <cell r="K616">
            <v>3</v>
          </cell>
          <cell r="L616" t="str">
            <v>No Coupon</v>
          </cell>
          <cell r="M616" t="str">
            <v>Referral</v>
          </cell>
          <cell r="N616">
            <v>96.81</v>
          </cell>
        </row>
        <row r="617">
          <cell r="A617" t="str">
            <v>ORD200615</v>
          </cell>
          <cell r="B617">
            <v>45723</v>
          </cell>
          <cell r="C617" t="str">
            <v>C97218</v>
          </cell>
          <cell r="D617" t="str">
            <v>Monitor</v>
          </cell>
          <cell r="E617">
            <v>5</v>
          </cell>
          <cell r="F617">
            <v>460.14</v>
          </cell>
          <cell r="G617" t="str">
            <v>252 Main St</v>
          </cell>
          <cell r="H617" t="str">
            <v>Credit Card</v>
          </cell>
          <cell r="I617" t="str">
            <v>Returned</v>
          </cell>
          <cell r="J617" t="str">
            <v>TRK52632065</v>
          </cell>
          <cell r="K617">
            <v>10</v>
          </cell>
          <cell r="L617" t="str">
            <v>WINTER15</v>
          </cell>
          <cell r="M617" t="str">
            <v>Facebook</v>
          </cell>
          <cell r="N617">
            <v>2300.6999999999998</v>
          </cell>
        </row>
        <row r="618">
          <cell r="A618" t="str">
            <v>ORD200616</v>
          </cell>
          <cell r="B618">
            <v>45582</v>
          </cell>
          <cell r="C618" t="str">
            <v>C43919</v>
          </cell>
          <cell r="D618" t="str">
            <v>Tablet</v>
          </cell>
          <cell r="E618">
            <v>3</v>
          </cell>
          <cell r="F618">
            <v>601.6</v>
          </cell>
          <cell r="G618" t="str">
            <v>984 Main St</v>
          </cell>
          <cell r="H618" t="str">
            <v>Credit Card</v>
          </cell>
          <cell r="I618" t="str">
            <v>Cancelled</v>
          </cell>
          <cell r="J618" t="str">
            <v>TRK73113192</v>
          </cell>
          <cell r="K618">
            <v>7</v>
          </cell>
          <cell r="L618" t="str">
            <v>SAVE10</v>
          </cell>
          <cell r="M618" t="str">
            <v>Facebook</v>
          </cell>
          <cell r="N618">
            <v>1804.8000000000002</v>
          </cell>
        </row>
        <row r="619">
          <cell r="A619" t="str">
            <v>ORD200617</v>
          </cell>
          <cell r="B619">
            <v>45330</v>
          </cell>
          <cell r="C619" t="str">
            <v>C57093</v>
          </cell>
          <cell r="D619" t="str">
            <v>Tablet</v>
          </cell>
          <cell r="E619">
            <v>3</v>
          </cell>
          <cell r="F619">
            <v>184.47</v>
          </cell>
          <cell r="G619" t="str">
            <v>834 Main St</v>
          </cell>
          <cell r="H619" t="str">
            <v>Online</v>
          </cell>
          <cell r="I619" t="str">
            <v>Cancelled</v>
          </cell>
          <cell r="J619" t="str">
            <v>TRK75469057</v>
          </cell>
          <cell r="K619">
            <v>4</v>
          </cell>
          <cell r="L619" t="str">
            <v>No Coupon</v>
          </cell>
          <cell r="M619" t="str">
            <v>Referral</v>
          </cell>
          <cell r="N619">
            <v>553.41</v>
          </cell>
        </row>
        <row r="620">
          <cell r="A620" t="str">
            <v>ORD200618</v>
          </cell>
          <cell r="B620">
            <v>45538</v>
          </cell>
          <cell r="C620" t="str">
            <v>C50565</v>
          </cell>
          <cell r="D620" t="str">
            <v>Tablet</v>
          </cell>
          <cell r="E620">
            <v>1</v>
          </cell>
          <cell r="F620">
            <v>411.34</v>
          </cell>
          <cell r="G620" t="str">
            <v>399 Main St</v>
          </cell>
          <cell r="H620" t="str">
            <v>Debit Card</v>
          </cell>
          <cell r="I620" t="str">
            <v>Returned</v>
          </cell>
          <cell r="J620" t="str">
            <v>TRK97981418</v>
          </cell>
          <cell r="K620">
            <v>5</v>
          </cell>
          <cell r="L620" t="str">
            <v>No Coupon</v>
          </cell>
          <cell r="M620" t="str">
            <v>Instagram</v>
          </cell>
          <cell r="N620">
            <v>411.34</v>
          </cell>
        </row>
        <row r="621">
          <cell r="A621" t="str">
            <v>ORD200619</v>
          </cell>
          <cell r="B621">
            <v>45489</v>
          </cell>
          <cell r="C621" t="str">
            <v>C38845</v>
          </cell>
          <cell r="D621" t="str">
            <v>Laptop</v>
          </cell>
          <cell r="E621">
            <v>1</v>
          </cell>
          <cell r="F621">
            <v>532.89</v>
          </cell>
          <cell r="G621" t="str">
            <v>764 Main St</v>
          </cell>
          <cell r="H621" t="str">
            <v>Gift Card</v>
          </cell>
          <cell r="I621" t="str">
            <v>Pending</v>
          </cell>
          <cell r="J621" t="str">
            <v>TRK47637374</v>
          </cell>
          <cell r="K621">
            <v>2</v>
          </cell>
          <cell r="L621" t="str">
            <v>No Coupon</v>
          </cell>
          <cell r="M621" t="str">
            <v>Referral</v>
          </cell>
          <cell r="N621">
            <v>532.89</v>
          </cell>
        </row>
        <row r="622">
          <cell r="A622" t="str">
            <v>ORD200620</v>
          </cell>
          <cell r="B622">
            <v>45378</v>
          </cell>
          <cell r="C622" t="str">
            <v>C84834</v>
          </cell>
          <cell r="D622" t="str">
            <v>Tablet</v>
          </cell>
          <cell r="E622">
            <v>3</v>
          </cell>
          <cell r="F622">
            <v>136.34</v>
          </cell>
          <cell r="G622" t="str">
            <v>866 Main St</v>
          </cell>
          <cell r="H622" t="str">
            <v>Debit Card</v>
          </cell>
          <cell r="I622" t="str">
            <v>Returned</v>
          </cell>
          <cell r="J622" t="str">
            <v>TRK90136001</v>
          </cell>
          <cell r="K622">
            <v>8</v>
          </cell>
          <cell r="L622" t="str">
            <v>SAVE10</v>
          </cell>
          <cell r="M622" t="str">
            <v>Referral</v>
          </cell>
          <cell r="N622">
            <v>409.02</v>
          </cell>
        </row>
        <row r="623">
          <cell r="A623" t="str">
            <v>ORD200621</v>
          </cell>
          <cell r="B623">
            <v>45221</v>
          </cell>
          <cell r="C623" t="str">
            <v>C37455</v>
          </cell>
          <cell r="D623" t="str">
            <v>Phone</v>
          </cell>
          <cell r="E623">
            <v>5</v>
          </cell>
          <cell r="F623">
            <v>476.01</v>
          </cell>
          <cell r="G623" t="str">
            <v>146 Main St</v>
          </cell>
          <cell r="H623" t="str">
            <v>Credit Card</v>
          </cell>
          <cell r="I623" t="str">
            <v>Delivered</v>
          </cell>
          <cell r="J623" t="str">
            <v>TRK82685594</v>
          </cell>
          <cell r="K623">
            <v>7</v>
          </cell>
          <cell r="L623" t="str">
            <v>WINTER15</v>
          </cell>
          <cell r="M623" t="str">
            <v>Google</v>
          </cell>
          <cell r="N623">
            <v>2380.0500000000002</v>
          </cell>
        </row>
        <row r="624">
          <cell r="A624" t="str">
            <v>ORD200622</v>
          </cell>
          <cell r="B624">
            <v>45598</v>
          </cell>
          <cell r="C624" t="str">
            <v>C27078</v>
          </cell>
          <cell r="D624" t="str">
            <v>Desk</v>
          </cell>
          <cell r="E624">
            <v>5</v>
          </cell>
          <cell r="F624">
            <v>236.38</v>
          </cell>
          <cell r="G624" t="str">
            <v>128 Main St</v>
          </cell>
          <cell r="H624" t="str">
            <v>Credit Card</v>
          </cell>
          <cell r="I624" t="str">
            <v>Returned</v>
          </cell>
          <cell r="J624" t="str">
            <v>TRK89314307</v>
          </cell>
          <cell r="K624">
            <v>7</v>
          </cell>
          <cell r="L624" t="str">
            <v>No Coupon</v>
          </cell>
          <cell r="M624" t="str">
            <v>Facebook</v>
          </cell>
          <cell r="N624">
            <v>1181.9000000000001</v>
          </cell>
        </row>
        <row r="625">
          <cell r="A625" t="str">
            <v>ORD200623</v>
          </cell>
          <cell r="B625">
            <v>45093</v>
          </cell>
          <cell r="C625" t="str">
            <v>C91941</v>
          </cell>
          <cell r="D625" t="str">
            <v>Printer</v>
          </cell>
          <cell r="E625">
            <v>3</v>
          </cell>
          <cell r="F625">
            <v>396</v>
          </cell>
          <cell r="G625" t="str">
            <v>269 Main St</v>
          </cell>
          <cell r="H625" t="str">
            <v>Gift Card</v>
          </cell>
          <cell r="I625" t="str">
            <v>Cancelled</v>
          </cell>
          <cell r="J625" t="str">
            <v>TRK21330732</v>
          </cell>
          <cell r="K625">
            <v>4</v>
          </cell>
          <cell r="L625" t="str">
            <v>FREESHIP</v>
          </cell>
          <cell r="M625" t="str">
            <v>Instagram</v>
          </cell>
          <cell r="N625">
            <v>1188</v>
          </cell>
        </row>
        <row r="626">
          <cell r="A626" t="str">
            <v>ORD200624</v>
          </cell>
          <cell r="B626">
            <v>45307</v>
          </cell>
          <cell r="C626" t="str">
            <v>C25967</v>
          </cell>
          <cell r="D626" t="str">
            <v>Tablet</v>
          </cell>
          <cell r="E626">
            <v>5</v>
          </cell>
          <cell r="F626">
            <v>341.96</v>
          </cell>
          <cell r="G626" t="str">
            <v>747 Main St</v>
          </cell>
          <cell r="H626" t="str">
            <v>Debit Card</v>
          </cell>
          <cell r="I626" t="str">
            <v>Delivered</v>
          </cell>
          <cell r="J626" t="str">
            <v>TRK88559278</v>
          </cell>
          <cell r="K626">
            <v>6</v>
          </cell>
          <cell r="L626" t="str">
            <v>No Coupon</v>
          </cell>
          <cell r="M626" t="str">
            <v>Email</v>
          </cell>
          <cell r="N626">
            <v>1709.8</v>
          </cell>
        </row>
        <row r="627">
          <cell r="A627" t="str">
            <v>ORD200625</v>
          </cell>
          <cell r="B627">
            <v>45193</v>
          </cell>
          <cell r="C627" t="str">
            <v>C22123</v>
          </cell>
          <cell r="D627" t="str">
            <v>Tablet</v>
          </cell>
          <cell r="E627">
            <v>1</v>
          </cell>
          <cell r="F627">
            <v>672.89</v>
          </cell>
          <cell r="G627" t="str">
            <v>519 Main St</v>
          </cell>
          <cell r="H627" t="str">
            <v>Credit Card</v>
          </cell>
          <cell r="I627" t="str">
            <v>Pending</v>
          </cell>
          <cell r="J627" t="str">
            <v>TRK43250279</v>
          </cell>
          <cell r="K627">
            <v>1</v>
          </cell>
          <cell r="L627" t="str">
            <v>WINTER15</v>
          </cell>
          <cell r="M627" t="str">
            <v>Email</v>
          </cell>
          <cell r="N627">
            <v>672.89</v>
          </cell>
        </row>
        <row r="628">
          <cell r="A628" t="str">
            <v>ORD200626</v>
          </cell>
          <cell r="B628">
            <v>45352</v>
          </cell>
          <cell r="C628" t="str">
            <v>C45671</v>
          </cell>
          <cell r="D628" t="str">
            <v>Tablet</v>
          </cell>
          <cell r="E628">
            <v>2</v>
          </cell>
          <cell r="F628">
            <v>657.48</v>
          </cell>
          <cell r="G628" t="str">
            <v>769 Main St</v>
          </cell>
          <cell r="H628" t="str">
            <v>Online</v>
          </cell>
          <cell r="I628" t="str">
            <v>Shipped</v>
          </cell>
          <cell r="J628" t="str">
            <v>TRK18179773</v>
          </cell>
          <cell r="K628">
            <v>5</v>
          </cell>
          <cell r="L628" t="str">
            <v>SAVE10</v>
          </cell>
          <cell r="M628" t="str">
            <v>Referral</v>
          </cell>
          <cell r="N628">
            <v>1314.96</v>
          </cell>
        </row>
        <row r="629">
          <cell r="A629" t="str">
            <v>ORD200627</v>
          </cell>
          <cell r="B629">
            <v>45144</v>
          </cell>
          <cell r="C629" t="str">
            <v>C53334</v>
          </cell>
          <cell r="D629" t="str">
            <v>Chair</v>
          </cell>
          <cell r="E629">
            <v>3</v>
          </cell>
          <cell r="F629">
            <v>498.68</v>
          </cell>
          <cell r="G629" t="str">
            <v>879 Main St</v>
          </cell>
          <cell r="H629" t="str">
            <v>Online</v>
          </cell>
          <cell r="I629" t="str">
            <v>Returned</v>
          </cell>
          <cell r="J629" t="str">
            <v>TRK31724421</v>
          </cell>
          <cell r="K629">
            <v>4</v>
          </cell>
          <cell r="L629" t="str">
            <v>FREESHIP</v>
          </cell>
          <cell r="M629" t="str">
            <v>Email</v>
          </cell>
          <cell r="N629">
            <v>1496.04</v>
          </cell>
        </row>
        <row r="630">
          <cell r="A630" t="str">
            <v>ORD200628</v>
          </cell>
          <cell r="B630">
            <v>45011</v>
          </cell>
          <cell r="C630" t="str">
            <v>C18717</v>
          </cell>
          <cell r="D630" t="str">
            <v>Printer</v>
          </cell>
          <cell r="E630">
            <v>5</v>
          </cell>
          <cell r="F630">
            <v>558.63</v>
          </cell>
          <cell r="G630" t="str">
            <v>861 Main St</v>
          </cell>
          <cell r="H630" t="str">
            <v>Cash</v>
          </cell>
          <cell r="I630" t="str">
            <v>Pending</v>
          </cell>
          <cell r="J630" t="str">
            <v>TRK58568806</v>
          </cell>
          <cell r="K630">
            <v>8</v>
          </cell>
          <cell r="L630" t="str">
            <v>FREESHIP</v>
          </cell>
          <cell r="M630" t="str">
            <v>Referral</v>
          </cell>
          <cell r="N630">
            <v>2793.15</v>
          </cell>
        </row>
        <row r="631">
          <cell r="A631" t="str">
            <v>ORD200629</v>
          </cell>
          <cell r="B631">
            <v>45114</v>
          </cell>
          <cell r="C631" t="str">
            <v>C50137</v>
          </cell>
          <cell r="D631" t="str">
            <v>Phone</v>
          </cell>
          <cell r="E631">
            <v>3</v>
          </cell>
          <cell r="F631">
            <v>19.73</v>
          </cell>
          <cell r="G631" t="str">
            <v>840 Main St</v>
          </cell>
          <cell r="H631" t="str">
            <v>Online</v>
          </cell>
          <cell r="I631" t="str">
            <v>Pending</v>
          </cell>
          <cell r="J631" t="str">
            <v>TRK91836131</v>
          </cell>
          <cell r="K631">
            <v>3</v>
          </cell>
          <cell r="L631" t="str">
            <v>No Coupon</v>
          </cell>
          <cell r="M631" t="str">
            <v>Referral</v>
          </cell>
          <cell r="N631">
            <v>59.19</v>
          </cell>
        </row>
        <row r="632">
          <cell r="A632" t="str">
            <v>ORD200630</v>
          </cell>
          <cell r="B632">
            <v>45100</v>
          </cell>
          <cell r="C632" t="str">
            <v>C51481</v>
          </cell>
          <cell r="D632" t="str">
            <v>Monitor</v>
          </cell>
          <cell r="E632">
            <v>5</v>
          </cell>
          <cell r="F632">
            <v>248.84</v>
          </cell>
          <cell r="G632" t="str">
            <v>140 Main St</v>
          </cell>
          <cell r="H632" t="str">
            <v>Debit Card</v>
          </cell>
          <cell r="I632" t="str">
            <v>Cancelled</v>
          </cell>
          <cell r="J632" t="str">
            <v>TRK33437701</v>
          </cell>
          <cell r="K632">
            <v>10</v>
          </cell>
          <cell r="L632" t="str">
            <v>No Coupon</v>
          </cell>
          <cell r="M632" t="str">
            <v>Instagram</v>
          </cell>
          <cell r="N632">
            <v>1244.2</v>
          </cell>
        </row>
        <row r="633">
          <cell r="A633" t="str">
            <v>ORD200631</v>
          </cell>
          <cell r="B633">
            <v>45535</v>
          </cell>
          <cell r="C633" t="str">
            <v>C99128</v>
          </cell>
          <cell r="D633" t="str">
            <v>Chair</v>
          </cell>
          <cell r="E633">
            <v>3</v>
          </cell>
          <cell r="F633">
            <v>46.11</v>
          </cell>
          <cell r="G633" t="str">
            <v>360 Main St</v>
          </cell>
          <cell r="H633" t="str">
            <v>Gift Card</v>
          </cell>
          <cell r="I633" t="str">
            <v>Returned</v>
          </cell>
          <cell r="J633" t="str">
            <v>TRK32426808</v>
          </cell>
          <cell r="K633">
            <v>5</v>
          </cell>
          <cell r="L633" t="str">
            <v>WINTER15</v>
          </cell>
          <cell r="M633" t="str">
            <v>Referral</v>
          </cell>
          <cell r="N633">
            <v>138.32999999999998</v>
          </cell>
        </row>
        <row r="634">
          <cell r="A634" t="str">
            <v>ORD200632</v>
          </cell>
          <cell r="B634">
            <v>45048</v>
          </cell>
          <cell r="C634" t="str">
            <v>C67260</v>
          </cell>
          <cell r="D634" t="str">
            <v>Laptop</v>
          </cell>
          <cell r="E634">
            <v>5</v>
          </cell>
          <cell r="F634">
            <v>678.16</v>
          </cell>
          <cell r="G634" t="str">
            <v>463 Main St</v>
          </cell>
          <cell r="H634" t="str">
            <v>Gift Card</v>
          </cell>
          <cell r="I634" t="str">
            <v>Delivered</v>
          </cell>
          <cell r="J634" t="str">
            <v>TRK38229104</v>
          </cell>
          <cell r="K634">
            <v>7</v>
          </cell>
          <cell r="L634" t="str">
            <v>WINTER15</v>
          </cell>
          <cell r="M634" t="str">
            <v>Facebook</v>
          </cell>
          <cell r="N634">
            <v>3390.7999999999997</v>
          </cell>
        </row>
        <row r="635">
          <cell r="A635" t="str">
            <v>ORD200633</v>
          </cell>
          <cell r="B635">
            <v>45392</v>
          </cell>
          <cell r="C635" t="str">
            <v>C79533</v>
          </cell>
          <cell r="D635" t="str">
            <v>Laptop</v>
          </cell>
          <cell r="E635">
            <v>5</v>
          </cell>
          <cell r="F635">
            <v>601.72</v>
          </cell>
          <cell r="G635" t="str">
            <v>921 Main St</v>
          </cell>
          <cell r="H635" t="str">
            <v>Gift Card</v>
          </cell>
          <cell r="I635" t="str">
            <v>Cancelled</v>
          </cell>
          <cell r="J635" t="str">
            <v>TRK54711422</v>
          </cell>
          <cell r="K635">
            <v>5</v>
          </cell>
          <cell r="L635" t="str">
            <v>WINTER15</v>
          </cell>
          <cell r="M635" t="str">
            <v>Instagram</v>
          </cell>
          <cell r="N635">
            <v>3008.6000000000004</v>
          </cell>
        </row>
        <row r="636">
          <cell r="A636" t="str">
            <v>ORD200634</v>
          </cell>
          <cell r="B636">
            <v>45407</v>
          </cell>
          <cell r="C636" t="str">
            <v>C66906</v>
          </cell>
          <cell r="D636" t="str">
            <v>Printer</v>
          </cell>
          <cell r="E636">
            <v>2</v>
          </cell>
          <cell r="F636">
            <v>259.32</v>
          </cell>
          <cell r="G636" t="str">
            <v>117 Main St</v>
          </cell>
          <cell r="H636" t="str">
            <v>Gift Card</v>
          </cell>
          <cell r="I636" t="str">
            <v>Delivered</v>
          </cell>
          <cell r="J636" t="str">
            <v>TRK31633755</v>
          </cell>
          <cell r="K636">
            <v>2</v>
          </cell>
          <cell r="L636" t="str">
            <v>WINTER15</v>
          </cell>
          <cell r="M636" t="str">
            <v>Referral</v>
          </cell>
          <cell r="N636">
            <v>518.64</v>
          </cell>
        </row>
        <row r="637">
          <cell r="A637" t="str">
            <v>ORD200635</v>
          </cell>
          <cell r="B637">
            <v>45273</v>
          </cell>
          <cell r="C637" t="str">
            <v>C12818</v>
          </cell>
          <cell r="D637" t="str">
            <v>Chair</v>
          </cell>
          <cell r="E637">
            <v>3</v>
          </cell>
          <cell r="F637">
            <v>63.68</v>
          </cell>
          <cell r="G637" t="str">
            <v>434 Main St</v>
          </cell>
          <cell r="H637" t="str">
            <v>Cash</v>
          </cell>
          <cell r="I637" t="str">
            <v>Returned</v>
          </cell>
          <cell r="J637" t="str">
            <v>TRK40879983</v>
          </cell>
          <cell r="K637">
            <v>6</v>
          </cell>
          <cell r="L637" t="str">
            <v>No Coupon</v>
          </cell>
          <cell r="M637" t="str">
            <v>Facebook</v>
          </cell>
          <cell r="N637">
            <v>191.04</v>
          </cell>
        </row>
        <row r="638">
          <cell r="A638" t="str">
            <v>ORD200636</v>
          </cell>
          <cell r="B638">
            <v>45204</v>
          </cell>
          <cell r="C638" t="str">
            <v>C60384</v>
          </cell>
          <cell r="D638" t="str">
            <v>Laptop</v>
          </cell>
          <cell r="E638">
            <v>4</v>
          </cell>
          <cell r="F638">
            <v>371.07</v>
          </cell>
          <cell r="G638" t="str">
            <v>336 Main St</v>
          </cell>
          <cell r="H638" t="str">
            <v>Cash</v>
          </cell>
          <cell r="I638" t="str">
            <v>Cancelled</v>
          </cell>
          <cell r="J638" t="str">
            <v>TRK92080037</v>
          </cell>
          <cell r="K638">
            <v>7</v>
          </cell>
          <cell r="L638" t="str">
            <v>WINTER15</v>
          </cell>
          <cell r="M638" t="str">
            <v>Facebook</v>
          </cell>
          <cell r="N638">
            <v>1484.28</v>
          </cell>
        </row>
        <row r="639">
          <cell r="A639" t="str">
            <v>ORD200637</v>
          </cell>
          <cell r="B639">
            <v>45564</v>
          </cell>
          <cell r="C639" t="str">
            <v>C92294</v>
          </cell>
          <cell r="D639" t="str">
            <v>Chair</v>
          </cell>
          <cell r="E639">
            <v>4</v>
          </cell>
          <cell r="F639">
            <v>306.35000000000002</v>
          </cell>
          <cell r="G639" t="str">
            <v>784 Main St</v>
          </cell>
          <cell r="H639" t="str">
            <v>Gift Card</v>
          </cell>
          <cell r="I639" t="str">
            <v>Shipped</v>
          </cell>
          <cell r="J639" t="str">
            <v>TRK23585765</v>
          </cell>
          <cell r="K639">
            <v>7</v>
          </cell>
          <cell r="L639" t="str">
            <v>WINTER15</v>
          </cell>
          <cell r="M639" t="str">
            <v>Referral</v>
          </cell>
          <cell r="N639">
            <v>1225.4000000000001</v>
          </cell>
        </row>
        <row r="640">
          <cell r="A640" t="str">
            <v>ORD200638</v>
          </cell>
          <cell r="B640">
            <v>45214</v>
          </cell>
          <cell r="C640" t="str">
            <v>C66840</v>
          </cell>
          <cell r="D640" t="str">
            <v>Tablet</v>
          </cell>
          <cell r="E640">
            <v>4</v>
          </cell>
          <cell r="F640">
            <v>578.27</v>
          </cell>
          <cell r="G640" t="str">
            <v>547 Main St</v>
          </cell>
          <cell r="H640" t="str">
            <v>Online</v>
          </cell>
          <cell r="I640" t="str">
            <v>Delivered</v>
          </cell>
          <cell r="J640" t="str">
            <v>TRK76929637</v>
          </cell>
          <cell r="K640">
            <v>9</v>
          </cell>
          <cell r="L640" t="str">
            <v>WINTER15</v>
          </cell>
          <cell r="M640" t="str">
            <v>Email</v>
          </cell>
          <cell r="N640">
            <v>2313.08</v>
          </cell>
        </row>
        <row r="641">
          <cell r="A641" t="str">
            <v>ORD200639</v>
          </cell>
          <cell r="B641">
            <v>44946</v>
          </cell>
          <cell r="C641" t="str">
            <v>C22534</v>
          </cell>
          <cell r="D641" t="str">
            <v>Chair</v>
          </cell>
          <cell r="E641">
            <v>1</v>
          </cell>
          <cell r="F641">
            <v>529.19000000000005</v>
          </cell>
          <cell r="G641" t="str">
            <v>391 Main St</v>
          </cell>
          <cell r="H641" t="str">
            <v>Cash</v>
          </cell>
          <cell r="I641" t="str">
            <v>Cancelled</v>
          </cell>
          <cell r="J641" t="str">
            <v>TRK17415798</v>
          </cell>
          <cell r="K641">
            <v>5</v>
          </cell>
          <cell r="L641" t="str">
            <v>No Coupon</v>
          </cell>
          <cell r="M641" t="str">
            <v>Referral</v>
          </cell>
          <cell r="N641">
            <v>529.19000000000005</v>
          </cell>
        </row>
        <row r="642">
          <cell r="A642" t="str">
            <v>ORD200640</v>
          </cell>
          <cell r="B642">
            <v>45349</v>
          </cell>
          <cell r="C642" t="str">
            <v>C46509</v>
          </cell>
          <cell r="D642" t="str">
            <v>Chair</v>
          </cell>
          <cell r="E642">
            <v>2</v>
          </cell>
          <cell r="F642">
            <v>587.49</v>
          </cell>
          <cell r="G642" t="str">
            <v>647 Main St</v>
          </cell>
          <cell r="H642" t="str">
            <v>Gift Card</v>
          </cell>
          <cell r="I642" t="str">
            <v>Returned</v>
          </cell>
          <cell r="J642" t="str">
            <v>TRK24241664</v>
          </cell>
          <cell r="K642">
            <v>6</v>
          </cell>
          <cell r="L642" t="str">
            <v>SAVE10</v>
          </cell>
          <cell r="M642" t="str">
            <v>Referral</v>
          </cell>
          <cell r="N642">
            <v>1174.98</v>
          </cell>
        </row>
        <row r="643">
          <cell r="A643" t="str">
            <v>ORD200641</v>
          </cell>
          <cell r="B643">
            <v>45473</v>
          </cell>
          <cell r="C643" t="str">
            <v>C71680</v>
          </cell>
          <cell r="D643" t="str">
            <v>Printer</v>
          </cell>
          <cell r="E643">
            <v>4</v>
          </cell>
          <cell r="F643">
            <v>567.57000000000005</v>
          </cell>
          <cell r="G643" t="str">
            <v>814 Main St</v>
          </cell>
          <cell r="H643" t="str">
            <v>Debit Card</v>
          </cell>
          <cell r="I643" t="str">
            <v>Pending</v>
          </cell>
          <cell r="J643" t="str">
            <v>TRK47386650</v>
          </cell>
          <cell r="K643">
            <v>9</v>
          </cell>
          <cell r="L643" t="str">
            <v>WINTER15</v>
          </cell>
          <cell r="M643" t="str">
            <v>Google</v>
          </cell>
          <cell r="N643">
            <v>2270.2800000000002</v>
          </cell>
        </row>
        <row r="644">
          <cell r="A644" t="str">
            <v>ORD200642</v>
          </cell>
          <cell r="B644">
            <v>45411</v>
          </cell>
          <cell r="C644" t="str">
            <v>C15063</v>
          </cell>
          <cell r="D644" t="str">
            <v>Chair</v>
          </cell>
          <cell r="E644">
            <v>5</v>
          </cell>
          <cell r="F644">
            <v>85.22</v>
          </cell>
          <cell r="G644" t="str">
            <v>527 Main St</v>
          </cell>
          <cell r="H644" t="str">
            <v>Credit Card</v>
          </cell>
          <cell r="I644" t="str">
            <v>Cancelled</v>
          </cell>
          <cell r="J644" t="str">
            <v>TRK10329390</v>
          </cell>
          <cell r="K644">
            <v>7</v>
          </cell>
          <cell r="L644" t="str">
            <v>FREESHIP</v>
          </cell>
          <cell r="M644" t="str">
            <v>Email</v>
          </cell>
          <cell r="N644">
            <v>426.1</v>
          </cell>
        </row>
        <row r="645">
          <cell r="A645" t="str">
            <v>ORD200643</v>
          </cell>
          <cell r="B645">
            <v>45530</v>
          </cell>
          <cell r="C645" t="str">
            <v>C77122</v>
          </cell>
          <cell r="D645" t="str">
            <v>Laptop</v>
          </cell>
          <cell r="E645">
            <v>1</v>
          </cell>
          <cell r="F645">
            <v>438.37</v>
          </cell>
          <cell r="G645" t="str">
            <v>647 Main St</v>
          </cell>
          <cell r="H645" t="str">
            <v>Cash</v>
          </cell>
          <cell r="I645" t="str">
            <v>Cancelled</v>
          </cell>
          <cell r="J645" t="str">
            <v>TRK75814880</v>
          </cell>
          <cell r="K645">
            <v>4</v>
          </cell>
          <cell r="L645" t="str">
            <v>SAVE10</v>
          </cell>
          <cell r="M645" t="str">
            <v>Referral</v>
          </cell>
          <cell r="N645">
            <v>438.37</v>
          </cell>
        </row>
        <row r="646">
          <cell r="A646" t="str">
            <v>ORD200644</v>
          </cell>
          <cell r="B646">
            <v>45245</v>
          </cell>
          <cell r="C646" t="str">
            <v>C86524</v>
          </cell>
          <cell r="D646" t="str">
            <v>Chair</v>
          </cell>
          <cell r="E646">
            <v>2</v>
          </cell>
          <cell r="F646">
            <v>366.23</v>
          </cell>
          <cell r="G646" t="str">
            <v>961 Main St</v>
          </cell>
          <cell r="H646" t="str">
            <v>Cash</v>
          </cell>
          <cell r="I646" t="str">
            <v>Shipped</v>
          </cell>
          <cell r="J646" t="str">
            <v>TRK62490506</v>
          </cell>
          <cell r="K646">
            <v>2</v>
          </cell>
          <cell r="L646" t="str">
            <v>WINTER15</v>
          </cell>
          <cell r="M646" t="str">
            <v>Email</v>
          </cell>
          <cell r="N646">
            <v>732.46</v>
          </cell>
        </row>
        <row r="647">
          <cell r="A647" t="str">
            <v>ORD200645</v>
          </cell>
          <cell r="B647">
            <v>44928</v>
          </cell>
          <cell r="C647" t="str">
            <v>C82990</v>
          </cell>
          <cell r="D647" t="str">
            <v>Laptop</v>
          </cell>
          <cell r="E647">
            <v>2</v>
          </cell>
          <cell r="F647">
            <v>150.05000000000001</v>
          </cell>
          <cell r="G647" t="str">
            <v>727 Main St</v>
          </cell>
          <cell r="H647" t="str">
            <v>Credit Card</v>
          </cell>
          <cell r="I647" t="str">
            <v>Cancelled</v>
          </cell>
          <cell r="J647" t="str">
            <v>TRK68574801</v>
          </cell>
          <cell r="K647">
            <v>4</v>
          </cell>
          <cell r="L647" t="str">
            <v>SAVE10</v>
          </cell>
          <cell r="M647" t="str">
            <v>Facebook</v>
          </cell>
          <cell r="N647">
            <v>300.10000000000002</v>
          </cell>
        </row>
        <row r="648">
          <cell r="A648" t="str">
            <v>ORD200646</v>
          </cell>
          <cell r="B648">
            <v>45226</v>
          </cell>
          <cell r="C648" t="str">
            <v>C98761</v>
          </cell>
          <cell r="D648" t="str">
            <v>Chair</v>
          </cell>
          <cell r="E648">
            <v>4</v>
          </cell>
          <cell r="F648">
            <v>498.51</v>
          </cell>
          <cell r="G648" t="str">
            <v>804 Main St</v>
          </cell>
          <cell r="H648" t="str">
            <v>Debit Card</v>
          </cell>
          <cell r="I648" t="str">
            <v>Shipped</v>
          </cell>
          <cell r="J648" t="str">
            <v>TRK43262630</v>
          </cell>
          <cell r="K648">
            <v>4</v>
          </cell>
          <cell r="L648" t="str">
            <v>SAVE10</v>
          </cell>
          <cell r="M648" t="str">
            <v>Google</v>
          </cell>
          <cell r="N648">
            <v>1994.04</v>
          </cell>
        </row>
        <row r="649">
          <cell r="A649" t="str">
            <v>ORD200647</v>
          </cell>
          <cell r="B649">
            <v>45771</v>
          </cell>
          <cell r="C649" t="str">
            <v>C54409</v>
          </cell>
          <cell r="D649" t="str">
            <v>Desk</v>
          </cell>
          <cell r="E649">
            <v>3</v>
          </cell>
          <cell r="F649">
            <v>339.39</v>
          </cell>
          <cell r="G649" t="str">
            <v>667 Main St</v>
          </cell>
          <cell r="H649" t="str">
            <v>Cash</v>
          </cell>
          <cell r="I649" t="str">
            <v>Returned</v>
          </cell>
          <cell r="J649" t="str">
            <v>TRK67671316</v>
          </cell>
          <cell r="K649">
            <v>7</v>
          </cell>
          <cell r="L649" t="str">
            <v>FREESHIP</v>
          </cell>
          <cell r="M649" t="str">
            <v>Google</v>
          </cell>
          <cell r="N649">
            <v>1018.17</v>
          </cell>
        </row>
        <row r="650">
          <cell r="A650" t="str">
            <v>ORD200648</v>
          </cell>
          <cell r="B650">
            <v>45675</v>
          </cell>
          <cell r="C650" t="str">
            <v>C89674</v>
          </cell>
          <cell r="D650" t="str">
            <v>Monitor</v>
          </cell>
          <cell r="E650">
            <v>2</v>
          </cell>
          <cell r="F650">
            <v>575.83000000000004</v>
          </cell>
          <cell r="G650" t="str">
            <v>182 Main St</v>
          </cell>
          <cell r="H650" t="str">
            <v>Online</v>
          </cell>
          <cell r="I650" t="str">
            <v>Delivered</v>
          </cell>
          <cell r="J650" t="str">
            <v>TRK45902512</v>
          </cell>
          <cell r="K650">
            <v>3</v>
          </cell>
          <cell r="L650" t="str">
            <v>WINTER15</v>
          </cell>
          <cell r="M650" t="str">
            <v>Referral</v>
          </cell>
          <cell r="N650">
            <v>1151.6600000000001</v>
          </cell>
        </row>
        <row r="651">
          <cell r="A651" t="str">
            <v>ORD200649</v>
          </cell>
          <cell r="B651">
            <v>45283</v>
          </cell>
          <cell r="C651" t="str">
            <v>C45899</v>
          </cell>
          <cell r="D651" t="str">
            <v>Monitor</v>
          </cell>
          <cell r="E651">
            <v>2</v>
          </cell>
          <cell r="F651">
            <v>642.98</v>
          </cell>
          <cell r="G651" t="str">
            <v>153 Main St</v>
          </cell>
          <cell r="H651" t="str">
            <v>Debit Card</v>
          </cell>
          <cell r="I651" t="str">
            <v>Returned</v>
          </cell>
          <cell r="J651" t="str">
            <v>TRK32932093</v>
          </cell>
          <cell r="K651">
            <v>7</v>
          </cell>
          <cell r="L651" t="str">
            <v>FREESHIP</v>
          </cell>
          <cell r="M651" t="str">
            <v>Email</v>
          </cell>
          <cell r="N651">
            <v>1285.96</v>
          </cell>
        </row>
        <row r="652">
          <cell r="A652" t="str">
            <v>ORD200650</v>
          </cell>
          <cell r="B652">
            <v>45064</v>
          </cell>
          <cell r="C652" t="str">
            <v>C74499</v>
          </cell>
          <cell r="D652" t="str">
            <v>Desk</v>
          </cell>
          <cell r="E652">
            <v>2</v>
          </cell>
          <cell r="F652">
            <v>372.23</v>
          </cell>
          <cell r="G652" t="str">
            <v>518 Main St</v>
          </cell>
          <cell r="H652" t="str">
            <v>Gift Card</v>
          </cell>
          <cell r="I652" t="str">
            <v>Delivered</v>
          </cell>
          <cell r="J652" t="str">
            <v>TRK93767278</v>
          </cell>
          <cell r="K652">
            <v>7</v>
          </cell>
          <cell r="L652" t="str">
            <v>SAVE10</v>
          </cell>
          <cell r="M652" t="str">
            <v>Email</v>
          </cell>
          <cell r="N652">
            <v>744.46</v>
          </cell>
        </row>
        <row r="653">
          <cell r="A653" t="str">
            <v>ORD200651</v>
          </cell>
          <cell r="B653">
            <v>45608</v>
          </cell>
          <cell r="C653" t="str">
            <v>C81192</v>
          </cell>
          <cell r="D653" t="str">
            <v>Chair</v>
          </cell>
          <cell r="E653">
            <v>3</v>
          </cell>
          <cell r="F653">
            <v>646.34</v>
          </cell>
          <cell r="G653" t="str">
            <v>429 Main St</v>
          </cell>
          <cell r="H653" t="str">
            <v>Debit Card</v>
          </cell>
          <cell r="I653" t="str">
            <v>Pending</v>
          </cell>
          <cell r="J653" t="str">
            <v>TRK76931118</v>
          </cell>
          <cell r="K653">
            <v>5</v>
          </cell>
          <cell r="L653" t="str">
            <v>No Coupon</v>
          </cell>
          <cell r="M653" t="str">
            <v>Google</v>
          </cell>
          <cell r="N653">
            <v>1939.02</v>
          </cell>
        </row>
        <row r="654">
          <cell r="A654" t="str">
            <v>ORD200652</v>
          </cell>
          <cell r="B654">
            <v>45448</v>
          </cell>
          <cell r="C654" t="str">
            <v>C71473</v>
          </cell>
          <cell r="D654" t="str">
            <v>Chair</v>
          </cell>
          <cell r="E654">
            <v>5</v>
          </cell>
          <cell r="F654">
            <v>341.84</v>
          </cell>
          <cell r="G654" t="str">
            <v>328 Main St</v>
          </cell>
          <cell r="H654" t="str">
            <v>Online</v>
          </cell>
          <cell r="I654" t="str">
            <v>Shipped</v>
          </cell>
          <cell r="J654" t="str">
            <v>TRK94857335</v>
          </cell>
          <cell r="K654">
            <v>8</v>
          </cell>
          <cell r="L654" t="str">
            <v>FREESHIP</v>
          </cell>
          <cell r="M654" t="str">
            <v>Instagram</v>
          </cell>
          <cell r="N654">
            <v>1709.1999999999998</v>
          </cell>
        </row>
        <row r="655">
          <cell r="A655" t="str">
            <v>ORD200653</v>
          </cell>
          <cell r="B655">
            <v>45347</v>
          </cell>
          <cell r="C655" t="str">
            <v>C59338</v>
          </cell>
          <cell r="D655" t="str">
            <v>Printer</v>
          </cell>
          <cell r="E655">
            <v>3</v>
          </cell>
          <cell r="F655">
            <v>690.3</v>
          </cell>
          <cell r="G655" t="str">
            <v>747 Main St</v>
          </cell>
          <cell r="H655" t="str">
            <v>Credit Card</v>
          </cell>
          <cell r="I655" t="str">
            <v>Shipped</v>
          </cell>
          <cell r="J655" t="str">
            <v>TRK12902764</v>
          </cell>
          <cell r="K655">
            <v>6</v>
          </cell>
          <cell r="L655" t="str">
            <v>WINTER15</v>
          </cell>
          <cell r="M655" t="str">
            <v>Google</v>
          </cell>
          <cell r="N655">
            <v>2070.8999999999996</v>
          </cell>
        </row>
        <row r="656">
          <cell r="A656" t="str">
            <v>ORD200654</v>
          </cell>
          <cell r="B656">
            <v>45089</v>
          </cell>
          <cell r="C656" t="str">
            <v>C62661</v>
          </cell>
          <cell r="D656" t="str">
            <v>Tablet</v>
          </cell>
          <cell r="E656">
            <v>3</v>
          </cell>
          <cell r="F656">
            <v>382.37</v>
          </cell>
          <cell r="G656" t="str">
            <v>863 Main St</v>
          </cell>
          <cell r="H656" t="str">
            <v>Debit Card</v>
          </cell>
          <cell r="I656" t="str">
            <v>Returned</v>
          </cell>
          <cell r="J656" t="str">
            <v>TRK25748100</v>
          </cell>
          <cell r="K656">
            <v>8</v>
          </cell>
          <cell r="L656" t="str">
            <v>No Coupon</v>
          </cell>
          <cell r="M656" t="str">
            <v>Instagram</v>
          </cell>
          <cell r="N656">
            <v>1147.1100000000001</v>
          </cell>
        </row>
        <row r="657">
          <cell r="A657" t="str">
            <v>ORD200655</v>
          </cell>
          <cell r="B657">
            <v>44999</v>
          </cell>
          <cell r="C657" t="str">
            <v>C22101</v>
          </cell>
          <cell r="D657" t="str">
            <v>Chair</v>
          </cell>
          <cell r="E657">
            <v>2</v>
          </cell>
          <cell r="F657">
            <v>132.6</v>
          </cell>
          <cell r="G657" t="str">
            <v>262 Main St</v>
          </cell>
          <cell r="H657" t="str">
            <v>Debit Card</v>
          </cell>
          <cell r="I657" t="str">
            <v>Cancelled</v>
          </cell>
          <cell r="J657" t="str">
            <v>TRK70711522</v>
          </cell>
          <cell r="K657">
            <v>4</v>
          </cell>
          <cell r="L657" t="str">
            <v>WINTER15</v>
          </cell>
          <cell r="M657" t="str">
            <v>Email</v>
          </cell>
          <cell r="N657">
            <v>265.2</v>
          </cell>
        </row>
        <row r="658">
          <cell r="A658" t="str">
            <v>ORD200656</v>
          </cell>
          <cell r="B658">
            <v>45309</v>
          </cell>
          <cell r="C658" t="str">
            <v>C51404</v>
          </cell>
          <cell r="D658" t="str">
            <v>Monitor</v>
          </cell>
          <cell r="E658">
            <v>2</v>
          </cell>
          <cell r="F658">
            <v>189.06</v>
          </cell>
          <cell r="G658" t="str">
            <v>835 Main St</v>
          </cell>
          <cell r="H658" t="str">
            <v>Gift Card</v>
          </cell>
          <cell r="I658" t="str">
            <v>Shipped</v>
          </cell>
          <cell r="J658" t="str">
            <v>TRK85682500</v>
          </cell>
          <cell r="K658">
            <v>7</v>
          </cell>
          <cell r="L658" t="str">
            <v>SAVE10</v>
          </cell>
          <cell r="M658" t="str">
            <v>Facebook</v>
          </cell>
          <cell r="N658">
            <v>378.12</v>
          </cell>
        </row>
        <row r="659">
          <cell r="A659" t="str">
            <v>ORD200657</v>
          </cell>
          <cell r="B659">
            <v>45284</v>
          </cell>
          <cell r="C659" t="str">
            <v>C19384</v>
          </cell>
          <cell r="D659" t="str">
            <v>Tablet</v>
          </cell>
          <cell r="E659">
            <v>4</v>
          </cell>
          <cell r="F659">
            <v>87.79</v>
          </cell>
          <cell r="G659" t="str">
            <v>532 Main St</v>
          </cell>
          <cell r="H659" t="str">
            <v>Cash</v>
          </cell>
          <cell r="I659" t="str">
            <v>Cancelled</v>
          </cell>
          <cell r="J659" t="str">
            <v>TRK33207064</v>
          </cell>
          <cell r="K659">
            <v>6</v>
          </cell>
          <cell r="L659" t="str">
            <v>FREESHIP</v>
          </cell>
          <cell r="M659" t="str">
            <v>Instagram</v>
          </cell>
          <cell r="N659">
            <v>351.16</v>
          </cell>
        </row>
        <row r="660">
          <cell r="A660" t="str">
            <v>ORD200658</v>
          </cell>
          <cell r="B660">
            <v>45765</v>
          </cell>
          <cell r="C660" t="str">
            <v>C86864</v>
          </cell>
          <cell r="D660" t="str">
            <v>Printer</v>
          </cell>
          <cell r="E660">
            <v>2</v>
          </cell>
          <cell r="F660">
            <v>46.36</v>
          </cell>
          <cell r="G660" t="str">
            <v>670 Main St</v>
          </cell>
          <cell r="H660" t="str">
            <v>Gift Card</v>
          </cell>
          <cell r="I660" t="str">
            <v>Returned</v>
          </cell>
          <cell r="J660" t="str">
            <v>TRK15323191</v>
          </cell>
          <cell r="K660">
            <v>4</v>
          </cell>
          <cell r="L660" t="str">
            <v>SAVE10</v>
          </cell>
          <cell r="M660" t="str">
            <v>Google</v>
          </cell>
          <cell r="N660">
            <v>92.72</v>
          </cell>
        </row>
        <row r="661">
          <cell r="A661" t="str">
            <v>ORD200659</v>
          </cell>
          <cell r="B661">
            <v>45591</v>
          </cell>
          <cell r="C661" t="str">
            <v>C24301</v>
          </cell>
          <cell r="D661" t="str">
            <v>Phone</v>
          </cell>
          <cell r="E661">
            <v>2</v>
          </cell>
          <cell r="F661">
            <v>642.04</v>
          </cell>
          <cell r="G661" t="str">
            <v>964 Main St</v>
          </cell>
          <cell r="H661" t="str">
            <v>Gift Card</v>
          </cell>
          <cell r="I661" t="str">
            <v>Delivered</v>
          </cell>
          <cell r="J661" t="str">
            <v>TRK55000075</v>
          </cell>
          <cell r="K661">
            <v>4</v>
          </cell>
          <cell r="L661" t="str">
            <v>WINTER15</v>
          </cell>
          <cell r="M661" t="str">
            <v>Email</v>
          </cell>
          <cell r="N661">
            <v>1284.08</v>
          </cell>
        </row>
        <row r="662">
          <cell r="A662" t="str">
            <v>ORD200660</v>
          </cell>
          <cell r="B662">
            <v>45584</v>
          </cell>
          <cell r="C662" t="str">
            <v>C43842</v>
          </cell>
          <cell r="D662" t="str">
            <v>Chair</v>
          </cell>
          <cell r="E662">
            <v>2</v>
          </cell>
          <cell r="F662">
            <v>651.57000000000005</v>
          </cell>
          <cell r="G662" t="str">
            <v>933 Main St</v>
          </cell>
          <cell r="H662" t="str">
            <v>Debit Card</v>
          </cell>
          <cell r="I662" t="str">
            <v>Shipped</v>
          </cell>
          <cell r="J662" t="str">
            <v>TRK54084424</v>
          </cell>
          <cell r="K662">
            <v>7</v>
          </cell>
          <cell r="L662" t="str">
            <v>WINTER15</v>
          </cell>
          <cell r="M662" t="str">
            <v>Facebook</v>
          </cell>
          <cell r="N662">
            <v>1303.1400000000001</v>
          </cell>
        </row>
        <row r="663">
          <cell r="A663" t="str">
            <v>ORD200661</v>
          </cell>
          <cell r="B663">
            <v>45716</v>
          </cell>
          <cell r="C663" t="str">
            <v>C63657</v>
          </cell>
          <cell r="D663" t="str">
            <v>Tablet</v>
          </cell>
          <cell r="E663">
            <v>3</v>
          </cell>
          <cell r="F663">
            <v>424.89</v>
          </cell>
          <cell r="G663" t="str">
            <v>116 Main St</v>
          </cell>
          <cell r="H663" t="str">
            <v>Debit Card</v>
          </cell>
          <cell r="I663" t="str">
            <v>Cancelled</v>
          </cell>
          <cell r="J663" t="str">
            <v>TRK86378984</v>
          </cell>
          <cell r="K663">
            <v>6</v>
          </cell>
          <cell r="L663" t="str">
            <v>FREESHIP</v>
          </cell>
          <cell r="M663" t="str">
            <v>Google</v>
          </cell>
          <cell r="N663">
            <v>1274.67</v>
          </cell>
        </row>
        <row r="664">
          <cell r="A664" t="str">
            <v>ORD200662</v>
          </cell>
          <cell r="B664">
            <v>44954</v>
          </cell>
          <cell r="C664" t="str">
            <v>C98332</v>
          </cell>
          <cell r="D664" t="str">
            <v>Laptop</v>
          </cell>
          <cell r="E664">
            <v>3</v>
          </cell>
          <cell r="F664">
            <v>438.89</v>
          </cell>
          <cell r="G664" t="str">
            <v>985 Main St</v>
          </cell>
          <cell r="H664" t="str">
            <v>Cash</v>
          </cell>
          <cell r="I664" t="str">
            <v>Returned</v>
          </cell>
          <cell r="J664" t="str">
            <v>TRK85744797</v>
          </cell>
          <cell r="K664">
            <v>3</v>
          </cell>
          <cell r="L664" t="str">
            <v>No Coupon</v>
          </cell>
          <cell r="M664" t="str">
            <v>Facebook</v>
          </cell>
          <cell r="N664">
            <v>1316.67</v>
          </cell>
        </row>
        <row r="665">
          <cell r="A665" t="str">
            <v>ORD200663</v>
          </cell>
          <cell r="B665">
            <v>45397</v>
          </cell>
          <cell r="C665" t="str">
            <v>C59774</v>
          </cell>
          <cell r="D665" t="str">
            <v>Monitor</v>
          </cell>
          <cell r="E665">
            <v>1</v>
          </cell>
          <cell r="F665">
            <v>72.599999999999994</v>
          </cell>
          <cell r="G665" t="str">
            <v>941 Main St</v>
          </cell>
          <cell r="H665" t="str">
            <v>Debit Card</v>
          </cell>
          <cell r="I665" t="str">
            <v>Cancelled</v>
          </cell>
          <cell r="J665" t="str">
            <v>TRK87635135</v>
          </cell>
          <cell r="K665">
            <v>6</v>
          </cell>
          <cell r="L665" t="str">
            <v>FREESHIP</v>
          </cell>
          <cell r="M665" t="str">
            <v>Instagram</v>
          </cell>
          <cell r="N665">
            <v>72.599999999999994</v>
          </cell>
        </row>
        <row r="666">
          <cell r="A666" t="str">
            <v>ORD200664</v>
          </cell>
          <cell r="B666">
            <v>45645</v>
          </cell>
          <cell r="C666" t="str">
            <v>C14847</v>
          </cell>
          <cell r="D666" t="str">
            <v>Laptop</v>
          </cell>
          <cell r="E666">
            <v>4</v>
          </cell>
          <cell r="F666">
            <v>194.75</v>
          </cell>
          <cell r="G666" t="str">
            <v>188 Main St</v>
          </cell>
          <cell r="H666" t="str">
            <v>Cash</v>
          </cell>
          <cell r="I666" t="str">
            <v>Shipped</v>
          </cell>
          <cell r="J666" t="str">
            <v>TRK46492755</v>
          </cell>
          <cell r="K666">
            <v>5</v>
          </cell>
          <cell r="L666" t="str">
            <v>No Coupon</v>
          </cell>
          <cell r="M666" t="str">
            <v>Facebook</v>
          </cell>
          <cell r="N666">
            <v>779</v>
          </cell>
        </row>
        <row r="667">
          <cell r="A667" t="str">
            <v>ORD200665</v>
          </cell>
          <cell r="B667">
            <v>45048</v>
          </cell>
          <cell r="C667" t="str">
            <v>C83653</v>
          </cell>
          <cell r="D667" t="str">
            <v>Tablet</v>
          </cell>
          <cell r="E667">
            <v>4</v>
          </cell>
          <cell r="F667">
            <v>231.26</v>
          </cell>
          <cell r="G667" t="str">
            <v>253 Main St</v>
          </cell>
          <cell r="H667" t="str">
            <v>Online</v>
          </cell>
          <cell r="I667" t="str">
            <v>Shipped</v>
          </cell>
          <cell r="J667" t="str">
            <v>TRK32619935</v>
          </cell>
          <cell r="K667">
            <v>6</v>
          </cell>
          <cell r="L667" t="str">
            <v>WINTER15</v>
          </cell>
          <cell r="M667" t="str">
            <v>Google</v>
          </cell>
          <cell r="N667">
            <v>925.04</v>
          </cell>
        </row>
        <row r="668">
          <cell r="A668" t="str">
            <v>ORD200666</v>
          </cell>
          <cell r="B668">
            <v>45535</v>
          </cell>
          <cell r="C668" t="str">
            <v>C35711</v>
          </cell>
          <cell r="D668" t="str">
            <v>Monitor</v>
          </cell>
          <cell r="E668">
            <v>4</v>
          </cell>
          <cell r="F668">
            <v>327.12</v>
          </cell>
          <cell r="G668" t="str">
            <v>788 Main St</v>
          </cell>
          <cell r="H668" t="str">
            <v>Credit Card</v>
          </cell>
          <cell r="I668" t="str">
            <v>Cancelled</v>
          </cell>
          <cell r="J668" t="str">
            <v>TRK45281495</v>
          </cell>
          <cell r="K668">
            <v>4</v>
          </cell>
          <cell r="L668" t="str">
            <v>No Coupon</v>
          </cell>
          <cell r="M668" t="str">
            <v>Email</v>
          </cell>
          <cell r="N668">
            <v>1308.48</v>
          </cell>
        </row>
        <row r="669">
          <cell r="A669" t="str">
            <v>ORD200667</v>
          </cell>
          <cell r="B669">
            <v>45049</v>
          </cell>
          <cell r="C669" t="str">
            <v>C10477</v>
          </cell>
          <cell r="D669" t="str">
            <v>Laptop</v>
          </cell>
          <cell r="E669">
            <v>1</v>
          </cell>
          <cell r="F669">
            <v>466.42</v>
          </cell>
          <cell r="G669" t="str">
            <v>172 Main St</v>
          </cell>
          <cell r="H669" t="str">
            <v>Gift Card</v>
          </cell>
          <cell r="I669" t="str">
            <v>Pending</v>
          </cell>
          <cell r="J669" t="str">
            <v>TRK41505339</v>
          </cell>
          <cell r="K669">
            <v>5</v>
          </cell>
          <cell r="L669" t="str">
            <v>SAVE10</v>
          </cell>
          <cell r="M669" t="str">
            <v>Email</v>
          </cell>
          <cell r="N669">
            <v>466.42</v>
          </cell>
        </row>
        <row r="670">
          <cell r="A670" t="str">
            <v>ORD200668</v>
          </cell>
          <cell r="B670">
            <v>45478</v>
          </cell>
          <cell r="C670" t="str">
            <v>C61257</v>
          </cell>
          <cell r="D670" t="str">
            <v>Monitor</v>
          </cell>
          <cell r="E670">
            <v>2</v>
          </cell>
          <cell r="F670">
            <v>253.67</v>
          </cell>
          <cell r="G670" t="str">
            <v>981 Main St</v>
          </cell>
          <cell r="H670" t="str">
            <v>Cash</v>
          </cell>
          <cell r="I670" t="str">
            <v>Returned</v>
          </cell>
          <cell r="J670" t="str">
            <v>TRK25226070</v>
          </cell>
          <cell r="K670">
            <v>3</v>
          </cell>
          <cell r="L670" t="str">
            <v>WINTER15</v>
          </cell>
          <cell r="M670" t="str">
            <v>Facebook</v>
          </cell>
          <cell r="N670">
            <v>507.34</v>
          </cell>
        </row>
        <row r="671">
          <cell r="A671" t="str">
            <v>ORD200669</v>
          </cell>
          <cell r="B671">
            <v>44962</v>
          </cell>
          <cell r="C671" t="str">
            <v>C60547</v>
          </cell>
          <cell r="D671" t="str">
            <v>Desk</v>
          </cell>
          <cell r="E671">
            <v>1</v>
          </cell>
          <cell r="F671">
            <v>257</v>
          </cell>
          <cell r="G671" t="str">
            <v>812 Main St</v>
          </cell>
          <cell r="H671" t="str">
            <v>Debit Card</v>
          </cell>
          <cell r="I671" t="str">
            <v>Cancelled</v>
          </cell>
          <cell r="J671" t="str">
            <v>TRK65694249</v>
          </cell>
          <cell r="K671">
            <v>5</v>
          </cell>
          <cell r="L671" t="str">
            <v>No Coupon</v>
          </cell>
          <cell r="M671" t="str">
            <v>Referral</v>
          </cell>
          <cell r="N671">
            <v>257</v>
          </cell>
        </row>
        <row r="672">
          <cell r="A672" t="str">
            <v>ORD200670</v>
          </cell>
          <cell r="B672">
            <v>45400</v>
          </cell>
          <cell r="C672" t="str">
            <v>C14576</v>
          </cell>
          <cell r="D672" t="str">
            <v>Desk</v>
          </cell>
          <cell r="E672">
            <v>4</v>
          </cell>
          <cell r="F672">
            <v>539.20000000000005</v>
          </cell>
          <cell r="G672" t="str">
            <v>747 Main St</v>
          </cell>
          <cell r="H672" t="str">
            <v>Credit Card</v>
          </cell>
          <cell r="I672" t="str">
            <v>Pending</v>
          </cell>
          <cell r="J672" t="str">
            <v>TRK21637540</v>
          </cell>
          <cell r="K672">
            <v>8</v>
          </cell>
          <cell r="L672" t="str">
            <v>FREESHIP</v>
          </cell>
          <cell r="M672" t="str">
            <v>Google</v>
          </cell>
          <cell r="N672">
            <v>2156.8000000000002</v>
          </cell>
        </row>
        <row r="673">
          <cell r="A673" t="str">
            <v>ORD200671</v>
          </cell>
          <cell r="B673">
            <v>45092</v>
          </cell>
          <cell r="C673" t="str">
            <v>C49282</v>
          </cell>
          <cell r="D673" t="str">
            <v>Chair</v>
          </cell>
          <cell r="E673">
            <v>5</v>
          </cell>
          <cell r="F673">
            <v>50.74</v>
          </cell>
          <cell r="G673" t="str">
            <v>737 Main St</v>
          </cell>
          <cell r="H673" t="str">
            <v>Gift Card</v>
          </cell>
          <cell r="I673" t="str">
            <v>Cancelled</v>
          </cell>
          <cell r="J673" t="str">
            <v>TRK88653901</v>
          </cell>
          <cell r="K673">
            <v>7</v>
          </cell>
          <cell r="L673" t="str">
            <v>WINTER15</v>
          </cell>
          <cell r="M673" t="str">
            <v>Google</v>
          </cell>
          <cell r="N673">
            <v>253.70000000000002</v>
          </cell>
        </row>
        <row r="674">
          <cell r="A674" t="str">
            <v>ORD200672</v>
          </cell>
          <cell r="B674">
            <v>45055</v>
          </cell>
          <cell r="C674" t="str">
            <v>C14017</v>
          </cell>
          <cell r="D674" t="str">
            <v>Phone</v>
          </cell>
          <cell r="E674">
            <v>2</v>
          </cell>
          <cell r="F674">
            <v>624.16</v>
          </cell>
          <cell r="G674" t="str">
            <v>984 Main St</v>
          </cell>
          <cell r="H674" t="str">
            <v>Debit Card</v>
          </cell>
          <cell r="I674" t="str">
            <v>Shipped</v>
          </cell>
          <cell r="J674" t="str">
            <v>TRK71009446</v>
          </cell>
          <cell r="K674">
            <v>2</v>
          </cell>
          <cell r="L674" t="str">
            <v>SAVE10</v>
          </cell>
          <cell r="M674" t="str">
            <v>Instagram</v>
          </cell>
          <cell r="N674">
            <v>1248.32</v>
          </cell>
        </row>
        <row r="675">
          <cell r="A675" t="str">
            <v>ORD200673</v>
          </cell>
          <cell r="B675">
            <v>44978</v>
          </cell>
          <cell r="C675" t="str">
            <v>C46504</v>
          </cell>
          <cell r="D675" t="str">
            <v>Tablet</v>
          </cell>
          <cell r="E675">
            <v>2</v>
          </cell>
          <cell r="F675">
            <v>372.92</v>
          </cell>
          <cell r="G675" t="str">
            <v>131 Main St</v>
          </cell>
          <cell r="H675" t="str">
            <v>Credit Card</v>
          </cell>
          <cell r="I675" t="str">
            <v>Delivered</v>
          </cell>
          <cell r="J675" t="str">
            <v>TRK95024356</v>
          </cell>
          <cell r="K675">
            <v>7</v>
          </cell>
          <cell r="L675" t="str">
            <v>SAVE10</v>
          </cell>
          <cell r="M675" t="str">
            <v>Email</v>
          </cell>
          <cell r="N675">
            <v>745.84</v>
          </cell>
        </row>
        <row r="676">
          <cell r="A676" t="str">
            <v>ORD200674</v>
          </cell>
          <cell r="B676">
            <v>45300</v>
          </cell>
          <cell r="C676" t="str">
            <v>C56928</v>
          </cell>
          <cell r="D676" t="str">
            <v>Laptop</v>
          </cell>
          <cell r="E676">
            <v>4</v>
          </cell>
          <cell r="F676">
            <v>358.75</v>
          </cell>
          <cell r="G676" t="str">
            <v>860 Main St</v>
          </cell>
          <cell r="H676" t="str">
            <v>Gift Card</v>
          </cell>
          <cell r="I676" t="str">
            <v>Delivered</v>
          </cell>
          <cell r="J676" t="str">
            <v>TRK57792939</v>
          </cell>
          <cell r="K676">
            <v>9</v>
          </cell>
          <cell r="L676" t="str">
            <v>SAVE10</v>
          </cell>
          <cell r="M676" t="str">
            <v>Facebook</v>
          </cell>
          <cell r="N676">
            <v>1435</v>
          </cell>
        </row>
        <row r="677">
          <cell r="A677" t="str">
            <v>ORD200675</v>
          </cell>
          <cell r="B677">
            <v>45510</v>
          </cell>
          <cell r="C677" t="str">
            <v>C97749</v>
          </cell>
          <cell r="D677" t="str">
            <v>Desk</v>
          </cell>
          <cell r="E677">
            <v>3</v>
          </cell>
          <cell r="F677">
            <v>342.02</v>
          </cell>
          <cell r="G677" t="str">
            <v>906 Main St</v>
          </cell>
          <cell r="H677" t="str">
            <v>Debit Card</v>
          </cell>
          <cell r="I677" t="str">
            <v>Pending</v>
          </cell>
          <cell r="J677" t="str">
            <v>TRK90233116</v>
          </cell>
          <cell r="K677">
            <v>5</v>
          </cell>
          <cell r="L677" t="str">
            <v>No Coupon</v>
          </cell>
          <cell r="M677" t="str">
            <v>Email</v>
          </cell>
          <cell r="N677">
            <v>1026.06</v>
          </cell>
        </row>
        <row r="678">
          <cell r="A678" t="str">
            <v>ORD200676</v>
          </cell>
          <cell r="B678">
            <v>45831</v>
          </cell>
          <cell r="C678" t="str">
            <v>C90431</v>
          </cell>
          <cell r="D678" t="str">
            <v>Laptop</v>
          </cell>
          <cell r="E678">
            <v>2</v>
          </cell>
          <cell r="F678">
            <v>422.34</v>
          </cell>
          <cell r="G678" t="str">
            <v>985 Main St</v>
          </cell>
          <cell r="H678" t="str">
            <v>Credit Card</v>
          </cell>
          <cell r="I678" t="str">
            <v>Cancelled</v>
          </cell>
          <cell r="J678" t="str">
            <v>TRK44151723</v>
          </cell>
          <cell r="K678">
            <v>4</v>
          </cell>
          <cell r="L678" t="str">
            <v>FREESHIP</v>
          </cell>
          <cell r="M678" t="str">
            <v>Instagram</v>
          </cell>
          <cell r="N678">
            <v>844.68</v>
          </cell>
        </row>
        <row r="679">
          <cell r="A679" t="str">
            <v>ORD200677</v>
          </cell>
          <cell r="B679">
            <v>45750</v>
          </cell>
          <cell r="C679" t="str">
            <v>C56722</v>
          </cell>
          <cell r="D679" t="str">
            <v>Tablet</v>
          </cell>
          <cell r="E679">
            <v>5</v>
          </cell>
          <cell r="F679">
            <v>22.07</v>
          </cell>
          <cell r="G679" t="str">
            <v>179 Main St</v>
          </cell>
          <cell r="H679" t="str">
            <v>Online</v>
          </cell>
          <cell r="I679" t="str">
            <v>Cancelled</v>
          </cell>
          <cell r="J679" t="str">
            <v>TRK78778569</v>
          </cell>
          <cell r="K679">
            <v>7</v>
          </cell>
          <cell r="L679" t="str">
            <v>FREESHIP</v>
          </cell>
          <cell r="M679" t="str">
            <v>Instagram</v>
          </cell>
          <cell r="N679">
            <v>110.35</v>
          </cell>
        </row>
        <row r="680">
          <cell r="A680" t="str">
            <v>ORD200678</v>
          </cell>
          <cell r="B680">
            <v>45620</v>
          </cell>
          <cell r="C680" t="str">
            <v>C40863</v>
          </cell>
          <cell r="D680" t="str">
            <v>Chair</v>
          </cell>
          <cell r="E680">
            <v>3</v>
          </cell>
          <cell r="F680">
            <v>163.13</v>
          </cell>
          <cell r="G680" t="str">
            <v>457 Main St</v>
          </cell>
          <cell r="H680" t="str">
            <v>Gift Card</v>
          </cell>
          <cell r="I680" t="str">
            <v>Shipped</v>
          </cell>
          <cell r="J680" t="str">
            <v>TRK20553345</v>
          </cell>
          <cell r="K680">
            <v>5</v>
          </cell>
          <cell r="L680" t="str">
            <v>WINTER15</v>
          </cell>
          <cell r="M680" t="str">
            <v>Facebook</v>
          </cell>
          <cell r="N680">
            <v>489.39</v>
          </cell>
        </row>
        <row r="681">
          <cell r="A681" t="str">
            <v>ORD200679</v>
          </cell>
          <cell r="B681">
            <v>44959</v>
          </cell>
          <cell r="C681" t="str">
            <v>C40798</v>
          </cell>
          <cell r="D681" t="str">
            <v>Tablet</v>
          </cell>
          <cell r="E681">
            <v>3</v>
          </cell>
          <cell r="F681">
            <v>360.66</v>
          </cell>
          <cell r="G681" t="str">
            <v>304 Main St</v>
          </cell>
          <cell r="H681" t="str">
            <v>Online</v>
          </cell>
          <cell r="I681" t="str">
            <v>Returned</v>
          </cell>
          <cell r="J681" t="str">
            <v>TRK66106697</v>
          </cell>
          <cell r="K681">
            <v>5</v>
          </cell>
          <cell r="L681" t="str">
            <v>FREESHIP</v>
          </cell>
          <cell r="M681" t="str">
            <v>Instagram</v>
          </cell>
          <cell r="N681">
            <v>1081.98</v>
          </cell>
        </row>
        <row r="682">
          <cell r="A682" t="str">
            <v>ORD200680</v>
          </cell>
          <cell r="B682">
            <v>45165</v>
          </cell>
          <cell r="C682" t="str">
            <v>C16702</v>
          </cell>
          <cell r="D682" t="str">
            <v>Monitor</v>
          </cell>
          <cell r="E682">
            <v>3</v>
          </cell>
          <cell r="F682">
            <v>463.39</v>
          </cell>
          <cell r="G682" t="str">
            <v>694 Main St</v>
          </cell>
          <cell r="H682" t="str">
            <v>Credit Card</v>
          </cell>
          <cell r="I682" t="str">
            <v>Returned</v>
          </cell>
          <cell r="J682" t="str">
            <v>TRK16953491</v>
          </cell>
          <cell r="K682">
            <v>3</v>
          </cell>
          <cell r="L682" t="str">
            <v>No Coupon</v>
          </cell>
          <cell r="M682" t="str">
            <v>Facebook</v>
          </cell>
          <cell r="N682">
            <v>1390.17</v>
          </cell>
        </row>
        <row r="683">
          <cell r="A683" t="str">
            <v>ORD200681</v>
          </cell>
          <cell r="B683">
            <v>45321</v>
          </cell>
          <cell r="C683" t="str">
            <v>C38262</v>
          </cell>
          <cell r="D683" t="str">
            <v>Tablet</v>
          </cell>
          <cell r="E683">
            <v>1</v>
          </cell>
          <cell r="F683">
            <v>155.27000000000001</v>
          </cell>
          <cell r="G683" t="str">
            <v>548 Main St</v>
          </cell>
          <cell r="H683" t="str">
            <v>Debit Card</v>
          </cell>
          <cell r="I683" t="str">
            <v>Shipped</v>
          </cell>
          <cell r="J683" t="str">
            <v>TRK47300502</v>
          </cell>
          <cell r="K683">
            <v>6</v>
          </cell>
          <cell r="L683" t="str">
            <v>No Coupon</v>
          </cell>
          <cell r="M683" t="str">
            <v>Email</v>
          </cell>
          <cell r="N683">
            <v>155.27000000000001</v>
          </cell>
        </row>
        <row r="684">
          <cell r="A684" t="str">
            <v>ORD200682</v>
          </cell>
          <cell r="B684">
            <v>45130</v>
          </cell>
          <cell r="C684" t="str">
            <v>C50274</v>
          </cell>
          <cell r="D684" t="str">
            <v>Monitor</v>
          </cell>
          <cell r="E684">
            <v>3</v>
          </cell>
          <cell r="F684">
            <v>509.42</v>
          </cell>
          <cell r="G684" t="str">
            <v>449 Main St</v>
          </cell>
          <cell r="H684" t="str">
            <v>Credit Card</v>
          </cell>
          <cell r="I684" t="str">
            <v>Cancelled</v>
          </cell>
          <cell r="J684" t="str">
            <v>TRK91729086</v>
          </cell>
          <cell r="K684">
            <v>5</v>
          </cell>
          <cell r="L684" t="str">
            <v>FREESHIP</v>
          </cell>
          <cell r="M684" t="str">
            <v>Google</v>
          </cell>
          <cell r="N684">
            <v>1528.26</v>
          </cell>
        </row>
        <row r="685">
          <cell r="A685" t="str">
            <v>ORD200683</v>
          </cell>
          <cell r="B685">
            <v>45795</v>
          </cell>
          <cell r="C685" t="str">
            <v>C91591</v>
          </cell>
          <cell r="D685" t="str">
            <v>Desk</v>
          </cell>
          <cell r="E685">
            <v>4</v>
          </cell>
          <cell r="F685">
            <v>652.48</v>
          </cell>
          <cell r="G685" t="str">
            <v>887 Main St</v>
          </cell>
          <cell r="H685" t="str">
            <v>Cash</v>
          </cell>
          <cell r="I685" t="str">
            <v>Pending</v>
          </cell>
          <cell r="J685" t="str">
            <v>TRK23554043</v>
          </cell>
          <cell r="K685">
            <v>5</v>
          </cell>
          <cell r="L685" t="str">
            <v>FREESHIP</v>
          </cell>
          <cell r="M685" t="str">
            <v>Instagram</v>
          </cell>
          <cell r="N685">
            <v>2609.92</v>
          </cell>
        </row>
        <row r="686">
          <cell r="A686" t="str">
            <v>ORD200684</v>
          </cell>
          <cell r="B686">
            <v>45557</v>
          </cell>
          <cell r="C686" t="str">
            <v>C96583</v>
          </cell>
          <cell r="D686" t="str">
            <v>Printer</v>
          </cell>
          <cell r="E686">
            <v>4</v>
          </cell>
          <cell r="F686">
            <v>34.840000000000003</v>
          </cell>
          <cell r="G686" t="str">
            <v>288 Main St</v>
          </cell>
          <cell r="H686" t="str">
            <v>Credit Card</v>
          </cell>
          <cell r="I686" t="str">
            <v>Shipped</v>
          </cell>
          <cell r="J686" t="str">
            <v>TRK64353241</v>
          </cell>
          <cell r="K686">
            <v>8</v>
          </cell>
          <cell r="L686" t="str">
            <v>No Coupon</v>
          </cell>
          <cell r="M686" t="str">
            <v>Email</v>
          </cell>
          <cell r="N686">
            <v>139.36000000000001</v>
          </cell>
        </row>
        <row r="687">
          <cell r="A687" t="str">
            <v>ORD200685</v>
          </cell>
          <cell r="B687">
            <v>45695</v>
          </cell>
          <cell r="C687" t="str">
            <v>C64579</v>
          </cell>
          <cell r="D687" t="str">
            <v>Desk</v>
          </cell>
          <cell r="E687">
            <v>1</v>
          </cell>
          <cell r="F687">
            <v>234.37</v>
          </cell>
          <cell r="G687" t="str">
            <v>638 Main St</v>
          </cell>
          <cell r="H687" t="str">
            <v>Debit Card</v>
          </cell>
          <cell r="I687" t="str">
            <v>Shipped</v>
          </cell>
          <cell r="J687" t="str">
            <v>TRK10276565</v>
          </cell>
          <cell r="K687">
            <v>5</v>
          </cell>
          <cell r="L687" t="str">
            <v>FREESHIP</v>
          </cell>
          <cell r="M687" t="str">
            <v>Email</v>
          </cell>
          <cell r="N687">
            <v>234.37</v>
          </cell>
        </row>
        <row r="688">
          <cell r="A688" t="str">
            <v>ORD200686</v>
          </cell>
          <cell r="B688">
            <v>45208</v>
          </cell>
          <cell r="C688" t="str">
            <v>C41903</v>
          </cell>
          <cell r="D688" t="str">
            <v>Desk</v>
          </cell>
          <cell r="E688">
            <v>3</v>
          </cell>
          <cell r="F688">
            <v>53.6</v>
          </cell>
          <cell r="G688" t="str">
            <v>525 Main St</v>
          </cell>
          <cell r="H688" t="str">
            <v>Cash</v>
          </cell>
          <cell r="I688" t="str">
            <v>Pending</v>
          </cell>
          <cell r="J688" t="str">
            <v>TRK59112382</v>
          </cell>
          <cell r="K688">
            <v>4</v>
          </cell>
          <cell r="L688" t="str">
            <v>WINTER15</v>
          </cell>
          <cell r="M688" t="str">
            <v>Facebook</v>
          </cell>
          <cell r="N688">
            <v>160.80000000000001</v>
          </cell>
        </row>
        <row r="689">
          <cell r="A689" t="str">
            <v>ORD200687</v>
          </cell>
          <cell r="B689">
            <v>45182</v>
          </cell>
          <cell r="C689" t="str">
            <v>C19742</v>
          </cell>
          <cell r="D689" t="str">
            <v>Tablet</v>
          </cell>
          <cell r="E689">
            <v>1</v>
          </cell>
          <cell r="F689">
            <v>332.09</v>
          </cell>
          <cell r="G689" t="str">
            <v>408 Main St</v>
          </cell>
          <cell r="H689" t="str">
            <v>Gift Card</v>
          </cell>
          <cell r="I689" t="str">
            <v>Returned</v>
          </cell>
          <cell r="J689" t="str">
            <v>TRK68845230</v>
          </cell>
          <cell r="K689">
            <v>5</v>
          </cell>
          <cell r="L689" t="str">
            <v>FREESHIP</v>
          </cell>
          <cell r="M689" t="str">
            <v>Instagram</v>
          </cell>
          <cell r="N689">
            <v>332.09</v>
          </cell>
        </row>
        <row r="690">
          <cell r="A690" t="str">
            <v>ORD200688</v>
          </cell>
          <cell r="B690">
            <v>45357</v>
          </cell>
          <cell r="C690" t="str">
            <v>C20077</v>
          </cell>
          <cell r="D690" t="str">
            <v>Monitor</v>
          </cell>
          <cell r="E690">
            <v>4</v>
          </cell>
          <cell r="F690">
            <v>593.22</v>
          </cell>
          <cell r="G690" t="str">
            <v>154 Main St</v>
          </cell>
          <cell r="H690" t="str">
            <v>Credit Card</v>
          </cell>
          <cell r="I690" t="str">
            <v>Cancelled</v>
          </cell>
          <cell r="J690" t="str">
            <v>TRK36415742</v>
          </cell>
          <cell r="K690">
            <v>8</v>
          </cell>
          <cell r="L690" t="str">
            <v>WINTER15</v>
          </cell>
          <cell r="M690" t="str">
            <v>Facebook</v>
          </cell>
          <cell r="N690">
            <v>2372.88</v>
          </cell>
        </row>
        <row r="691">
          <cell r="A691" t="str">
            <v>ORD200689</v>
          </cell>
          <cell r="B691">
            <v>45167</v>
          </cell>
          <cell r="C691" t="str">
            <v>C13186</v>
          </cell>
          <cell r="D691" t="str">
            <v>Tablet</v>
          </cell>
          <cell r="E691">
            <v>2</v>
          </cell>
          <cell r="F691">
            <v>444.84</v>
          </cell>
          <cell r="G691" t="str">
            <v>787 Main St</v>
          </cell>
          <cell r="H691" t="str">
            <v>Online</v>
          </cell>
          <cell r="I691" t="str">
            <v>Shipped</v>
          </cell>
          <cell r="J691" t="str">
            <v>TRK56967415</v>
          </cell>
          <cell r="K691">
            <v>7</v>
          </cell>
          <cell r="L691" t="str">
            <v>No Coupon</v>
          </cell>
          <cell r="M691" t="str">
            <v>Facebook</v>
          </cell>
          <cell r="N691">
            <v>889.68</v>
          </cell>
        </row>
        <row r="692">
          <cell r="A692" t="str">
            <v>ORD200690</v>
          </cell>
          <cell r="B692">
            <v>45485</v>
          </cell>
          <cell r="C692" t="str">
            <v>C29318</v>
          </cell>
          <cell r="D692" t="str">
            <v>Monitor</v>
          </cell>
          <cell r="E692">
            <v>1</v>
          </cell>
          <cell r="F692">
            <v>24.48</v>
          </cell>
          <cell r="G692" t="str">
            <v>128 Main St</v>
          </cell>
          <cell r="H692" t="str">
            <v>Gift Card</v>
          </cell>
          <cell r="I692" t="str">
            <v>Returned</v>
          </cell>
          <cell r="J692" t="str">
            <v>TRK88666721</v>
          </cell>
          <cell r="K692">
            <v>1</v>
          </cell>
          <cell r="L692" t="str">
            <v>No Coupon</v>
          </cell>
          <cell r="M692" t="str">
            <v>Instagram</v>
          </cell>
          <cell r="N692">
            <v>24.48</v>
          </cell>
        </row>
        <row r="693">
          <cell r="A693" t="str">
            <v>ORD200691</v>
          </cell>
          <cell r="B693">
            <v>45620</v>
          </cell>
          <cell r="C693" t="str">
            <v>C36137</v>
          </cell>
          <cell r="D693" t="str">
            <v>Laptop</v>
          </cell>
          <cell r="E693">
            <v>3</v>
          </cell>
          <cell r="F693">
            <v>239.08</v>
          </cell>
          <cell r="G693" t="str">
            <v>396 Main St</v>
          </cell>
          <cell r="H693" t="str">
            <v>Cash</v>
          </cell>
          <cell r="I693" t="str">
            <v>Shipped</v>
          </cell>
          <cell r="J693" t="str">
            <v>TRK57376416</v>
          </cell>
          <cell r="K693">
            <v>8</v>
          </cell>
          <cell r="L693" t="str">
            <v>No Coupon</v>
          </cell>
          <cell r="M693" t="str">
            <v>Google</v>
          </cell>
          <cell r="N693">
            <v>717.24</v>
          </cell>
        </row>
        <row r="694">
          <cell r="A694" t="str">
            <v>ORD200692</v>
          </cell>
          <cell r="B694">
            <v>44949</v>
          </cell>
          <cell r="C694" t="str">
            <v>C25534</v>
          </cell>
          <cell r="D694" t="str">
            <v>Desk</v>
          </cell>
          <cell r="E694">
            <v>5</v>
          </cell>
          <cell r="F694">
            <v>196.84</v>
          </cell>
          <cell r="G694" t="str">
            <v>319 Main St</v>
          </cell>
          <cell r="H694" t="str">
            <v>Credit Card</v>
          </cell>
          <cell r="I694" t="str">
            <v>Delivered</v>
          </cell>
          <cell r="J694" t="str">
            <v>TRK68347402</v>
          </cell>
          <cell r="K694">
            <v>5</v>
          </cell>
          <cell r="L694" t="str">
            <v>WINTER15</v>
          </cell>
          <cell r="M694" t="str">
            <v>Instagram</v>
          </cell>
          <cell r="N694">
            <v>984.2</v>
          </cell>
        </row>
        <row r="695">
          <cell r="A695" t="str">
            <v>ORD200693</v>
          </cell>
          <cell r="B695">
            <v>45728</v>
          </cell>
          <cell r="C695" t="str">
            <v>C62070</v>
          </cell>
          <cell r="D695" t="str">
            <v>Monitor</v>
          </cell>
          <cell r="E695">
            <v>1</v>
          </cell>
          <cell r="F695">
            <v>176.58</v>
          </cell>
          <cell r="G695" t="str">
            <v>674 Main St</v>
          </cell>
          <cell r="H695" t="str">
            <v>Debit Card</v>
          </cell>
          <cell r="I695" t="str">
            <v>Returned</v>
          </cell>
          <cell r="J695" t="str">
            <v>TRK10267127</v>
          </cell>
          <cell r="K695">
            <v>4</v>
          </cell>
          <cell r="L695" t="str">
            <v>No Coupon</v>
          </cell>
          <cell r="M695" t="str">
            <v>Referral</v>
          </cell>
          <cell r="N695">
            <v>176.58</v>
          </cell>
        </row>
        <row r="696">
          <cell r="A696" t="str">
            <v>ORD200694</v>
          </cell>
          <cell r="B696">
            <v>45201</v>
          </cell>
          <cell r="C696" t="str">
            <v>C92049</v>
          </cell>
          <cell r="D696" t="str">
            <v>Printer</v>
          </cell>
          <cell r="E696">
            <v>4</v>
          </cell>
          <cell r="F696">
            <v>666.52</v>
          </cell>
          <cell r="G696" t="str">
            <v>619 Main St</v>
          </cell>
          <cell r="H696" t="str">
            <v>Cash</v>
          </cell>
          <cell r="I696" t="str">
            <v>Shipped</v>
          </cell>
          <cell r="J696" t="str">
            <v>TRK32287092</v>
          </cell>
          <cell r="K696">
            <v>8</v>
          </cell>
          <cell r="L696" t="str">
            <v>FREESHIP</v>
          </cell>
          <cell r="M696" t="str">
            <v>Email</v>
          </cell>
          <cell r="N696">
            <v>2666.08</v>
          </cell>
        </row>
        <row r="697">
          <cell r="A697" t="str">
            <v>ORD200695</v>
          </cell>
          <cell r="B697">
            <v>45619</v>
          </cell>
          <cell r="C697" t="str">
            <v>C52604</v>
          </cell>
          <cell r="D697" t="str">
            <v>Printer</v>
          </cell>
          <cell r="E697">
            <v>5</v>
          </cell>
          <cell r="F697">
            <v>101.3</v>
          </cell>
          <cell r="G697" t="str">
            <v>553 Main St</v>
          </cell>
          <cell r="H697" t="str">
            <v>Online</v>
          </cell>
          <cell r="I697" t="str">
            <v>Shipped</v>
          </cell>
          <cell r="J697" t="str">
            <v>TRK48839788</v>
          </cell>
          <cell r="K697">
            <v>7</v>
          </cell>
          <cell r="L697" t="str">
            <v>FREESHIP</v>
          </cell>
          <cell r="M697" t="str">
            <v>Email</v>
          </cell>
          <cell r="N697">
            <v>506.5</v>
          </cell>
        </row>
        <row r="698">
          <cell r="A698" t="str">
            <v>ORD200696</v>
          </cell>
          <cell r="B698">
            <v>45109</v>
          </cell>
          <cell r="C698" t="str">
            <v>C22429</v>
          </cell>
          <cell r="D698" t="str">
            <v>Chair</v>
          </cell>
          <cell r="E698">
            <v>4</v>
          </cell>
          <cell r="F698">
            <v>151.19999999999999</v>
          </cell>
          <cell r="G698" t="str">
            <v>965 Main St</v>
          </cell>
          <cell r="H698" t="str">
            <v>Gift Card</v>
          </cell>
          <cell r="I698" t="str">
            <v>Pending</v>
          </cell>
          <cell r="J698" t="str">
            <v>TRK38572927</v>
          </cell>
          <cell r="K698">
            <v>9</v>
          </cell>
          <cell r="L698" t="str">
            <v>WINTER15</v>
          </cell>
          <cell r="M698" t="str">
            <v>Facebook</v>
          </cell>
          <cell r="N698">
            <v>604.79999999999995</v>
          </cell>
        </row>
        <row r="699">
          <cell r="A699" t="str">
            <v>ORD200697</v>
          </cell>
          <cell r="B699">
            <v>45692</v>
          </cell>
          <cell r="C699" t="str">
            <v>C27430</v>
          </cell>
          <cell r="D699" t="str">
            <v>Printer</v>
          </cell>
          <cell r="E699">
            <v>5</v>
          </cell>
          <cell r="F699">
            <v>94.85</v>
          </cell>
          <cell r="G699" t="str">
            <v>788 Main St</v>
          </cell>
          <cell r="H699" t="str">
            <v>Cash</v>
          </cell>
          <cell r="I699" t="str">
            <v>Shipped</v>
          </cell>
          <cell r="J699" t="str">
            <v>TRK45025840</v>
          </cell>
          <cell r="K699">
            <v>6</v>
          </cell>
          <cell r="L699" t="str">
            <v>WINTER15</v>
          </cell>
          <cell r="M699" t="str">
            <v>Email</v>
          </cell>
          <cell r="N699">
            <v>474.25</v>
          </cell>
        </row>
        <row r="700">
          <cell r="A700" t="str">
            <v>ORD200698</v>
          </cell>
          <cell r="B700">
            <v>44930</v>
          </cell>
          <cell r="C700" t="str">
            <v>C44366</v>
          </cell>
          <cell r="D700" t="str">
            <v>Laptop</v>
          </cell>
          <cell r="E700">
            <v>2</v>
          </cell>
          <cell r="F700">
            <v>388.22</v>
          </cell>
          <cell r="G700" t="str">
            <v>169 Main St</v>
          </cell>
          <cell r="H700" t="str">
            <v>Cash</v>
          </cell>
          <cell r="I700" t="str">
            <v>Delivered</v>
          </cell>
          <cell r="J700" t="str">
            <v>TRK48658394</v>
          </cell>
          <cell r="K700">
            <v>2</v>
          </cell>
          <cell r="L700" t="str">
            <v>WINTER15</v>
          </cell>
          <cell r="M700" t="str">
            <v>Instagram</v>
          </cell>
          <cell r="N700">
            <v>776.44</v>
          </cell>
        </row>
        <row r="701">
          <cell r="A701" t="str">
            <v>ORD200699</v>
          </cell>
          <cell r="B701">
            <v>45243</v>
          </cell>
          <cell r="C701" t="str">
            <v>C36813</v>
          </cell>
          <cell r="D701" t="str">
            <v>Laptop</v>
          </cell>
          <cell r="E701">
            <v>3</v>
          </cell>
          <cell r="F701">
            <v>614.15</v>
          </cell>
          <cell r="G701" t="str">
            <v>897 Main St</v>
          </cell>
          <cell r="H701" t="str">
            <v>Gift Card</v>
          </cell>
          <cell r="I701" t="str">
            <v>Cancelled</v>
          </cell>
          <cell r="J701" t="str">
            <v>TRK84088900</v>
          </cell>
          <cell r="K701">
            <v>3</v>
          </cell>
          <cell r="L701" t="str">
            <v>No Coupon</v>
          </cell>
          <cell r="M701" t="str">
            <v>Facebook</v>
          </cell>
          <cell r="N701">
            <v>1842.4499999999998</v>
          </cell>
        </row>
        <row r="702">
          <cell r="A702" t="str">
            <v>ORD200700</v>
          </cell>
          <cell r="B702">
            <v>45560</v>
          </cell>
          <cell r="C702" t="str">
            <v>C40201</v>
          </cell>
          <cell r="D702" t="str">
            <v>Laptop</v>
          </cell>
          <cell r="E702">
            <v>2</v>
          </cell>
          <cell r="F702">
            <v>92.91</v>
          </cell>
          <cell r="G702" t="str">
            <v>555 Main St</v>
          </cell>
          <cell r="H702" t="str">
            <v>Cash</v>
          </cell>
          <cell r="I702" t="str">
            <v>Returned</v>
          </cell>
          <cell r="J702" t="str">
            <v>TRK30198779</v>
          </cell>
          <cell r="K702">
            <v>3</v>
          </cell>
          <cell r="L702" t="str">
            <v>WINTER15</v>
          </cell>
          <cell r="M702" t="str">
            <v>Instagram</v>
          </cell>
          <cell r="N702">
            <v>185.82</v>
          </cell>
        </row>
        <row r="703">
          <cell r="A703" t="str">
            <v>ORD200701</v>
          </cell>
          <cell r="B703">
            <v>45466</v>
          </cell>
          <cell r="C703" t="str">
            <v>C75456</v>
          </cell>
          <cell r="D703" t="str">
            <v>Monitor</v>
          </cell>
          <cell r="E703">
            <v>3</v>
          </cell>
          <cell r="F703">
            <v>92.22</v>
          </cell>
          <cell r="G703" t="str">
            <v>115 Main St</v>
          </cell>
          <cell r="H703" t="str">
            <v>Credit Card</v>
          </cell>
          <cell r="I703" t="str">
            <v>Delivered</v>
          </cell>
          <cell r="J703" t="str">
            <v>TRK90519490</v>
          </cell>
          <cell r="K703">
            <v>5</v>
          </cell>
          <cell r="L703" t="str">
            <v>FREESHIP</v>
          </cell>
          <cell r="M703" t="str">
            <v>Email</v>
          </cell>
          <cell r="N703">
            <v>276.65999999999997</v>
          </cell>
        </row>
        <row r="704">
          <cell r="A704" t="str">
            <v>ORD200702</v>
          </cell>
          <cell r="B704">
            <v>45452</v>
          </cell>
          <cell r="C704" t="str">
            <v>C33315</v>
          </cell>
          <cell r="D704" t="str">
            <v>Printer</v>
          </cell>
          <cell r="E704">
            <v>3</v>
          </cell>
          <cell r="F704">
            <v>562.54999999999995</v>
          </cell>
          <cell r="G704" t="str">
            <v>154 Main St</v>
          </cell>
          <cell r="H704" t="str">
            <v>Debit Card</v>
          </cell>
          <cell r="I704" t="str">
            <v>Returned</v>
          </cell>
          <cell r="J704" t="str">
            <v>TRK43589369</v>
          </cell>
          <cell r="K704">
            <v>6</v>
          </cell>
          <cell r="L704" t="str">
            <v>No Coupon</v>
          </cell>
          <cell r="M704" t="str">
            <v>Email</v>
          </cell>
          <cell r="N704">
            <v>1687.6499999999999</v>
          </cell>
        </row>
        <row r="705">
          <cell r="A705" t="str">
            <v>ORD200703</v>
          </cell>
          <cell r="B705">
            <v>45007</v>
          </cell>
          <cell r="C705" t="str">
            <v>C89336</v>
          </cell>
          <cell r="D705" t="str">
            <v>Desk</v>
          </cell>
          <cell r="E705">
            <v>1</v>
          </cell>
          <cell r="F705">
            <v>92.79</v>
          </cell>
          <cell r="G705" t="str">
            <v>799 Main St</v>
          </cell>
          <cell r="H705" t="str">
            <v>Cash</v>
          </cell>
          <cell r="I705" t="str">
            <v>Pending</v>
          </cell>
          <cell r="J705" t="str">
            <v>TRK47665103</v>
          </cell>
          <cell r="K705">
            <v>3</v>
          </cell>
          <cell r="L705" t="str">
            <v>WINTER15</v>
          </cell>
          <cell r="M705" t="str">
            <v>Email</v>
          </cell>
          <cell r="N705">
            <v>92.79</v>
          </cell>
        </row>
        <row r="706">
          <cell r="A706" t="str">
            <v>ORD200704</v>
          </cell>
          <cell r="B706">
            <v>45080</v>
          </cell>
          <cell r="C706" t="str">
            <v>C96034</v>
          </cell>
          <cell r="D706" t="str">
            <v>Desk</v>
          </cell>
          <cell r="E706">
            <v>4</v>
          </cell>
          <cell r="F706">
            <v>30.27</v>
          </cell>
          <cell r="G706" t="str">
            <v>819 Main St</v>
          </cell>
          <cell r="H706" t="str">
            <v>Online</v>
          </cell>
          <cell r="I706" t="str">
            <v>Delivered</v>
          </cell>
          <cell r="J706" t="str">
            <v>TRK87261034</v>
          </cell>
          <cell r="K706">
            <v>9</v>
          </cell>
          <cell r="L706" t="str">
            <v>FREESHIP</v>
          </cell>
          <cell r="M706" t="str">
            <v>Google</v>
          </cell>
          <cell r="N706">
            <v>121.08</v>
          </cell>
        </row>
        <row r="707">
          <cell r="A707" t="str">
            <v>ORD200705</v>
          </cell>
          <cell r="B707">
            <v>45746</v>
          </cell>
          <cell r="C707" t="str">
            <v>C50114</v>
          </cell>
          <cell r="D707" t="str">
            <v>Monitor</v>
          </cell>
          <cell r="E707">
            <v>2</v>
          </cell>
          <cell r="F707">
            <v>49.08</v>
          </cell>
          <cell r="G707" t="str">
            <v>420 Main St</v>
          </cell>
          <cell r="H707" t="str">
            <v>Debit Card</v>
          </cell>
          <cell r="I707" t="str">
            <v>Returned</v>
          </cell>
          <cell r="J707" t="str">
            <v>TRK20214786</v>
          </cell>
          <cell r="K707">
            <v>7</v>
          </cell>
          <cell r="L707" t="str">
            <v>FREESHIP</v>
          </cell>
          <cell r="M707" t="str">
            <v>Instagram</v>
          </cell>
          <cell r="N707">
            <v>98.16</v>
          </cell>
        </row>
        <row r="708">
          <cell r="A708" t="str">
            <v>ORD200706</v>
          </cell>
          <cell r="B708">
            <v>45718</v>
          </cell>
          <cell r="C708" t="str">
            <v>C85330</v>
          </cell>
          <cell r="D708" t="str">
            <v>Desk</v>
          </cell>
          <cell r="E708">
            <v>5</v>
          </cell>
          <cell r="F708">
            <v>228.09</v>
          </cell>
          <cell r="G708" t="str">
            <v>969 Main St</v>
          </cell>
          <cell r="H708" t="str">
            <v>Gift Card</v>
          </cell>
          <cell r="I708" t="str">
            <v>Returned</v>
          </cell>
          <cell r="J708" t="str">
            <v>TRK97693301</v>
          </cell>
          <cell r="K708">
            <v>9</v>
          </cell>
          <cell r="L708" t="str">
            <v>FREESHIP</v>
          </cell>
          <cell r="M708" t="str">
            <v>Facebook</v>
          </cell>
          <cell r="N708">
            <v>1140.45</v>
          </cell>
        </row>
        <row r="709">
          <cell r="A709" t="str">
            <v>ORD200707</v>
          </cell>
          <cell r="B709">
            <v>45597</v>
          </cell>
          <cell r="C709" t="str">
            <v>C31761</v>
          </cell>
          <cell r="D709" t="str">
            <v>Chair</v>
          </cell>
          <cell r="E709">
            <v>4</v>
          </cell>
          <cell r="F709">
            <v>650.04</v>
          </cell>
          <cell r="G709" t="str">
            <v>989 Main St</v>
          </cell>
          <cell r="H709" t="str">
            <v>Gift Card</v>
          </cell>
          <cell r="I709" t="str">
            <v>Cancelled</v>
          </cell>
          <cell r="J709" t="str">
            <v>TRK17628852</v>
          </cell>
          <cell r="K709">
            <v>6</v>
          </cell>
          <cell r="L709" t="str">
            <v>SAVE10</v>
          </cell>
          <cell r="M709" t="str">
            <v>Facebook</v>
          </cell>
          <cell r="N709">
            <v>2600.16</v>
          </cell>
        </row>
        <row r="710">
          <cell r="A710" t="str">
            <v>ORD200708</v>
          </cell>
          <cell r="B710">
            <v>45720</v>
          </cell>
          <cell r="C710" t="str">
            <v>C25268</v>
          </cell>
          <cell r="D710" t="str">
            <v>Printer</v>
          </cell>
          <cell r="E710">
            <v>1</v>
          </cell>
          <cell r="F710">
            <v>665.11</v>
          </cell>
          <cell r="G710" t="str">
            <v>788 Main St</v>
          </cell>
          <cell r="H710" t="str">
            <v>Cash</v>
          </cell>
          <cell r="I710" t="str">
            <v>Pending</v>
          </cell>
          <cell r="J710" t="str">
            <v>TRK20481215</v>
          </cell>
          <cell r="K710">
            <v>3</v>
          </cell>
          <cell r="L710" t="str">
            <v>FREESHIP</v>
          </cell>
          <cell r="M710" t="str">
            <v>Instagram</v>
          </cell>
          <cell r="N710">
            <v>665.11</v>
          </cell>
        </row>
        <row r="711">
          <cell r="A711" t="str">
            <v>ORD200709</v>
          </cell>
          <cell r="B711">
            <v>45633</v>
          </cell>
          <cell r="C711" t="str">
            <v>C17132</v>
          </cell>
          <cell r="D711" t="str">
            <v>Desk</v>
          </cell>
          <cell r="E711">
            <v>1</v>
          </cell>
          <cell r="F711">
            <v>386.03</v>
          </cell>
          <cell r="G711" t="str">
            <v>855 Main St</v>
          </cell>
          <cell r="H711" t="str">
            <v>Online</v>
          </cell>
          <cell r="I711" t="str">
            <v>Pending</v>
          </cell>
          <cell r="J711" t="str">
            <v>TRK37504692</v>
          </cell>
          <cell r="K711">
            <v>4</v>
          </cell>
          <cell r="L711" t="str">
            <v>FREESHIP</v>
          </cell>
          <cell r="M711" t="str">
            <v>Google</v>
          </cell>
          <cell r="N711">
            <v>386.03</v>
          </cell>
        </row>
        <row r="712">
          <cell r="A712" t="str">
            <v>ORD200710</v>
          </cell>
          <cell r="B712">
            <v>45495</v>
          </cell>
          <cell r="C712" t="str">
            <v>C48790</v>
          </cell>
          <cell r="D712" t="str">
            <v>Laptop</v>
          </cell>
          <cell r="E712">
            <v>5</v>
          </cell>
          <cell r="F712">
            <v>21.54</v>
          </cell>
          <cell r="G712" t="str">
            <v>113 Main St</v>
          </cell>
          <cell r="H712" t="str">
            <v>Gift Card</v>
          </cell>
          <cell r="I712" t="str">
            <v>Returned</v>
          </cell>
          <cell r="J712" t="str">
            <v>TRK19086608</v>
          </cell>
          <cell r="K712">
            <v>10</v>
          </cell>
          <cell r="L712" t="str">
            <v>No Coupon</v>
          </cell>
          <cell r="M712" t="str">
            <v>Google</v>
          </cell>
          <cell r="N712">
            <v>107.69999999999999</v>
          </cell>
        </row>
        <row r="713">
          <cell r="A713" t="str">
            <v>ORD200711</v>
          </cell>
          <cell r="B713">
            <v>45477</v>
          </cell>
          <cell r="C713" t="str">
            <v>C61070</v>
          </cell>
          <cell r="D713" t="str">
            <v>Tablet</v>
          </cell>
          <cell r="E713">
            <v>2</v>
          </cell>
          <cell r="F713">
            <v>475.78</v>
          </cell>
          <cell r="G713" t="str">
            <v>632 Main St</v>
          </cell>
          <cell r="H713" t="str">
            <v>Online</v>
          </cell>
          <cell r="I713" t="str">
            <v>Shipped</v>
          </cell>
          <cell r="J713" t="str">
            <v>TRK90764894</v>
          </cell>
          <cell r="K713">
            <v>2</v>
          </cell>
          <cell r="L713" t="str">
            <v>WINTER15</v>
          </cell>
          <cell r="M713" t="str">
            <v>Google</v>
          </cell>
          <cell r="N713">
            <v>951.56</v>
          </cell>
        </row>
        <row r="714">
          <cell r="A714" t="str">
            <v>ORD200712</v>
          </cell>
          <cell r="B714">
            <v>45300</v>
          </cell>
          <cell r="C714" t="str">
            <v>C56969</v>
          </cell>
          <cell r="D714" t="str">
            <v>Tablet</v>
          </cell>
          <cell r="E714">
            <v>2</v>
          </cell>
          <cell r="F714">
            <v>68.400000000000006</v>
          </cell>
          <cell r="G714" t="str">
            <v>993 Main St</v>
          </cell>
          <cell r="H714" t="str">
            <v>Gift Card</v>
          </cell>
          <cell r="I714" t="str">
            <v>Pending</v>
          </cell>
          <cell r="J714" t="str">
            <v>TRK10513339</v>
          </cell>
          <cell r="K714">
            <v>7</v>
          </cell>
          <cell r="L714" t="str">
            <v>FREESHIP</v>
          </cell>
          <cell r="M714" t="str">
            <v>Email</v>
          </cell>
          <cell r="N714">
            <v>136.80000000000001</v>
          </cell>
        </row>
        <row r="715">
          <cell r="A715" t="str">
            <v>ORD200713</v>
          </cell>
          <cell r="B715">
            <v>45829</v>
          </cell>
          <cell r="C715" t="str">
            <v>C65056</v>
          </cell>
          <cell r="D715" t="str">
            <v>Tablet</v>
          </cell>
          <cell r="E715">
            <v>4</v>
          </cell>
          <cell r="F715">
            <v>532.49</v>
          </cell>
          <cell r="G715" t="str">
            <v>638 Main St</v>
          </cell>
          <cell r="H715" t="str">
            <v>Online</v>
          </cell>
          <cell r="I715" t="str">
            <v>Cancelled</v>
          </cell>
          <cell r="J715" t="str">
            <v>TRK31705278</v>
          </cell>
          <cell r="K715">
            <v>6</v>
          </cell>
          <cell r="L715" t="str">
            <v>SAVE10</v>
          </cell>
          <cell r="M715" t="str">
            <v>Facebook</v>
          </cell>
          <cell r="N715">
            <v>2129.96</v>
          </cell>
        </row>
        <row r="716">
          <cell r="A716" t="str">
            <v>ORD200714</v>
          </cell>
          <cell r="B716">
            <v>45037</v>
          </cell>
          <cell r="C716" t="str">
            <v>C84888</v>
          </cell>
          <cell r="D716" t="str">
            <v>Laptop</v>
          </cell>
          <cell r="E716">
            <v>1</v>
          </cell>
          <cell r="F716">
            <v>51.73</v>
          </cell>
          <cell r="G716" t="str">
            <v>278 Main St</v>
          </cell>
          <cell r="H716" t="str">
            <v>Debit Card</v>
          </cell>
          <cell r="I716" t="str">
            <v>Pending</v>
          </cell>
          <cell r="J716" t="str">
            <v>TRK23612847</v>
          </cell>
          <cell r="K716">
            <v>1</v>
          </cell>
          <cell r="L716" t="str">
            <v>FREESHIP</v>
          </cell>
          <cell r="M716" t="str">
            <v>Facebook</v>
          </cell>
          <cell r="N716">
            <v>51.73</v>
          </cell>
        </row>
        <row r="717">
          <cell r="A717" t="str">
            <v>ORD200715</v>
          </cell>
          <cell r="B717">
            <v>45499</v>
          </cell>
          <cell r="C717" t="str">
            <v>C68266</v>
          </cell>
          <cell r="D717" t="str">
            <v>Printer</v>
          </cell>
          <cell r="E717">
            <v>3</v>
          </cell>
          <cell r="F717">
            <v>653.63</v>
          </cell>
          <cell r="G717" t="str">
            <v>281 Main St</v>
          </cell>
          <cell r="H717" t="str">
            <v>Online</v>
          </cell>
          <cell r="I717" t="str">
            <v>Delivered</v>
          </cell>
          <cell r="J717" t="str">
            <v>TRK96161062</v>
          </cell>
          <cell r="K717">
            <v>7</v>
          </cell>
          <cell r="L717" t="str">
            <v>FREESHIP</v>
          </cell>
          <cell r="M717" t="str">
            <v>Email</v>
          </cell>
          <cell r="N717">
            <v>1960.8899999999999</v>
          </cell>
        </row>
        <row r="718">
          <cell r="A718" t="str">
            <v>ORD200716</v>
          </cell>
          <cell r="B718">
            <v>45456</v>
          </cell>
          <cell r="C718" t="str">
            <v>C84115</v>
          </cell>
          <cell r="D718" t="str">
            <v>Chair</v>
          </cell>
          <cell r="E718">
            <v>3</v>
          </cell>
          <cell r="F718">
            <v>454.29</v>
          </cell>
          <cell r="G718" t="str">
            <v>891 Main St</v>
          </cell>
          <cell r="H718" t="str">
            <v>Credit Card</v>
          </cell>
          <cell r="I718" t="str">
            <v>Pending</v>
          </cell>
          <cell r="J718" t="str">
            <v>TRK25466842</v>
          </cell>
          <cell r="K718">
            <v>4</v>
          </cell>
          <cell r="L718" t="str">
            <v>WINTER15</v>
          </cell>
          <cell r="M718" t="str">
            <v>Google</v>
          </cell>
          <cell r="N718">
            <v>1362.8700000000001</v>
          </cell>
        </row>
        <row r="719">
          <cell r="A719" t="str">
            <v>ORD200717</v>
          </cell>
          <cell r="B719">
            <v>45215</v>
          </cell>
          <cell r="C719" t="str">
            <v>C50087</v>
          </cell>
          <cell r="D719" t="str">
            <v>Chair</v>
          </cell>
          <cell r="E719">
            <v>3</v>
          </cell>
          <cell r="F719">
            <v>122.11</v>
          </cell>
          <cell r="G719" t="str">
            <v>707 Main St</v>
          </cell>
          <cell r="H719" t="str">
            <v>Online</v>
          </cell>
          <cell r="I719" t="str">
            <v>Delivered</v>
          </cell>
          <cell r="J719" t="str">
            <v>TRK31143760</v>
          </cell>
          <cell r="K719">
            <v>4</v>
          </cell>
          <cell r="L719" t="str">
            <v>WINTER15</v>
          </cell>
          <cell r="M719" t="str">
            <v>Email</v>
          </cell>
          <cell r="N719">
            <v>366.33</v>
          </cell>
        </row>
        <row r="720">
          <cell r="A720" t="str">
            <v>ORD200718</v>
          </cell>
          <cell r="B720">
            <v>45024</v>
          </cell>
          <cell r="C720" t="str">
            <v>C16790</v>
          </cell>
          <cell r="D720" t="str">
            <v>Laptop</v>
          </cell>
          <cell r="E720">
            <v>4</v>
          </cell>
          <cell r="F720">
            <v>64.739999999999995</v>
          </cell>
          <cell r="G720" t="str">
            <v>718 Main St</v>
          </cell>
          <cell r="H720" t="str">
            <v>Gift Card</v>
          </cell>
          <cell r="I720" t="str">
            <v>Cancelled</v>
          </cell>
          <cell r="J720" t="str">
            <v>TRK91791367</v>
          </cell>
          <cell r="K720">
            <v>8</v>
          </cell>
          <cell r="L720" t="str">
            <v>SAVE10</v>
          </cell>
          <cell r="M720" t="str">
            <v>Google</v>
          </cell>
          <cell r="N720">
            <v>258.95999999999998</v>
          </cell>
        </row>
        <row r="721">
          <cell r="A721" t="str">
            <v>ORD200719</v>
          </cell>
          <cell r="B721">
            <v>45312</v>
          </cell>
          <cell r="C721" t="str">
            <v>C46920</v>
          </cell>
          <cell r="D721" t="str">
            <v>Laptop</v>
          </cell>
          <cell r="E721">
            <v>2</v>
          </cell>
          <cell r="F721">
            <v>681.06</v>
          </cell>
          <cell r="G721" t="str">
            <v>703 Main St</v>
          </cell>
          <cell r="H721" t="str">
            <v>Debit Card</v>
          </cell>
          <cell r="I721" t="str">
            <v>Shipped</v>
          </cell>
          <cell r="J721" t="str">
            <v>TRK86403837</v>
          </cell>
          <cell r="K721">
            <v>3</v>
          </cell>
          <cell r="L721" t="str">
            <v>FREESHIP</v>
          </cell>
          <cell r="M721" t="str">
            <v>Facebook</v>
          </cell>
          <cell r="N721">
            <v>1362.12</v>
          </cell>
        </row>
        <row r="722">
          <cell r="A722" t="str">
            <v>ORD200720</v>
          </cell>
          <cell r="B722">
            <v>45190</v>
          </cell>
          <cell r="C722" t="str">
            <v>C12740</v>
          </cell>
          <cell r="D722" t="str">
            <v>Desk</v>
          </cell>
          <cell r="E722">
            <v>5</v>
          </cell>
          <cell r="F722">
            <v>128.94999999999999</v>
          </cell>
          <cell r="G722" t="str">
            <v>305 Main St</v>
          </cell>
          <cell r="H722" t="str">
            <v>Cash</v>
          </cell>
          <cell r="I722" t="str">
            <v>Pending</v>
          </cell>
          <cell r="J722" t="str">
            <v>TRK98506513</v>
          </cell>
          <cell r="K722">
            <v>10</v>
          </cell>
          <cell r="L722" t="str">
            <v>FREESHIP</v>
          </cell>
          <cell r="M722" t="str">
            <v>Instagram</v>
          </cell>
          <cell r="N722">
            <v>644.75</v>
          </cell>
        </row>
        <row r="723">
          <cell r="A723" t="str">
            <v>ORD200721</v>
          </cell>
          <cell r="B723">
            <v>45369</v>
          </cell>
          <cell r="C723" t="str">
            <v>C46557</v>
          </cell>
          <cell r="D723" t="str">
            <v>Desk</v>
          </cell>
          <cell r="E723">
            <v>2</v>
          </cell>
          <cell r="F723">
            <v>118.59</v>
          </cell>
          <cell r="G723" t="str">
            <v>890 Main St</v>
          </cell>
          <cell r="H723" t="str">
            <v>Credit Card</v>
          </cell>
          <cell r="I723" t="str">
            <v>Delivered</v>
          </cell>
          <cell r="J723" t="str">
            <v>TRK56110689</v>
          </cell>
          <cell r="K723">
            <v>2</v>
          </cell>
          <cell r="L723" t="str">
            <v>No Coupon</v>
          </cell>
          <cell r="M723" t="str">
            <v>Email</v>
          </cell>
          <cell r="N723">
            <v>237.18</v>
          </cell>
        </row>
        <row r="724">
          <cell r="A724" t="str">
            <v>ORD200722</v>
          </cell>
          <cell r="B724">
            <v>45611</v>
          </cell>
          <cell r="C724" t="str">
            <v>C58156</v>
          </cell>
          <cell r="D724" t="str">
            <v>Printer</v>
          </cell>
          <cell r="E724">
            <v>1</v>
          </cell>
          <cell r="F724">
            <v>95.1</v>
          </cell>
          <cell r="G724" t="str">
            <v>516 Main St</v>
          </cell>
          <cell r="H724" t="str">
            <v>Gift Card</v>
          </cell>
          <cell r="I724" t="str">
            <v>Pending</v>
          </cell>
          <cell r="J724" t="str">
            <v>TRK49719458</v>
          </cell>
          <cell r="K724">
            <v>1</v>
          </cell>
          <cell r="L724" t="str">
            <v>WINTER15</v>
          </cell>
          <cell r="M724" t="str">
            <v>Instagram</v>
          </cell>
          <cell r="N724">
            <v>95.1</v>
          </cell>
        </row>
        <row r="725">
          <cell r="A725" t="str">
            <v>ORD200723</v>
          </cell>
          <cell r="B725">
            <v>45269</v>
          </cell>
          <cell r="C725" t="str">
            <v>C14455</v>
          </cell>
          <cell r="D725" t="str">
            <v>Desk</v>
          </cell>
          <cell r="E725">
            <v>3</v>
          </cell>
          <cell r="F725">
            <v>54.95</v>
          </cell>
          <cell r="G725" t="str">
            <v>385 Main St</v>
          </cell>
          <cell r="H725" t="str">
            <v>Cash</v>
          </cell>
          <cell r="I725" t="str">
            <v>Returned</v>
          </cell>
          <cell r="J725" t="str">
            <v>TRK50933724</v>
          </cell>
          <cell r="K725">
            <v>8</v>
          </cell>
          <cell r="L725" t="str">
            <v>SAVE10</v>
          </cell>
          <cell r="M725" t="str">
            <v>Referral</v>
          </cell>
          <cell r="N725">
            <v>164.85000000000002</v>
          </cell>
        </row>
        <row r="726">
          <cell r="A726" t="str">
            <v>ORD200724</v>
          </cell>
          <cell r="B726">
            <v>45583</v>
          </cell>
          <cell r="C726" t="str">
            <v>C63150</v>
          </cell>
          <cell r="D726" t="str">
            <v>Printer</v>
          </cell>
          <cell r="E726">
            <v>3</v>
          </cell>
          <cell r="F726">
            <v>136.97</v>
          </cell>
          <cell r="G726" t="str">
            <v>326 Main St</v>
          </cell>
          <cell r="H726" t="str">
            <v>Credit Card</v>
          </cell>
          <cell r="I726" t="str">
            <v>Returned</v>
          </cell>
          <cell r="J726" t="str">
            <v>TRK19348078</v>
          </cell>
          <cell r="K726">
            <v>4</v>
          </cell>
          <cell r="L726" t="str">
            <v>FREESHIP</v>
          </cell>
          <cell r="M726" t="str">
            <v>Referral</v>
          </cell>
          <cell r="N726">
            <v>410.90999999999997</v>
          </cell>
        </row>
        <row r="727">
          <cell r="A727" t="str">
            <v>ORD200725</v>
          </cell>
          <cell r="B727">
            <v>44997</v>
          </cell>
          <cell r="C727" t="str">
            <v>C95269</v>
          </cell>
          <cell r="D727" t="str">
            <v>Chair</v>
          </cell>
          <cell r="E727">
            <v>2</v>
          </cell>
          <cell r="F727">
            <v>194.85</v>
          </cell>
          <cell r="G727" t="str">
            <v>372 Main St</v>
          </cell>
          <cell r="H727" t="str">
            <v>Gift Card</v>
          </cell>
          <cell r="I727" t="str">
            <v>Returned</v>
          </cell>
          <cell r="J727" t="str">
            <v>TRK45670926</v>
          </cell>
          <cell r="K727">
            <v>5</v>
          </cell>
          <cell r="L727" t="str">
            <v>No Coupon</v>
          </cell>
          <cell r="M727" t="str">
            <v>Referral</v>
          </cell>
          <cell r="N727">
            <v>389.7</v>
          </cell>
        </row>
        <row r="728">
          <cell r="A728" t="str">
            <v>ORD200726</v>
          </cell>
          <cell r="B728">
            <v>45590</v>
          </cell>
          <cell r="C728" t="str">
            <v>C18105</v>
          </cell>
          <cell r="D728" t="str">
            <v>Laptop</v>
          </cell>
          <cell r="E728">
            <v>4</v>
          </cell>
          <cell r="F728">
            <v>583.02</v>
          </cell>
          <cell r="G728" t="str">
            <v>338 Main St</v>
          </cell>
          <cell r="H728" t="str">
            <v>Online</v>
          </cell>
          <cell r="I728" t="str">
            <v>Delivered</v>
          </cell>
          <cell r="J728" t="str">
            <v>TRK94006117</v>
          </cell>
          <cell r="K728">
            <v>4</v>
          </cell>
          <cell r="L728" t="str">
            <v>FREESHIP</v>
          </cell>
          <cell r="M728" t="str">
            <v>Facebook</v>
          </cell>
          <cell r="N728">
            <v>2332.08</v>
          </cell>
        </row>
        <row r="729">
          <cell r="A729" t="str">
            <v>ORD200727</v>
          </cell>
          <cell r="B729">
            <v>45564</v>
          </cell>
          <cell r="C729" t="str">
            <v>C29063</v>
          </cell>
          <cell r="D729" t="str">
            <v>Chair</v>
          </cell>
          <cell r="E729">
            <v>5</v>
          </cell>
          <cell r="F729">
            <v>95.75</v>
          </cell>
          <cell r="G729" t="str">
            <v>379 Main St</v>
          </cell>
          <cell r="H729" t="str">
            <v>Online</v>
          </cell>
          <cell r="I729" t="str">
            <v>Shipped</v>
          </cell>
          <cell r="J729" t="str">
            <v>TRK92745947</v>
          </cell>
          <cell r="K729">
            <v>8</v>
          </cell>
          <cell r="L729" t="str">
            <v>SAVE10</v>
          </cell>
          <cell r="M729" t="str">
            <v>Instagram</v>
          </cell>
          <cell r="N729">
            <v>478.75</v>
          </cell>
        </row>
        <row r="730">
          <cell r="A730" t="str">
            <v>ORD200728</v>
          </cell>
          <cell r="B730">
            <v>45502</v>
          </cell>
          <cell r="C730" t="str">
            <v>C10154</v>
          </cell>
          <cell r="D730" t="str">
            <v>Desk</v>
          </cell>
          <cell r="E730">
            <v>4</v>
          </cell>
          <cell r="F730">
            <v>325.76</v>
          </cell>
          <cell r="G730" t="str">
            <v>827 Main St</v>
          </cell>
          <cell r="H730" t="str">
            <v>Gift Card</v>
          </cell>
          <cell r="I730" t="str">
            <v>Shipped</v>
          </cell>
          <cell r="J730" t="str">
            <v>TRK79793300</v>
          </cell>
          <cell r="K730">
            <v>8</v>
          </cell>
          <cell r="L730" t="str">
            <v>WINTER15</v>
          </cell>
          <cell r="M730" t="str">
            <v>Email</v>
          </cell>
          <cell r="N730">
            <v>1303.04</v>
          </cell>
        </row>
        <row r="731">
          <cell r="A731" t="str">
            <v>ORD200729</v>
          </cell>
          <cell r="B731">
            <v>45177</v>
          </cell>
          <cell r="C731" t="str">
            <v>C36997</v>
          </cell>
          <cell r="D731" t="str">
            <v>Phone</v>
          </cell>
          <cell r="E731">
            <v>4</v>
          </cell>
          <cell r="F731">
            <v>186.41</v>
          </cell>
          <cell r="G731" t="str">
            <v>819 Main St</v>
          </cell>
          <cell r="H731" t="str">
            <v>Gift Card</v>
          </cell>
          <cell r="I731" t="str">
            <v>Pending</v>
          </cell>
          <cell r="J731" t="str">
            <v>TRK92794872</v>
          </cell>
          <cell r="K731">
            <v>6</v>
          </cell>
          <cell r="L731" t="str">
            <v>SAVE10</v>
          </cell>
          <cell r="M731" t="str">
            <v>Google</v>
          </cell>
          <cell r="N731">
            <v>745.64</v>
          </cell>
        </row>
        <row r="732">
          <cell r="A732" t="str">
            <v>ORD200730</v>
          </cell>
          <cell r="B732">
            <v>45710</v>
          </cell>
          <cell r="C732" t="str">
            <v>C77357</v>
          </cell>
          <cell r="D732" t="str">
            <v>Phone</v>
          </cell>
          <cell r="E732">
            <v>1</v>
          </cell>
          <cell r="F732">
            <v>474.6</v>
          </cell>
          <cell r="G732" t="str">
            <v>407 Main St</v>
          </cell>
          <cell r="H732" t="str">
            <v>Debit Card</v>
          </cell>
          <cell r="I732" t="str">
            <v>Delivered</v>
          </cell>
          <cell r="J732" t="str">
            <v>TRK91943923</v>
          </cell>
          <cell r="K732">
            <v>4</v>
          </cell>
          <cell r="L732" t="str">
            <v>SAVE10</v>
          </cell>
          <cell r="M732" t="str">
            <v>Email</v>
          </cell>
          <cell r="N732">
            <v>474.6</v>
          </cell>
        </row>
        <row r="733">
          <cell r="A733" t="str">
            <v>ORD200731</v>
          </cell>
          <cell r="B733">
            <v>45450</v>
          </cell>
          <cell r="C733" t="str">
            <v>C71310</v>
          </cell>
          <cell r="D733" t="str">
            <v>Printer</v>
          </cell>
          <cell r="E733">
            <v>5</v>
          </cell>
          <cell r="F733">
            <v>584.46</v>
          </cell>
          <cell r="G733" t="str">
            <v>308 Main St</v>
          </cell>
          <cell r="H733" t="str">
            <v>Credit Card</v>
          </cell>
          <cell r="I733" t="str">
            <v>Returned</v>
          </cell>
          <cell r="J733" t="str">
            <v>TRK48292586</v>
          </cell>
          <cell r="K733">
            <v>8</v>
          </cell>
          <cell r="L733" t="str">
            <v>No Coupon</v>
          </cell>
          <cell r="M733" t="str">
            <v>Email</v>
          </cell>
          <cell r="N733">
            <v>2922.3</v>
          </cell>
        </row>
        <row r="734">
          <cell r="A734" t="str">
            <v>ORD200732</v>
          </cell>
          <cell r="B734">
            <v>45723</v>
          </cell>
          <cell r="C734" t="str">
            <v>C80987</v>
          </cell>
          <cell r="D734" t="str">
            <v>Laptop</v>
          </cell>
          <cell r="E734">
            <v>1</v>
          </cell>
          <cell r="F734">
            <v>132.05000000000001</v>
          </cell>
          <cell r="G734" t="str">
            <v>787 Main St</v>
          </cell>
          <cell r="H734" t="str">
            <v>Online</v>
          </cell>
          <cell r="I734" t="str">
            <v>Delivered</v>
          </cell>
          <cell r="J734" t="str">
            <v>TRK42187776</v>
          </cell>
          <cell r="K734">
            <v>2</v>
          </cell>
          <cell r="L734" t="str">
            <v>No Coupon</v>
          </cell>
          <cell r="M734" t="str">
            <v>Google</v>
          </cell>
          <cell r="N734">
            <v>132.05000000000001</v>
          </cell>
        </row>
        <row r="735">
          <cell r="A735" t="str">
            <v>ORD200733</v>
          </cell>
          <cell r="B735">
            <v>45264</v>
          </cell>
          <cell r="C735" t="str">
            <v>C90757</v>
          </cell>
          <cell r="D735" t="str">
            <v>Tablet</v>
          </cell>
          <cell r="E735">
            <v>4</v>
          </cell>
          <cell r="F735">
            <v>494.84</v>
          </cell>
          <cell r="G735" t="str">
            <v>694 Main St</v>
          </cell>
          <cell r="H735" t="str">
            <v>Cash</v>
          </cell>
          <cell r="I735" t="str">
            <v>Returned</v>
          </cell>
          <cell r="J735" t="str">
            <v>TRK87991608</v>
          </cell>
          <cell r="K735">
            <v>8</v>
          </cell>
          <cell r="L735" t="str">
            <v>SAVE10</v>
          </cell>
          <cell r="M735" t="str">
            <v>Email</v>
          </cell>
          <cell r="N735">
            <v>1979.36</v>
          </cell>
        </row>
        <row r="736">
          <cell r="A736" t="str">
            <v>ORD200734</v>
          </cell>
          <cell r="B736">
            <v>45314</v>
          </cell>
          <cell r="C736" t="str">
            <v>C51898</v>
          </cell>
          <cell r="D736" t="str">
            <v>Printer</v>
          </cell>
          <cell r="E736">
            <v>4</v>
          </cell>
          <cell r="F736">
            <v>224.61</v>
          </cell>
          <cell r="G736" t="str">
            <v>630 Main St</v>
          </cell>
          <cell r="H736" t="str">
            <v>Credit Card</v>
          </cell>
          <cell r="I736" t="str">
            <v>Returned</v>
          </cell>
          <cell r="J736" t="str">
            <v>TRK19767885</v>
          </cell>
          <cell r="K736">
            <v>6</v>
          </cell>
          <cell r="L736" t="str">
            <v>WINTER15</v>
          </cell>
          <cell r="M736" t="str">
            <v>Facebook</v>
          </cell>
          <cell r="N736">
            <v>898.44</v>
          </cell>
        </row>
        <row r="737">
          <cell r="A737" t="str">
            <v>ORD200735</v>
          </cell>
          <cell r="B737">
            <v>45471</v>
          </cell>
          <cell r="C737" t="str">
            <v>C94508</v>
          </cell>
          <cell r="D737" t="str">
            <v>Monitor</v>
          </cell>
          <cell r="E737">
            <v>4</v>
          </cell>
          <cell r="F737">
            <v>44.07</v>
          </cell>
          <cell r="G737" t="str">
            <v>359 Main St</v>
          </cell>
          <cell r="H737" t="str">
            <v>Debit Card</v>
          </cell>
          <cell r="I737" t="str">
            <v>Pending</v>
          </cell>
          <cell r="J737" t="str">
            <v>TRK13443264</v>
          </cell>
          <cell r="K737">
            <v>6</v>
          </cell>
          <cell r="L737" t="str">
            <v>No Coupon</v>
          </cell>
          <cell r="M737" t="str">
            <v>Email</v>
          </cell>
          <cell r="N737">
            <v>176.28</v>
          </cell>
        </row>
        <row r="738">
          <cell r="A738" t="str">
            <v>ORD200736</v>
          </cell>
          <cell r="B738">
            <v>45331</v>
          </cell>
          <cell r="C738" t="str">
            <v>C59441</v>
          </cell>
          <cell r="D738" t="str">
            <v>Monitor</v>
          </cell>
          <cell r="E738">
            <v>5</v>
          </cell>
          <cell r="F738">
            <v>418.53</v>
          </cell>
          <cell r="G738" t="str">
            <v>696 Main St</v>
          </cell>
          <cell r="H738" t="str">
            <v>Credit Card</v>
          </cell>
          <cell r="I738" t="str">
            <v>Pending</v>
          </cell>
          <cell r="J738" t="str">
            <v>TRK66186874</v>
          </cell>
          <cell r="K738">
            <v>6</v>
          </cell>
          <cell r="L738" t="str">
            <v>FREESHIP</v>
          </cell>
          <cell r="M738" t="str">
            <v>Google</v>
          </cell>
          <cell r="N738">
            <v>2092.6499999999996</v>
          </cell>
        </row>
        <row r="739">
          <cell r="A739" t="str">
            <v>ORD200737</v>
          </cell>
          <cell r="B739">
            <v>45294</v>
          </cell>
          <cell r="C739" t="str">
            <v>C91029</v>
          </cell>
          <cell r="D739" t="str">
            <v>Phone</v>
          </cell>
          <cell r="E739">
            <v>4</v>
          </cell>
          <cell r="F739">
            <v>532.87</v>
          </cell>
          <cell r="G739" t="str">
            <v>972 Main St</v>
          </cell>
          <cell r="H739" t="str">
            <v>Cash</v>
          </cell>
          <cell r="I739" t="str">
            <v>Pending</v>
          </cell>
          <cell r="J739" t="str">
            <v>TRK25501930</v>
          </cell>
          <cell r="K739">
            <v>9</v>
          </cell>
          <cell r="L739" t="str">
            <v>FREESHIP</v>
          </cell>
          <cell r="M739" t="str">
            <v>Instagram</v>
          </cell>
          <cell r="N739">
            <v>2131.48</v>
          </cell>
        </row>
        <row r="740">
          <cell r="A740" t="str">
            <v>ORD200738</v>
          </cell>
          <cell r="B740">
            <v>45812</v>
          </cell>
          <cell r="C740" t="str">
            <v>C96261</v>
          </cell>
          <cell r="D740" t="str">
            <v>Phone</v>
          </cell>
          <cell r="E740">
            <v>2</v>
          </cell>
          <cell r="F740">
            <v>485.37</v>
          </cell>
          <cell r="G740" t="str">
            <v>264 Main St</v>
          </cell>
          <cell r="H740" t="str">
            <v>Credit Card</v>
          </cell>
          <cell r="I740" t="str">
            <v>Shipped</v>
          </cell>
          <cell r="J740" t="str">
            <v>TRK44998396</v>
          </cell>
          <cell r="K740">
            <v>5</v>
          </cell>
          <cell r="L740" t="str">
            <v>SAVE10</v>
          </cell>
          <cell r="M740" t="str">
            <v>Email</v>
          </cell>
          <cell r="N740">
            <v>970.74</v>
          </cell>
        </row>
        <row r="741">
          <cell r="A741" t="str">
            <v>ORD200739</v>
          </cell>
          <cell r="B741">
            <v>45456</v>
          </cell>
          <cell r="C741" t="str">
            <v>C35123</v>
          </cell>
          <cell r="D741" t="str">
            <v>Phone</v>
          </cell>
          <cell r="E741">
            <v>4</v>
          </cell>
          <cell r="F741">
            <v>386.73</v>
          </cell>
          <cell r="G741" t="str">
            <v>513 Main St</v>
          </cell>
          <cell r="H741" t="str">
            <v>Cash</v>
          </cell>
          <cell r="I741" t="str">
            <v>Delivered</v>
          </cell>
          <cell r="J741" t="str">
            <v>TRK58979275</v>
          </cell>
          <cell r="K741">
            <v>4</v>
          </cell>
          <cell r="L741" t="str">
            <v>SAVE10</v>
          </cell>
          <cell r="M741" t="str">
            <v>Facebook</v>
          </cell>
          <cell r="N741">
            <v>1546.92</v>
          </cell>
        </row>
        <row r="742">
          <cell r="A742" t="str">
            <v>ORD200740</v>
          </cell>
          <cell r="B742">
            <v>45493</v>
          </cell>
          <cell r="C742" t="str">
            <v>C10892</v>
          </cell>
          <cell r="D742" t="str">
            <v>Desk</v>
          </cell>
          <cell r="E742">
            <v>2</v>
          </cell>
          <cell r="F742">
            <v>377.47</v>
          </cell>
          <cell r="G742" t="str">
            <v>433 Main St</v>
          </cell>
          <cell r="H742" t="str">
            <v>Cash</v>
          </cell>
          <cell r="I742" t="str">
            <v>Pending</v>
          </cell>
          <cell r="J742" t="str">
            <v>TRK76154554</v>
          </cell>
          <cell r="K742">
            <v>7</v>
          </cell>
          <cell r="L742" t="str">
            <v>No Coupon</v>
          </cell>
          <cell r="M742" t="str">
            <v>Google</v>
          </cell>
          <cell r="N742">
            <v>754.94</v>
          </cell>
        </row>
        <row r="743">
          <cell r="A743" t="str">
            <v>ORD200741</v>
          </cell>
          <cell r="B743">
            <v>45680</v>
          </cell>
          <cell r="C743" t="str">
            <v>C99683</v>
          </cell>
          <cell r="D743" t="str">
            <v>Monitor</v>
          </cell>
          <cell r="E743">
            <v>5</v>
          </cell>
          <cell r="F743">
            <v>332.64</v>
          </cell>
          <cell r="G743" t="str">
            <v>945 Main St</v>
          </cell>
          <cell r="H743" t="str">
            <v>Gift Card</v>
          </cell>
          <cell r="I743" t="str">
            <v>Delivered</v>
          </cell>
          <cell r="J743" t="str">
            <v>TRK87305883</v>
          </cell>
          <cell r="K743">
            <v>10</v>
          </cell>
          <cell r="L743" t="str">
            <v>No Coupon</v>
          </cell>
          <cell r="M743" t="str">
            <v>Referral</v>
          </cell>
          <cell r="N743">
            <v>1663.1999999999998</v>
          </cell>
        </row>
        <row r="744">
          <cell r="A744" t="str">
            <v>ORD200742</v>
          </cell>
          <cell r="B744">
            <v>45626</v>
          </cell>
          <cell r="C744" t="str">
            <v>C41974</v>
          </cell>
          <cell r="D744" t="str">
            <v>Laptop</v>
          </cell>
          <cell r="E744">
            <v>3</v>
          </cell>
          <cell r="F744">
            <v>699.93</v>
          </cell>
          <cell r="G744" t="str">
            <v>726 Main St</v>
          </cell>
          <cell r="H744" t="str">
            <v>Cash</v>
          </cell>
          <cell r="I744" t="str">
            <v>Returned</v>
          </cell>
          <cell r="J744" t="str">
            <v>TRK48051468</v>
          </cell>
          <cell r="K744">
            <v>7</v>
          </cell>
          <cell r="L744" t="str">
            <v>SAVE10</v>
          </cell>
          <cell r="M744" t="str">
            <v>Google</v>
          </cell>
          <cell r="N744">
            <v>2099.79</v>
          </cell>
        </row>
        <row r="745">
          <cell r="A745" t="str">
            <v>ORD200743</v>
          </cell>
          <cell r="B745">
            <v>45565</v>
          </cell>
          <cell r="C745" t="str">
            <v>C23978</v>
          </cell>
          <cell r="D745" t="str">
            <v>Monitor</v>
          </cell>
          <cell r="E745">
            <v>1</v>
          </cell>
          <cell r="F745">
            <v>576.35</v>
          </cell>
          <cell r="G745" t="str">
            <v>549 Main St</v>
          </cell>
          <cell r="H745" t="str">
            <v>Gift Card</v>
          </cell>
          <cell r="I745" t="str">
            <v>Returned</v>
          </cell>
          <cell r="J745" t="str">
            <v>TRK87090813</v>
          </cell>
          <cell r="K745">
            <v>1</v>
          </cell>
          <cell r="L745" t="str">
            <v>WINTER15</v>
          </cell>
          <cell r="M745" t="str">
            <v>Instagram</v>
          </cell>
          <cell r="N745">
            <v>576.35</v>
          </cell>
        </row>
        <row r="746">
          <cell r="A746" t="str">
            <v>ORD200744</v>
          </cell>
          <cell r="B746">
            <v>45455</v>
          </cell>
          <cell r="C746" t="str">
            <v>C10642</v>
          </cell>
          <cell r="D746" t="str">
            <v>Tablet</v>
          </cell>
          <cell r="E746">
            <v>2</v>
          </cell>
          <cell r="F746">
            <v>461.37</v>
          </cell>
          <cell r="G746" t="str">
            <v>200 Main St</v>
          </cell>
          <cell r="H746" t="str">
            <v>Cash</v>
          </cell>
          <cell r="I746" t="str">
            <v>Delivered</v>
          </cell>
          <cell r="J746" t="str">
            <v>TRK98725693</v>
          </cell>
          <cell r="K746">
            <v>5</v>
          </cell>
          <cell r="L746" t="str">
            <v>SAVE10</v>
          </cell>
          <cell r="M746" t="str">
            <v>Google</v>
          </cell>
          <cell r="N746">
            <v>922.74</v>
          </cell>
        </row>
        <row r="747">
          <cell r="A747" t="str">
            <v>ORD200745</v>
          </cell>
          <cell r="B747">
            <v>44987</v>
          </cell>
          <cell r="C747" t="str">
            <v>C73813</v>
          </cell>
          <cell r="D747" t="str">
            <v>Printer</v>
          </cell>
          <cell r="E747">
            <v>4</v>
          </cell>
          <cell r="F747">
            <v>111.3</v>
          </cell>
          <cell r="G747" t="str">
            <v>364 Main St</v>
          </cell>
          <cell r="H747" t="str">
            <v>Debit Card</v>
          </cell>
          <cell r="I747" t="str">
            <v>Pending</v>
          </cell>
          <cell r="J747" t="str">
            <v>TRK89906749</v>
          </cell>
          <cell r="K747">
            <v>7</v>
          </cell>
          <cell r="L747" t="str">
            <v>FREESHIP</v>
          </cell>
          <cell r="M747" t="str">
            <v>Email</v>
          </cell>
          <cell r="N747">
            <v>445.2</v>
          </cell>
        </row>
        <row r="748">
          <cell r="A748" t="str">
            <v>ORD200746</v>
          </cell>
          <cell r="B748">
            <v>45712</v>
          </cell>
          <cell r="C748" t="str">
            <v>C32183</v>
          </cell>
          <cell r="D748" t="str">
            <v>Desk</v>
          </cell>
          <cell r="E748">
            <v>3</v>
          </cell>
          <cell r="F748">
            <v>661.89</v>
          </cell>
          <cell r="G748" t="str">
            <v>551 Main St</v>
          </cell>
          <cell r="H748" t="str">
            <v>Online</v>
          </cell>
          <cell r="I748" t="str">
            <v>Cancelled</v>
          </cell>
          <cell r="J748" t="str">
            <v>TRK76287027</v>
          </cell>
          <cell r="K748">
            <v>6</v>
          </cell>
          <cell r="L748" t="str">
            <v>WINTER15</v>
          </cell>
          <cell r="M748" t="str">
            <v>Referral</v>
          </cell>
          <cell r="N748">
            <v>1985.67</v>
          </cell>
        </row>
        <row r="749">
          <cell r="A749" t="str">
            <v>ORD200747</v>
          </cell>
          <cell r="B749">
            <v>45728</v>
          </cell>
          <cell r="C749" t="str">
            <v>C54277</v>
          </cell>
          <cell r="D749" t="str">
            <v>Tablet</v>
          </cell>
          <cell r="E749">
            <v>2</v>
          </cell>
          <cell r="F749">
            <v>259.58</v>
          </cell>
          <cell r="G749" t="str">
            <v>940 Main St</v>
          </cell>
          <cell r="H749" t="str">
            <v>Debit Card</v>
          </cell>
          <cell r="I749" t="str">
            <v>Delivered</v>
          </cell>
          <cell r="J749" t="str">
            <v>TRK26500181</v>
          </cell>
          <cell r="K749">
            <v>7</v>
          </cell>
          <cell r="L749" t="str">
            <v>FREESHIP</v>
          </cell>
          <cell r="M749" t="str">
            <v>Instagram</v>
          </cell>
          <cell r="N749">
            <v>519.16</v>
          </cell>
        </row>
        <row r="750">
          <cell r="A750" t="str">
            <v>ORD200748</v>
          </cell>
          <cell r="B750">
            <v>45488</v>
          </cell>
          <cell r="C750" t="str">
            <v>C56553</v>
          </cell>
          <cell r="D750" t="str">
            <v>Tablet</v>
          </cell>
          <cell r="E750">
            <v>3</v>
          </cell>
          <cell r="F750">
            <v>70.81</v>
          </cell>
          <cell r="G750" t="str">
            <v>249 Main St</v>
          </cell>
          <cell r="H750" t="str">
            <v>Credit Card</v>
          </cell>
          <cell r="I750" t="str">
            <v>Shipped</v>
          </cell>
          <cell r="J750" t="str">
            <v>TRK37667360</v>
          </cell>
          <cell r="K750">
            <v>8</v>
          </cell>
          <cell r="L750" t="str">
            <v>FREESHIP</v>
          </cell>
          <cell r="M750" t="str">
            <v>Referral</v>
          </cell>
          <cell r="N750">
            <v>212.43</v>
          </cell>
        </row>
        <row r="751">
          <cell r="A751" t="str">
            <v>ORD200749</v>
          </cell>
          <cell r="B751">
            <v>45760</v>
          </cell>
          <cell r="C751" t="str">
            <v>C17551</v>
          </cell>
          <cell r="D751" t="str">
            <v>Laptop</v>
          </cell>
          <cell r="E751">
            <v>1</v>
          </cell>
          <cell r="F751">
            <v>518.39</v>
          </cell>
          <cell r="G751" t="str">
            <v>997 Main St</v>
          </cell>
          <cell r="H751" t="str">
            <v>Debit Card</v>
          </cell>
          <cell r="I751" t="str">
            <v>Pending</v>
          </cell>
          <cell r="J751" t="str">
            <v>TRK88797170</v>
          </cell>
          <cell r="K751">
            <v>4</v>
          </cell>
          <cell r="L751" t="str">
            <v>FREESHIP</v>
          </cell>
          <cell r="M751" t="str">
            <v>Instagram</v>
          </cell>
          <cell r="N751">
            <v>518.39</v>
          </cell>
        </row>
        <row r="752">
          <cell r="A752" t="str">
            <v>ORD200750</v>
          </cell>
          <cell r="B752">
            <v>44940</v>
          </cell>
          <cell r="C752" t="str">
            <v>C14737</v>
          </cell>
          <cell r="D752" t="str">
            <v>Tablet</v>
          </cell>
          <cell r="E752">
            <v>4</v>
          </cell>
          <cell r="F752">
            <v>145.41</v>
          </cell>
          <cell r="G752" t="str">
            <v>637 Main St</v>
          </cell>
          <cell r="H752" t="str">
            <v>Credit Card</v>
          </cell>
          <cell r="I752" t="str">
            <v>Returned</v>
          </cell>
          <cell r="J752" t="str">
            <v>TRK10295115</v>
          </cell>
          <cell r="K752">
            <v>7</v>
          </cell>
          <cell r="L752" t="str">
            <v>FREESHIP</v>
          </cell>
          <cell r="M752" t="str">
            <v>Email</v>
          </cell>
          <cell r="N752">
            <v>581.64</v>
          </cell>
        </row>
        <row r="753">
          <cell r="A753" t="str">
            <v>ORD200751</v>
          </cell>
          <cell r="B753">
            <v>44950</v>
          </cell>
          <cell r="C753" t="str">
            <v>C35168</v>
          </cell>
          <cell r="D753" t="str">
            <v>Tablet</v>
          </cell>
          <cell r="E753">
            <v>2</v>
          </cell>
          <cell r="F753">
            <v>599.86</v>
          </cell>
          <cell r="G753" t="str">
            <v>455 Main St</v>
          </cell>
          <cell r="H753" t="str">
            <v>Gift Card</v>
          </cell>
          <cell r="I753" t="str">
            <v>Pending</v>
          </cell>
          <cell r="J753" t="str">
            <v>TRK76960854</v>
          </cell>
          <cell r="K753">
            <v>7</v>
          </cell>
          <cell r="L753" t="str">
            <v>FREESHIP</v>
          </cell>
          <cell r="M753" t="str">
            <v>Facebook</v>
          </cell>
          <cell r="N753">
            <v>1199.72</v>
          </cell>
        </row>
        <row r="754">
          <cell r="A754" t="str">
            <v>ORD200752</v>
          </cell>
          <cell r="B754">
            <v>45568</v>
          </cell>
          <cell r="C754" t="str">
            <v>C82217</v>
          </cell>
          <cell r="D754" t="str">
            <v>Phone</v>
          </cell>
          <cell r="E754">
            <v>4</v>
          </cell>
          <cell r="F754">
            <v>429.37</v>
          </cell>
          <cell r="G754" t="str">
            <v>299 Main St</v>
          </cell>
          <cell r="H754" t="str">
            <v>Credit Card</v>
          </cell>
          <cell r="I754" t="str">
            <v>Delivered</v>
          </cell>
          <cell r="J754" t="str">
            <v>TRK33305694</v>
          </cell>
          <cell r="K754">
            <v>8</v>
          </cell>
          <cell r="L754" t="str">
            <v>FREESHIP</v>
          </cell>
          <cell r="M754" t="str">
            <v>Google</v>
          </cell>
          <cell r="N754">
            <v>1717.48</v>
          </cell>
        </row>
        <row r="755">
          <cell r="A755" t="str">
            <v>ORD200753</v>
          </cell>
          <cell r="B755">
            <v>45406</v>
          </cell>
          <cell r="C755" t="str">
            <v>C42270</v>
          </cell>
          <cell r="D755" t="str">
            <v>Phone</v>
          </cell>
          <cell r="E755">
            <v>2</v>
          </cell>
          <cell r="F755">
            <v>241.49</v>
          </cell>
          <cell r="G755" t="str">
            <v>864 Main St</v>
          </cell>
          <cell r="H755" t="str">
            <v>Debit Card</v>
          </cell>
          <cell r="I755" t="str">
            <v>Returned</v>
          </cell>
          <cell r="J755" t="str">
            <v>TRK72697796</v>
          </cell>
          <cell r="K755">
            <v>7</v>
          </cell>
          <cell r="L755" t="str">
            <v>FREESHIP</v>
          </cell>
          <cell r="M755" t="str">
            <v>Instagram</v>
          </cell>
          <cell r="N755">
            <v>482.98</v>
          </cell>
        </row>
        <row r="756">
          <cell r="A756" t="str">
            <v>ORD200754</v>
          </cell>
          <cell r="B756">
            <v>45808</v>
          </cell>
          <cell r="C756" t="str">
            <v>C48846</v>
          </cell>
          <cell r="D756" t="str">
            <v>Printer</v>
          </cell>
          <cell r="E756">
            <v>2</v>
          </cell>
          <cell r="F756">
            <v>452.05</v>
          </cell>
          <cell r="G756" t="str">
            <v>983 Main St</v>
          </cell>
          <cell r="H756" t="str">
            <v>Credit Card</v>
          </cell>
          <cell r="I756" t="str">
            <v>Returned</v>
          </cell>
          <cell r="J756" t="str">
            <v>TRK52804097</v>
          </cell>
          <cell r="K756">
            <v>3</v>
          </cell>
          <cell r="L756" t="str">
            <v>WINTER15</v>
          </cell>
          <cell r="M756" t="str">
            <v>Email</v>
          </cell>
          <cell r="N756">
            <v>904.1</v>
          </cell>
        </row>
        <row r="757">
          <cell r="A757" t="str">
            <v>ORD200755</v>
          </cell>
          <cell r="B757">
            <v>45090</v>
          </cell>
          <cell r="C757" t="str">
            <v>C54160</v>
          </cell>
          <cell r="D757" t="str">
            <v>Desk</v>
          </cell>
          <cell r="E757">
            <v>3</v>
          </cell>
          <cell r="F757">
            <v>336.71</v>
          </cell>
          <cell r="G757" t="str">
            <v>658 Main St</v>
          </cell>
          <cell r="H757" t="str">
            <v>Credit Card</v>
          </cell>
          <cell r="I757" t="str">
            <v>Pending</v>
          </cell>
          <cell r="J757" t="str">
            <v>TRK60515972</v>
          </cell>
          <cell r="K757">
            <v>4</v>
          </cell>
          <cell r="L757" t="str">
            <v>No Coupon</v>
          </cell>
          <cell r="M757" t="str">
            <v>Email</v>
          </cell>
          <cell r="N757">
            <v>1010.1299999999999</v>
          </cell>
        </row>
        <row r="758">
          <cell r="A758" t="str">
            <v>ORD200756</v>
          </cell>
          <cell r="B758">
            <v>45470</v>
          </cell>
          <cell r="C758" t="str">
            <v>C14080</v>
          </cell>
          <cell r="D758" t="str">
            <v>Phone</v>
          </cell>
          <cell r="E758">
            <v>1</v>
          </cell>
          <cell r="F758">
            <v>283.69</v>
          </cell>
          <cell r="G758" t="str">
            <v>202 Main St</v>
          </cell>
          <cell r="H758" t="str">
            <v>Gift Card</v>
          </cell>
          <cell r="I758" t="str">
            <v>Shipped</v>
          </cell>
          <cell r="J758" t="str">
            <v>TRK93163682</v>
          </cell>
          <cell r="K758">
            <v>6</v>
          </cell>
          <cell r="L758" t="str">
            <v>No Coupon</v>
          </cell>
          <cell r="M758" t="str">
            <v>Google</v>
          </cell>
          <cell r="N758">
            <v>283.69</v>
          </cell>
        </row>
        <row r="759">
          <cell r="A759" t="str">
            <v>ORD200757</v>
          </cell>
          <cell r="B759">
            <v>45344</v>
          </cell>
          <cell r="C759" t="str">
            <v>C81074</v>
          </cell>
          <cell r="D759" t="str">
            <v>Desk</v>
          </cell>
          <cell r="E759">
            <v>1</v>
          </cell>
          <cell r="F759">
            <v>157.72</v>
          </cell>
          <cell r="G759" t="str">
            <v>597 Main St</v>
          </cell>
          <cell r="H759" t="str">
            <v>Debit Card</v>
          </cell>
          <cell r="I759" t="str">
            <v>Delivered</v>
          </cell>
          <cell r="J759" t="str">
            <v>TRK91105190</v>
          </cell>
          <cell r="K759">
            <v>2</v>
          </cell>
          <cell r="L759" t="str">
            <v>FREESHIP</v>
          </cell>
          <cell r="M759" t="str">
            <v>Google</v>
          </cell>
          <cell r="N759">
            <v>157.72</v>
          </cell>
        </row>
        <row r="760">
          <cell r="A760" t="str">
            <v>ORD200758</v>
          </cell>
          <cell r="B760">
            <v>45011</v>
          </cell>
          <cell r="C760" t="str">
            <v>C69021</v>
          </cell>
          <cell r="D760" t="str">
            <v>Tablet</v>
          </cell>
          <cell r="E760">
            <v>3</v>
          </cell>
          <cell r="F760">
            <v>624.84</v>
          </cell>
          <cell r="G760" t="str">
            <v>917 Main St</v>
          </cell>
          <cell r="H760" t="str">
            <v>Credit Card</v>
          </cell>
          <cell r="I760" t="str">
            <v>Cancelled</v>
          </cell>
          <cell r="J760" t="str">
            <v>TRK57148510</v>
          </cell>
          <cell r="K760">
            <v>8</v>
          </cell>
          <cell r="L760" t="str">
            <v>WINTER15</v>
          </cell>
          <cell r="M760" t="str">
            <v>Facebook</v>
          </cell>
          <cell r="N760">
            <v>1874.52</v>
          </cell>
        </row>
        <row r="761">
          <cell r="A761" t="str">
            <v>ORD200759</v>
          </cell>
          <cell r="B761">
            <v>45131</v>
          </cell>
          <cell r="C761" t="str">
            <v>C96283</v>
          </cell>
          <cell r="D761" t="str">
            <v>Desk</v>
          </cell>
          <cell r="E761">
            <v>3</v>
          </cell>
          <cell r="F761">
            <v>308.01</v>
          </cell>
          <cell r="G761" t="str">
            <v>366 Main St</v>
          </cell>
          <cell r="H761" t="str">
            <v>Cash</v>
          </cell>
          <cell r="I761" t="str">
            <v>Pending</v>
          </cell>
          <cell r="J761" t="str">
            <v>TRK91784124</v>
          </cell>
          <cell r="K761">
            <v>3</v>
          </cell>
          <cell r="L761" t="str">
            <v>FREESHIP</v>
          </cell>
          <cell r="M761" t="str">
            <v>Facebook</v>
          </cell>
          <cell r="N761">
            <v>924.03</v>
          </cell>
        </row>
        <row r="762">
          <cell r="A762" t="str">
            <v>ORD200760</v>
          </cell>
          <cell r="B762">
            <v>45706</v>
          </cell>
          <cell r="C762" t="str">
            <v>C96636</v>
          </cell>
          <cell r="D762" t="str">
            <v>Desk</v>
          </cell>
          <cell r="E762">
            <v>1</v>
          </cell>
          <cell r="F762">
            <v>39.56</v>
          </cell>
          <cell r="G762" t="str">
            <v>283 Main St</v>
          </cell>
          <cell r="H762" t="str">
            <v>Debit Card</v>
          </cell>
          <cell r="I762" t="str">
            <v>Cancelled</v>
          </cell>
          <cell r="J762" t="str">
            <v>TRK73324346</v>
          </cell>
          <cell r="K762">
            <v>5</v>
          </cell>
          <cell r="L762" t="str">
            <v>No Coupon</v>
          </cell>
          <cell r="M762" t="str">
            <v>Google</v>
          </cell>
          <cell r="N762">
            <v>39.56</v>
          </cell>
        </row>
        <row r="763">
          <cell r="A763" t="str">
            <v>ORD200761</v>
          </cell>
          <cell r="B763">
            <v>45079</v>
          </cell>
          <cell r="C763" t="str">
            <v>C37235</v>
          </cell>
          <cell r="D763" t="str">
            <v>Desk</v>
          </cell>
          <cell r="E763">
            <v>4</v>
          </cell>
          <cell r="F763">
            <v>37.76</v>
          </cell>
          <cell r="G763" t="str">
            <v>217 Main St</v>
          </cell>
          <cell r="H763" t="str">
            <v>Debit Card</v>
          </cell>
          <cell r="I763" t="str">
            <v>Delivered</v>
          </cell>
          <cell r="J763" t="str">
            <v>TRK67789367</v>
          </cell>
          <cell r="K763">
            <v>7</v>
          </cell>
          <cell r="L763" t="str">
            <v>No Coupon</v>
          </cell>
          <cell r="M763" t="str">
            <v>Google</v>
          </cell>
          <cell r="N763">
            <v>151.04</v>
          </cell>
        </row>
        <row r="764">
          <cell r="A764" t="str">
            <v>ORD200762</v>
          </cell>
          <cell r="B764">
            <v>45552</v>
          </cell>
          <cell r="C764" t="str">
            <v>C12444</v>
          </cell>
          <cell r="D764" t="str">
            <v>Phone</v>
          </cell>
          <cell r="E764">
            <v>3</v>
          </cell>
          <cell r="F764">
            <v>76.959999999999994</v>
          </cell>
          <cell r="G764" t="str">
            <v>611 Main St</v>
          </cell>
          <cell r="H764" t="str">
            <v>Cash</v>
          </cell>
          <cell r="I764" t="str">
            <v>Returned</v>
          </cell>
          <cell r="J764" t="str">
            <v>TRK97621403</v>
          </cell>
          <cell r="K764">
            <v>8</v>
          </cell>
          <cell r="L764" t="str">
            <v>FREESHIP</v>
          </cell>
          <cell r="M764" t="str">
            <v>Email</v>
          </cell>
          <cell r="N764">
            <v>230.88</v>
          </cell>
        </row>
        <row r="765">
          <cell r="A765" t="str">
            <v>ORD200763</v>
          </cell>
          <cell r="B765">
            <v>45022</v>
          </cell>
          <cell r="C765" t="str">
            <v>C79142</v>
          </cell>
          <cell r="D765" t="str">
            <v>Laptop</v>
          </cell>
          <cell r="E765">
            <v>1</v>
          </cell>
          <cell r="F765">
            <v>569.96</v>
          </cell>
          <cell r="G765" t="str">
            <v>533 Main St</v>
          </cell>
          <cell r="H765" t="str">
            <v>Online</v>
          </cell>
          <cell r="I765" t="str">
            <v>Delivered</v>
          </cell>
          <cell r="J765" t="str">
            <v>TRK30915955</v>
          </cell>
          <cell r="K765">
            <v>4</v>
          </cell>
          <cell r="L765" t="str">
            <v>FREESHIP</v>
          </cell>
          <cell r="M765" t="str">
            <v>Email</v>
          </cell>
          <cell r="N765">
            <v>569.96</v>
          </cell>
        </row>
        <row r="766">
          <cell r="A766" t="str">
            <v>ORD200764</v>
          </cell>
          <cell r="B766">
            <v>45361</v>
          </cell>
          <cell r="C766" t="str">
            <v>C35983</v>
          </cell>
          <cell r="D766" t="str">
            <v>Laptop</v>
          </cell>
          <cell r="E766">
            <v>5</v>
          </cell>
          <cell r="F766">
            <v>627.42999999999995</v>
          </cell>
          <cell r="G766" t="str">
            <v>806 Main St</v>
          </cell>
          <cell r="H766" t="str">
            <v>Credit Card</v>
          </cell>
          <cell r="I766" t="str">
            <v>Cancelled</v>
          </cell>
          <cell r="J766" t="str">
            <v>TRK14016163</v>
          </cell>
          <cell r="K766">
            <v>10</v>
          </cell>
          <cell r="L766" t="str">
            <v>FREESHIP</v>
          </cell>
          <cell r="M766" t="str">
            <v>Email</v>
          </cell>
          <cell r="N766">
            <v>3137.1499999999996</v>
          </cell>
        </row>
        <row r="767">
          <cell r="A767" t="str">
            <v>ORD200765</v>
          </cell>
          <cell r="B767">
            <v>45205</v>
          </cell>
          <cell r="C767" t="str">
            <v>C36150</v>
          </cell>
          <cell r="D767" t="str">
            <v>Laptop</v>
          </cell>
          <cell r="E767">
            <v>2</v>
          </cell>
          <cell r="F767">
            <v>534.91</v>
          </cell>
          <cell r="G767" t="str">
            <v>281 Main St</v>
          </cell>
          <cell r="H767" t="str">
            <v>Debit Card</v>
          </cell>
          <cell r="I767" t="str">
            <v>Returned</v>
          </cell>
          <cell r="J767" t="str">
            <v>TRK96249043</v>
          </cell>
          <cell r="K767">
            <v>5</v>
          </cell>
          <cell r="L767" t="str">
            <v>SAVE10</v>
          </cell>
          <cell r="M767" t="str">
            <v>Google</v>
          </cell>
          <cell r="N767">
            <v>1069.82</v>
          </cell>
        </row>
        <row r="768">
          <cell r="A768" t="str">
            <v>ORD200766</v>
          </cell>
          <cell r="B768">
            <v>44948</v>
          </cell>
          <cell r="C768" t="str">
            <v>C91454</v>
          </cell>
          <cell r="D768" t="str">
            <v>Printer</v>
          </cell>
          <cell r="E768">
            <v>2</v>
          </cell>
          <cell r="F768">
            <v>278.88</v>
          </cell>
          <cell r="G768" t="str">
            <v>494 Main St</v>
          </cell>
          <cell r="H768" t="str">
            <v>Debit Card</v>
          </cell>
          <cell r="I768" t="str">
            <v>Pending</v>
          </cell>
          <cell r="J768" t="str">
            <v>TRK99985340</v>
          </cell>
          <cell r="K768">
            <v>3</v>
          </cell>
          <cell r="L768" t="str">
            <v>FREESHIP</v>
          </cell>
          <cell r="M768" t="str">
            <v>Referral</v>
          </cell>
          <cell r="N768">
            <v>557.76</v>
          </cell>
        </row>
        <row r="769">
          <cell r="A769" t="str">
            <v>ORD200767</v>
          </cell>
          <cell r="B769">
            <v>45765</v>
          </cell>
          <cell r="C769" t="str">
            <v>C19368</v>
          </cell>
          <cell r="D769" t="str">
            <v>Tablet</v>
          </cell>
          <cell r="E769">
            <v>2</v>
          </cell>
          <cell r="F769">
            <v>323.22000000000003</v>
          </cell>
          <cell r="G769" t="str">
            <v>517 Main St</v>
          </cell>
          <cell r="H769" t="str">
            <v>Credit Card</v>
          </cell>
          <cell r="I769" t="str">
            <v>Delivered</v>
          </cell>
          <cell r="J769" t="str">
            <v>TRK80436037</v>
          </cell>
          <cell r="K769">
            <v>7</v>
          </cell>
          <cell r="L769" t="str">
            <v>No Coupon</v>
          </cell>
          <cell r="M769" t="str">
            <v>Instagram</v>
          </cell>
          <cell r="N769">
            <v>646.44000000000005</v>
          </cell>
        </row>
        <row r="770">
          <cell r="A770" t="str">
            <v>ORD200768</v>
          </cell>
          <cell r="B770">
            <v>45173</v>
          </cell>
          <cell r="C770" t="str">
            <v>C35987</v>
          </cell>
          <cell r="D770" t="str">
            <v>Tablet</v>
          </cell>
          <cell r="E770">
            <v>5</v>
          </cell>
          <cell r="F770">
            <v>653.46</v>
          </cell>
          <cell r="G770" t="str">
            <v>165 Main St</v>
          </cell>
          <cell r="H770" t="str">
            <v>Cash</v>
          </cell>
          <cell r="I770" t="str">
            <v>Cancelled</v>
          </cell>
          <cell r="J770" t="str">
            <v>TRK28918815</v>
          </cell>
          <cell r="K770">
            <v>9</v>
          </cell>
          <cell r="L770" t="str">
            <v>WINTER15</v>
          </cell>
          <cell r="M770" t="str">
            <v>Email</v>
          </cell>
          <cell r="N770">
            <v>3267.3</v>
          </cell>
        </row>
        <row r="771">
          <cell r="A771" t="str">
            <v>ORD200769</v>
          </cell>
          <cell r="B771">
            <v>45113</v>
          </cell>
          <cell r="C771" t="str">
            <v>C13366</v>
          </cell>
          <cell r="D771" t="str">
            <v>Printer</v>
          </cell>
          <cell r="E771">
            <v>4</v>
          </cell>
          <cell r="F771">
            <v>678.55</v>
          </cell>
          <cell r="G771" t="str">
            <v>568 Main St</v>
          </cell>
          <cell r="H771" t="str">
            <v>Cash</v>
          </cell>
          <cell r="I771" t="str">
            <v>Delivered</v>
          </cell>
          <cell r="J771" t="str">
            <v>TRK98691410</v>
          </cell>
          <cell r="K771">
            <v>5</v>
          </cell>
          <cell r="L771" t="str">
            <v>No Coupon</v>
          </cell>
          <cell r="M771" t="str">
            <v>Email</v>
          </cell>
          <cell r="N771">
            <v>2714.2</v>
          </cell>
        </row>
        <row r="772">
          <cell r="A772" t="str">
            <v>ORD200770</v>
          </cell>
          <cell r="B772">
            <v>45333</v>
          </cell>
          <cell r="C772" t="str">
            <v>C72166</v>
          </cell>
          <cell r="D772" t="str">
            <v>Desk</v>
          </cell>
          <cell r="E772">
            <v>1</v>
          </cell>
          <cell r="F772">
            <v>314.38</v>
          </cell>
          <cell r="G772" t="str">
            <v>227 Main St</v>
          </cell>
          <cell r="H772" t="str">
            <v>Online</v>
          </cell>
          <cell r="I772" t="str">
            <v>Returned</v>
          </cell>
          <cell r="J772" t="str">
            <v>TRK67733444</v>
          </cell>
          <cell r="K772">
            <v>6</v>
          </cell>
          <cell r="L772" t="str">
            <v>No Coupon</v>
          </cell>
          <cell r="M772" t="str">
            <v>Google</v>
          </cell>
          <cell r="N772">
            <v>314.38</v>
          </cell>
        </row>
        <row r="773">
          <cell r="A773" t="str">
            <v>ORD200771</v>
          </cell>
          <cell r="B773">
            <v>45455</v>
          </cell>
          <cell r="C773" t="str">
            <v>C20357</v>
          </cell>
          <cell r="D773" t="str">
            <v>Phone</v>
          </cell>
          <cell r="E773">
            <v>3</v>
          </cell>
          <cell r="F773">
            <v>692.44</v>
          </cell>
          <cell r="G773" t="str">
            <v>272 Main St</v>
          </cell>
          <cell r="H773" t="str">
            <v>Debit Card</v>
          </cell>
          <cell r="I773" t="str">
            <v>Cancelled</v>
          </cell>
          <cell r="J773" t="str">
            <v>TRK82236408</v>
          </cell>
          <cell r="K773">
            <v>8</v>
          </cell>
          <cell r="L773" t="str">
            <v>FREESHIP</v>
          </cell>
          <cell r="M773" t="str">
            <v>Google</v>
          </cell>
          <cell r="N773">
            <v>2077.3200000000002</v>
          </cell>
        </row>
        <row r="774">
          <cell r="A774" t="str">
            <v>ORD200772</v>
          </cell>
          <cell r="B774">
            <v>45501</v>
          </cell>
          <cell r="C774" t="str">
            <v>C33802</v>
          </cell>
          <cell r="D774" t="str">
            <v>Monitor</v>
          </cell>
          <cell r="E774">
            <v>1</v>
          </cell>
          <cell r="F774">
            <v>604.87</v>
          </cell>
          <cell r="G774" t="str">
            <v>461 Main St</v>
          </cell>
          <cell r="H774" t="str">
            <v>Online</v>
          </cell>
          <cell r="I774" t="str">
            <v>Delivered</v>
          </cell>
          <cell r="J774" t="str">
            <v>TRK25799478</v>
          </cell>
          <cell r="K774">
            <v>4</v>
          </cell>
          <cell r="L774" t="str">
            <v>No Coupon</v>
          </cell>
          <cell r="M774" t="str">
            <v>Instagram</v>
          </cell>
          <cell r="N774">
            <v>604.87</v>
          </cell>
        </row>
        <row r="775">
          <cell r="A775" t="str">
            <v>ORD200773</v>
          </cell>
          <cell r="B775">
            <v>45836</v>
          </cell>
          <cell r="C775" t="str">
            <v>C99205</v>
          </cell>
          <cell r="D775" t="str">
            <v>Phone</v>
          </cell>
          <cell r="E775">
            <v>2</v>
          </cell>
          <cell r="F775">
            <v>512.33000000000004</v>
          </cell>
          <cell r="G775" t="str">
            <v>415 Main St</v>
          </cell>
          <cell r="H775" t="str">
            <v>Cash</v>
          </cell>
          <cell r="I775" t="str">
            <v>Cancelled</v>
          </cell>
          <cell r="J775" t="str">
            <v>TRK48904015</v>
          </cell>
          <cell r="K775">
            <v>7</v>
          </cell>
          <cell r="L775" t="str">
            <v>No Coupon</v>
          </cell>
          <cell r="M775" t="str">
            <v>Facebook</v>
          </cell>
          <cell r="N775">
            <v>1024.6600000000001</v>
          </cell>
        </row>
        <row r="776">
          <cell r="A776" t="str">
            <v>ORD200774</v>
          </cell>
          <cell r="B776">
            <v>45762</v>
          </cell>
          <cell r="C776" t="str">
            <v>C29701</v>
          </cell>
          <cell r="D776" t="str">
            <v>Chair</v>
          </cell>
          <cell r="E776">
            <v>3</v>
          </cell>
          <cell r="F776">
            <v>20.54</v>
          </cell>
          <cell r="G776" t="str">
            <v>257 Main St</v>
          </cell>
          <cell r="H776" t="str">
            <v>Credit Card</v>
          </cell>
          <cell r="I776" t="str">
            <v>Cancelled</v>
          </cell>
          <cell r="J776" t="str">
            <v>TRK42266846</v>
          </cell>
          <cell r="K776">
            <v>3</v>
          </cell>
          <cell r="L776" t="str">
            <v>FREESHIP</v>
          </cell>
          <cell r="M776" t="str">
            <v>Instagram</v>
          </cell>
          <cell r="N776">
            <v>61.62</v>
          </cell>
        </row>
        <row r="777">
          <cell r="A777" t="str">
            <v>ORD200775</v>
          </cell>
          <cell r="B777">
            <v>44989</v>
          </cell>
          <cell r="C777" t="str">
            <v>C73941</v>
          </cell>
          <cell r="D777" t="str">
            <v>Phone</v>
          </cell>
          <cell r="E777">
            <v>2</v>
          </cell>
          <cell r="F777">
            <v>625.22</v>
          </cell>
          <cell r="G777" t="str">
            <v>569 Main St</v>
          </cell>
          <cell r="H777" t="str">
            <v>Online</v>
          </cell>
          <cell r="I777" t="str">
            <v>Cancelled</v>
          </cell>
          <cell r="J777" t="str">
            <v>TRK22051900</v>
          </cell>
          <cell r="K777">
            <v>5</v>
          </cell>
          <cell r="L777" t="str">
            <v>No Coupon</v>
          </cell>
          <cell r="M777" t="str">
            <v>Google</v>
          </cell>
          <cell r="N777">
            <v>1250.44</v>
          </cell>
        </row>
        <row r="778">
          <cell r="A778" t="str">
            <v>ORD200776</v>
          </cell>
          <cell r="B778">
            <v>45159</v>
          </cell>
          <cell r="C778" t="str">
            <v>C69168</v>
          </cell>
          <cell r="D778" t="str">
            <v>Tablet</v>
          </cell>
          <cell r="E778">
            <v>1</v>
          </cell>
          <cell r="F778">
            <v>21.19</v>
          </cell>
          <cell r="G778" t="str">
            <v>482 Main St</v>
          </cell>
          <cell r="H778" t="str">
            <v>Cash</v>
          </cell>
          <cell r="I778" t="str">
            <v>Returned</v>
          </cell>
          <cell r="J778" t="str">
            <v>TRK10446197</v>
          </cell>
          <cell r="K778">
            <v>5</v>
          </cell>
          <cell r="L778" t="str">
            <v>WINTER15</v>
          </cell>
          <cell r="M778" t="str">
            <v>Google</v>
          </cell>
          <cell r="N778">
            <v>21.19</v>
          </cell>
        </row>
        <row r="779">
          <cell r="A779" t="str">
            <v>ORD200777</v>
          </cell>
          <cell r="B779">
            <v>45737</v>
          </cell>
          <cell r="C779" t="str">
            <v>C66116</v>
          </cell>
          <cell r="D779" t="str">
            <v>Chair</v>
          </cell>
          <cell r="E779">
            <v>5</v>
          </cell>
          <cell r="F779">
            <v>64.489999999999995</v>
          </cell>
          <cell r="G779" t="str">
            <v>633 Main St</v>
          </cell>
          <cell r="H779" t="str">
            <v>Online</v>
          </cell>
          <cell r="I779" t="str">
            <v>Cancelled</v>
          </cell>
          <cell r="J779" t="str">
            <v>TRK41967983</v>
          </cell>
          <cell r="K779">
            <v>7</v>
          </cell>
          <cell r="L779" t="str">
            <v>No Coupon</v>
          </cell>
          <cell r="M779" t="str">
            <v>Facebook</v>
          </cell>
          <cell r="N779">
            <v>322.45</v>
          </cell>
        </row>
        <row r="780">
          <cell r="A780" t="str">
            <v>ORD200778</v>
          </cell>
          <cell r="B780">
            <v>45044</v>
          </cell>
          <cell r="C780" t="str">
            <v>C85059</v>
          </cell>
          <cell r="D780" t="str">
            <v>Laptop</v>
          </cell>
          <cell r="E780">
            <v>4</v>
          </cell>
          <cell r="F780">
            <v>246.85</v>
          </cell>
          <cell r="G780" t="str">
            <v>316 Main St</v>
          </cell>
          <cell r="H780" t="str">
            <v>Credit Card</v>
          </cell>
          <cell r="I780" t="str">
            <v>Shipped</v>
          </cell>
          <cell r="J780" t="str">
            <v>TRK56503740</v>
          </cell>
          <cell r="K780">
            <v>8</v>
          </cell>
          <cell r="L780" t="str">
            <v>WINTER15</v>
          </cell>
          <cell r="M780" t="str">
            <v>Google</v>
          </cell>
          <cell r="N780">
            <v>987.4</v>
          </cell>
        </row>
        <row r="781">
          <cell r="A781" t="str">
            <v>ORD200779</v>
          </cell>
          <cell r="B781">
            <v>45261</v>
          </cell>
          <cell r="C781" t="str">
            <v>C18076</v>
          </cell>
          <cell r="D781" t="str">
            <v>Phone</v>
          </cell>
          <cell r="E781">
            <v>3</v>
          </cell>
          <cell r="F781">
            <v>588.74</v>
          </cell>
          <cell r="G781" t="str">
            <v>751 Main St</v>
          </cell>
          <cell r="H781" t="str">
            <v>Debit Card</v>
          </cell>
          <cell r="I781" t="str">
            <v>Pending</v>
          </cell>
          <cell r="J781" t="str">
            <v>TRK26661705</v>
          </cell>
          <cell r="K781">
            <v>8</v>
          </cell>
          <cell r="L781" t="str">
            <v>FREESHIP</v>
          </cell>
          <cell r="M781" t="str">
            <v>Email</v>
          </cell>
          <cell r="N781">
            <v>1766.22</v>
          </cell>
        </row>
        <row r="782">
          <cell r="A782" t="str">
            <v>ORD200780</v>
          </cell>
          <cell r="B782">
            <v>45382</v>
          </cell>
          <cell r="C782" t="str">
            <v>C41284</v>
          </cell>
          <cell r="D782" t="str">
            <v>Laptop</v>
          </cell>
          <cell r="E782">
            <v>4</v>
          </cell>
          <cell r="F782">
            <v>184.48</v>
          </cell>
          <cell r="G782" t="str">
            <v>661 Main St</v>
          </cell>
          <cell r="H782" t="str">
            <v>Online</v>
          </cell>
          <cell r="I782" t="str">
            <v>Cancelled</v>
          </cell>
          <cell r="J782" t="str">
            <v>TRK73613128</v>
          </cell>
          <cell r="K782">
            <v>4</v>
          </cell>
          <cell r="L782" t="str">
            <v>WINTER15</v>
          </cell>
          <cell r="M782" t="str">
            <v>Google</v>
          </cell>
          <cell r="N782">
            <v>737.92</v>
          </cell>
        </row>
        <row r="783">
          <cell r="A783" t="str">
            <v>ORD200781</v>
          </cell>
          <cell r="B783">
            <v>45301</v>
          </cell>
          <cell r="C783" t="str">
            <v>C43524</v>
          </cell>
          <cell r="D783" t="str">
            <v>Phone</v>
          </cell>
          <cell r="E783">
            <v>5</v>
          </cell>
          <cell r="F783">
            <v>524.26</v>
          </cell>
          <cell r="G783" t="str">
            <v>934 Main St</v>
          </cell>
          <cell r="H783" t="str">
            <v>Gift Card</v>
          </cell>
          <cell r="I783" t="str">
            <v>Delivered</v>
          </cell>
          <cell r="J783" t="str">
            <v>TRK51479426</v>
          </cell>
          <cell r="K783">
            <v>5</v>
          </cell>
          <cell r="L783" t="str">
            <v>FREESHIP</v>
          </cell>
          <cell r="M783" t="str">
            <v>Referral</v>
          </cell>
          <cell r="N783">
            <v>2621.3000000000002</v>
          </cell>
        </row>
        <row r="784">
          <cell r="A784" t="str">
            <v>ORD200782</v>
          </cell>
          <cell r="B784">
            <v>45515</v>
          </cell>
          <cell r="C784" t="str">
            <v>C58063</v>
          </cell>
          <cell r="D784" t="str">
            <v>Monitor</v>
          </cell>
          <cell r="E784">
            <v>2</v>
          </cell>
          <cell r="F784">
            <v>493.63</v>
          </cell>
          <cell r="G784" t="str">
            <v>167 Main St</v>
          </cell>
          <cell r="H784" t="str">
            <v>Online</v>
          </cell>
          <cell r="I784" t="str">
            <v>Returned</v>
          </cell>
          <cell r="J784" t="str">
            <v>TRK50548869</v>
          </cell>
          <cell r="K784">
            <v>6</v>
          </cell>
          <cell r="L784" t="str">
            <v>SAVE10</v>
          </cell>
          <cell r="M784" t="str">
            <v>Referral</v>
          </cell>
          <cell r="N784">
            <v>987.26</v>
          </cell>
        </row>
        <row r="785">
          <cell r="A785" t="str">
            <v>ORD200783</v>
          </cell>
          <cell r="B785">
            <v>45803</v>
          </cell>
          <cell r="C785" t="str">
            <v>C19937</v>
          </cell>
          <cell r="D785" t="str">
            <v>Printer</v>
          </cell>
          <cell r="E785">
            <v>1</v>
          </cell>
          <cell r="F785">
            <v>438.34</v>
          </cell>
          <cell r="G785" t="str">
            <v>281 Main St</v>
          </cell>
          <cell r="H785" t="str">
            <v>Gift Card</v>
          </cell>
          <cell r="I785" t="str">
            <v>Returned</v>
          </cell>
          <cell r="J785" t="str">
            <v>TRK46990083</v>
          </cell>
          <cell r="K785">
            <v>5</v>
          </cell>
          <cell r="L785" t="str">
            <v>FREESHIP</v>
          </cell>
          <cell r="M785" t="str">
            <v>Facebook</v>
          </cell>
          <cell r="N785">
            <v>438.34</v>
          </cell>
        </row>
        <row r="786">
          <cell r="A786" t="str">
            <v>ORD200784</v>
          </cell>
          <cell r="B786">
            <v>45793</v>
          </cell>
          <cell r="C786" t="str">
            <v>C21191</v>
          </cell>
          <cell r="D786" t="str">
            <v>Laptop</v>
          </cell>
          <cell r="E786">
            <v>1</v>
          </cell>
          <cell r="F786">
            <v>325.81</v>
          </cell>
          <cell r="G786" t="str">
            <v>232 Main St</v>
          </cell>
          <cell r="H786" t="str">
            <v>Credit Card</v>
          </cell>
          <cell r="I786" t="str">
            <v>Pending</v>
          </cell>
          <cell r="J786" t="str">
            <v>TRK85771230</v>
          </cell>
          <cell r="K786">
            <v>1</v>
          </cell>
          <cell r="L786" t="str">
            <v>WINTER15</v>
          </cell>
          <cell r="M786" t="str">
            <v>Referral</v>
          </cell>
          <cell r="N786">
            <v>325.81</v>
          </cell>
        </row>
        <row r="787">
          <cell r="A787" t="str">
            <v>ORD200785</v>
          </cell>
          <cell r="B787">
            <v>45136</v>
          </cell>
          <cell r="C787" t="str">
            <v>C45862</v>
          </cell>
          <cell r="D787" t="str">
            <v>Chair</v>
          </cell>
          <cell r="E787">
            <v>1</v>
          </cell>
          <cell r="F787">
            <v>176.1</v>
          </cell>
          <cell r="G787" t="str">
            <v>342 Main St</v>
          </cell>
          <cell r="H787" t="str">
            <v>Credit Card</v>
          </cell>
          <cell r="I787" t="str">
            <v>Pending</v>
          </cell>
          <cell r="J787" t="str">
            <v>TRK53089983</v>
          </cell>
          <cell r="K787">
            <v>1</v>
          </cell>
          <cell r="L787" t="str">
            <v>SAVE10</v>
          </cell>
          <cell r="M787" t="str">
            <v>Instagram</v>
          </cell>
          <cell r="N787">
            <v>176.1</v>
          </cell>
        </row>
        <row r="788">
          <cell r="A788" t="str">
            <v>ORD200786</v>
          </cell>
          <cell r="B788">
            <v>45161</v>
          </cell>
          <cell r="C788" t="str">
            <v>C39130</v>
          </cell>
          <cell r="D788" t="str">
            <v>Chair</v>
          </cell>
          <cell r="E788">
            <v>5</v>
          </cell>
          <cell r="F788">
            <v>45.31</v>
          </cell>
          <cell r="G788" t="str">
            <v>774 Main St</v>
          </cell>
          <cell r="H788" t="str">
            <v>Online</v>
          </cell>
          <cell r="I788" t="str">
            <v>Cancelled</v>
          </cell>
          <cell r="J788" t="str">
            <v>TRK99583414</v>
          </cell>
          <cell r="K788">
            <v>8</v>
          </cell>
          <cell r="L788" t="str">
            <v>No Coupon</v>
          </cell>
          <cell r="M788" t="str">
            <v>Referral</v>
          </cell>
          <cell r="N788">
            <v>226.55</v>
          </cell>
        </row>
        <row r="789">
          <cell r="A789" t="str">
            <v>ORD200787</v>
          </cell>
          <cell r="B789">
            <v>45368</v>
          </cell>
          <cell r="C789" t="str">
            <v>C18167</v>
          </cell>
          <cell r="D789" t="str">
            <v>Desk</v>
          </cell>
          <cell r="E789">
            <v>4</v>
          </cell>
          <cell r="F789">
            <v>221.96</v>
          </cell>
          <cell r="G789" t="str">
            <v>193 Main St</v>
          </cell>
          <cell r="H789" t="str">
            <v>Cash</v>
          </cell>
          <cell r="I789" t="str">
            <v>Delivered</v>
          </cell>
          <cell r="J789" t="str">
            <v>TRK36841089</v>
          </cell>
          <cell r="K789">
            <v>7</v>
          </cell>
          <cell r="L789" t="str">
            <v>No Coupon</v>
          </cell>
          <cell r="M789" t="str">
            <v>Google</v>
          </cell>
          <cell r="N789">
            <v>887.84</v>
          </cell>
        </row>
        <row r="790">
          <cell r="A790" t="str">
            <v>ORD200788</v>
          </cell>
          <cell r="B790">
            <v>45232</v>
          </cell>
          <cell r="C790" t="str">
            <v>C47307</v>
          </cell>
          <cell r="D790" t="str">
            <v>Chair</v>
          </cell>
          <cell r="E790">
            <v>2</v>
          </cell>
          <cell r="F790">
            <v>601.42999999999995</v>
          </cell>
          <cell r="G790" t="str">
            <v>761 Main St</v>
          </cell>
          <cell r="H790" t="str">
            <v>Online</v>
          </cell>
          <cell r="I790" t="str">
            <v>Pending</v>
          </cell>
          <cell r="J790" t="str">
            <v>TRK43516112</v>
          </cell>
          <cell r="K790">
            <v>5</v>
          </cell>
          <cell r="L790" t="str">
            <v>FREESHIP</v>
          </cell>
          <cell r="M790" t="str">
            <v>Instagram</v>
          </cell>
          <cell r="N790">
            <v>1202.8599999999999</v>
          </cell>
        </row>
        <row r="791">
          <cell r="A791" t="str">
            <v>ORD200789</v>
          </cell>
          <cell r="B791">
            <v>45155</v>
          </cell>
          <cell r="C791" t="str">
            <v>C57276</v>
          </cell>
          <cell r="D791" t="str">
            <v>Tablet</v>
          </cell>
          <cell r="E791">
            <v>5</v>
          </cell>
          <cell r="F791">
            <v>691.28</v>
          </cell>
          <cell r="G791" t="str">
            <v>183 Main St</v>
          </cell>
          <cell r="H791" t="str">
            <v>Online</v>
          </cell>
          <cell r="I791" t="str">
            <v>Delivered</v>
          </cell>
          <cell r="J791" t="str">
            <v>TRK75899752</v>
          </cell>
          <cell r="K791">
            <v>10</v>
          </cell>
          <cell r="L791" t="str">
            <v>SAVE10</v>
          </cell>
          <cell r="M791" t="str">
            <v>Email</v>
          </cell>
          <cell r="N791">
            <v>3456.3999999999996</v>
          </cell>
        </row>
        <row r="792">
          <cell r="A792" t="str">
            <v>ORD200790</v>
          </cell>
          <cell r="B792">
            <v>45549</v>
          </cell>
          <cell r="C792" t="str">
            <v>C38928</v>
          </cell>
          <cell r="D792" t="str">
            <v>Laptop</v>
          </cell>
          <cell r="E792">
            <v>4</v>
          </cell>
          <cell r="F792">
            <v>417.89</v>
          </cell>
          <cell r="G792" t="str">
            <v>302 Main St</v>
          </cell>
          <cell r="H792" t="str">
            <v>Gift Card</v>
          </cell>
          <cell r="I792" t="str">
            <v>Pending</v>
          </cell>
          <cell r="J792" t="str">
            <v>TRK96636009</v>
          </cell>
          <cell r="K792">
            <v>4</v>
          </cell>
          <cell r="L792" t="str">
            <v>No Coupon</v>
          </cell>
          <cell r="M792" t="str">
            <v>Google</v>
          </cell>
          <cell r="N792">
            <v>1671.56</v>
          </cell>
        </row>
        <row r="793">
          <cell r="A793" t="str">
            <v>ORD200791</v>
          </cell>
          <cell r="B793">
            <v>45304</v>
          </cell>
          <cell r="C793" t="str">
            <v>C49710</v>
          </cell>
          <cell r="D793" t="str">
            <v>Chair</v>
          </cell>
          <cell r="E793">
            <v>4</v>
          </cell>
          <cell r="F793">
            <v>409.28</v>
          </cell>
          <cell r="G793" t="str">
            <v>956 Main St</v>
          </cell>
          <cell r="H793" t="str">
            <v>Cash</v>
          </cell>
          <cell r="I793" t="str">
            <v>Pending</v>
          </cell>
          <cell r="J793" t="str">
            <v>TRK92591237</v>
          </cell>
          <cell r="K793">
            <v>8</v>
          </cell>
          <cell r="L793" t="str">
            <v>No Coupon</v>
          </cell>
          <cell r="M793" t="str">
            <v>Email</v>
          </cell>
          <cell r="N793">
            <v>1637.12</v>
          </cell>
        </row>
        <row r="794">
          <cell r="A794" t="str">
            <v>ORD200792</v>
          </cell>
          <cell r="B794">
            <v>45093</v>
          </cell>
          <cell r="C794" t="str">
            <v>C41709</v>
          </cell>
          <cell r="D794" t="str">
            <v>Desk</v>
          </cell>
          <cell r="E794">
            <v>2</v>
          </cell>
          <cell r="F794">
            <v>356.35</v>
          </cell>
          <cell r="G794" t="str">
            <v>746 Main St</v>
          </cell>
          <cell r="H794" t="str">
            <v>Debit Card</v>
          </cell>
          <cell r="I794" t="str">
            <v>Returned</v>
          </cell>
          <cell r="J794" t="str">
            <v>TRK90995294</v>
          </cell>
          <cell r="K794">
            <v>6</v>
          </cell>
          <cell r="L794" t="str">
            <v>WINTER15</v>
          </cell>
          <cell r="M794" t="str">
            <v>Facebook</v>
          </cell>
          <cell r="N794">
            <v>712.7</v>
          </cell>
        </row>
        <row r="795">
          <cell r="A795" t="str">
            <v>ORD200793</v>
          </cell>
          <cell r="B795">
            <v>45397</v>
          </cell>
          <cell r="C795" t="str">
            <v>C91255</v>
          </cell>
          <cell r="D795" t="str">
            <v>Chair</v>
          </cell>
          <cell r="E795">
            <v>5</v>
          </cell>
          <cell r="F795">
            <v>170.22</v>
          </cell>
          <cell r="G795" t="str">
            <v>769 Main St</v>
          </cell>
          <cell r="H795" t="str">
            <v>Debit Card</v>
          </cell>
          <cell r="I795" t="str">
            <v>Delivered</v>
          </cell>
          <cell r="J795" t="str">
            <v>TRK69599961</v>
          </cell>
          <cell r="K795">
            <v>8</v>
          </cell>
          <cell r="L795" t="str">
            <v>No Coupon</v>
          </cell>
          <cell r="M795" t="str">
            <v>Referral</v>
          </cell>
          <cell r="N795">
            <v>851.1</v>
          </cell>
        </row>
        <row r="796">
          <cell r="A796" t="str">
            <v>ORD200794</v>
          </cell>
          <cell r="B796">
            <v>44994</v>
          </cell>
          <cell r="C796" t="str">
            <v>C76653</v>
          </cell>
          <cell r="D796" t="str">
            <v>Printer</v>
          </cell>
          <cell r="E796">
            <v>4</v>
          </cell>
          <cell r="F796">
            <v>384.85</v>
          </cell>
          <cell r="G796" t="str">
            <v>988 Main St</v>
          </cell>
          <cell r="H796" t="str">
            <v>Online</v>
          </cell>
          <cell r="I796" t="str">
            <v>Delivered</v>
          </cell>
          <cell r="J796" t="str">
            <v>TRK77052196</v>
          </cell>
          <cell r="K796">
            <v>9</v>
          </cell>
          <cell r="L796" t="str">
            <v>FREESHIP</v>
          </cell>
          <cell r="M796" t="str">
            <v>Instagram</v>
          </cell>
          <cell r="N796">
            <v>1539.4</v>
          </cell>
        </row>
        <row r="797">
          <cell r="A797" t="str">
            <v>ORD200795</v>
          </cell>
          <cell r="B797">
            <v>45616</v>
          </cell>
          <cell r="C797" t="str">
            <v>C95667</v>
          </cell>
          <cell r="D797" t="str">
            <v>Laptop</v>
          </cell>
          <cell r="E797">
            <v>4</v>
          </cell>
          <cell r="F797">
            <v>115.77</v>
          </cell>
          <cell r="G797" t="str">
            <v>586 Main St</v>
          </cell>
          <cell r="H797" t="str">
            <v>Online</v>
          </cell>
          <cell r="I797" t="str">
            <v>Pending</v>
          </cell>
          <cell r="J797" t="str">
            <v>TRK41266666</v>
          </cell>
          <cell r="K797">
            <v>7</v>
          </cell>
          <cell r="L797" t="str">
            <v>SAVE10</v>
          </cell>
          <cell r="M797" t="str">
            <v>Instagram</v>
          </cell>
          <cell r="N797">
            <v>463.08</v>
          </cell>
        </row>
        <row r="798">
          <cell r="A798" t="str">
            <v>ORD200796</v>
          </cell>
          <cell r="B798">
            <v>45776</v>
          </cell>
          <cell r="C798" t="str">
            <v>C33313</v>
          </cell>
          <cell r="D798" t="str">
            <v>Phone</v>
          </cell>
          <cell r="E798">
            <v>3</v>
          </cell>
          <cell r="F798">
            <v>579.54999999999995</v>
          </cell>
          <cell r="G798" t="str">
            <v>882 Main St</v>
          </cell>
          <cell r="H798" t="str">
            <v>Gift Card</v>
          </cell>
          <cell r="I798" t="str">
            <v>Returned</v>
          </cell>
          <cell r="J798" t="str">
            <v>TRK13349970</v>
          </cell>
          <cell r="K798">
            <v>8</v>
          </cell>
          <cell r="L798" t="str">
            <v>WINTER15</v>
          </cell>
          <cell r="M798" t="str">
            <v>Facebook</v>
          </cell>
          <cell r="N798">
            <v>1738.6499999999999</v>
          </cell>
        </row>
        <row r="799">
          <cell r="A799" t="str">
            <v>ORD200797</v>
          </cell>
          <cell r="B799">
            <v>44984</v>
          </cell>
          <cell r="C799" t="str">
            <v>C36825</v>
          </cell>
          <cell r="D799" t="str">
            <v>Laptop</v>
          </cell>
          <cell r="E799">
            <v>2</v>
          </cell>
          <cell r="F799">
            <v>438.76</v>
          </cell>
          <cell r="G799" t="str">
            <v>426 Main St</v>
          </cell>
          <cell r="H799" t="str">
            <v>Debit Card</v>
          </cell>
          <cell r="I799" t="str">
            <v>Returned</v>
          </cell>
          <cell r="J799" t="str">
            <v>TRK72557318</v>
          </cell>
          <cell r="K799">
            <v>2</v>
          </cell>
          <cell r="L799" t="str">
            <v>No Coupon</v>
          </cell>
          <cell r="M799" t="str">
            <v>Facebook</v>
          </cell>
          <cell r="N799">
            <v>877.52</v>
          </cell>
        </row>
        <row r="800">
          <cell r="A800" t="str">
            <v>ORD200798</v>
          </cell>
          <cell r="B800">
            <v>45796</v>
          </cell>
          <cell r="C800" t="str">
            <v>C20861</v>
          </cell>
          <cell r="D800" t="str">
            <v>Phone</v>
          </cell>
          <cell r="E800">
            <v>5</v>
          </cell>
          <cell r="F800">
            <v>488.35</v>
          </cell>
          <cell r="G800" t="str">
            <v>968 Main St</v>
          </cell>
          <cell r="H800" t="str">
            <v>Debit Card</v>
          </cell>
          <cell r="I800" t="str">
            <v>Returned</v>
          </cell>
          <cell r="J800" t="str">
            <v>TRK89372013</v>
          </cell>
          <cell r="K800">
            <v>9</v>
          </cell>
          <cell r="L800" t="str">
            <v>FREESHIP</v>
          </cell>
          <cell r="M800" t="str">
            <v>Email</v>
          </cell>
          <cell r="N800">
            <v>2441.75</v>
          </cell>
        </row>
        <row r="801">
          <cell r="A801" t="str">
            <v>ORD200799</v>
          </cell>
          <cell r="B801">
            <v>45032</v>
          </cell>
          <cell r="C801" t="str">
            <v>C26364</v>
          </cell>
          <cell r="D801" t="str">
            <v>Laptop</v>
          </cell>
          <cell r="E801">
            <v>4</v>
          </cell>
          <cell r="F801">
            <v>328.56</v>
          </cell>
          <cell r="G801" t="str">
            <v>803 Main St</v>
          </cell>
          <cell r="H801" t="str">
            <v>Debit Card</v>
          </cell>
          <cell r="I801" t="str">
            <v>Returned</v>
          </cell>
          <cell r="J801" t="str">
            <v>TRK78924436</v>
          </cell>
          <cell r="K801">
            <v>4</v>
          </cell>
          <cell r="L801" t="str">
            <v>FREESHIP</v>
          </cell>
          <cell r="M801" t="str">
            <v>Email</v>
          </cell>
          <cell r="N801">
            <v>1314.24</v>
          </cell>
        </row>
        <row r="802">
          <cell r="A802" t="str">
            <v>ORD200800</v>
          </cell>
          <cell r="B802">
            <v>45744</v>
          </cell>
          <cell r="C802" t="str">
            <v>C34686</v>
          </cell>
          <cell r="D802" t="str">
            <v>Tablet</v>
          </cell>
          <cell r="E802">
            <v>1</v>
          </cell>
          <cell r="F802">
            <v>68.39</v>
          </cell>
          <cell r="G802" t="str">
            <v>412 Main St</v>
          </cell>
          <cell r="H802" t="str">
            <v>Online</v>
          </cell>
          <cell r="I802" t="str">
            <v>Returned</v>
          </cell>
          <cell r="J802" t="str">
            <v>TRK99468332</v>
          </cell>
          <cell r="K802">
            <v>3</v>
          </cell>
          <cell r="L802" t="str">
            <v>WINTER15</v>
          </cell>
          <cell r="M802" t="str">
            <v>Facebook</v>
          </cell>
          <cell r="N802">
            <v>68.39</v>
          </cell>
        </row>
        <row r="803">
          <cell r="A803" t="str">
            <v>ORD200801</v>
          </cell>
          <cell r="B803">
            <v>45049</v>
          </cell>
          <cell r="C803" t="str">
            <v>C97593</v>
          </cell>
          <cell r="D803" t="str">
            <v>Printer</v>
          </cell>
          <cell r="E803">
            <v>4</v>
          </cell>
          <cell r="F803">
            <v>595.62</v>
          </cell>
          <cell r="G803" t="str">
            <v>738 Main St</v>
          </cell>
          <cell r="H803" t="str">
            <v>Debit Card</v>
          </cell>
          <cell r="I803" t="str">
            <v>Pending</v>
          </cell>
          <cell r="J803" t="str">
            <v>TRK58443593</v>
          </cell>
          <cell r="K803">
            <v>8</v>
          </cell>
          <cell r="L803" t="str">
            <v>FREESHIP</v>
          </cell>
          <cell r="M803" t="str">
            <v>Facebook</v>
          </cell>
          <cell r="N803">
            <v>2382.48</v>
          </cell>
        </row>
        <row r="804">
          <cell r="A804" t="str">
            <v>ORD200802</v>
          </cell>
          <cell r="B804">
            <v>45339</v>
          </cell>
          <cell r="C804" t="str">
            <v>C84331</v>
          </cell>
          <cell r="D804" t="str">
            <v>Chair</v>
          </cell>
          <cell r="E804">
            <v>5</v>
          </cell>
          <cell r="F804">
            <v>644.64</v>
          </cell>
          <cell r="G804" t="str">
            <v>205 Main St</v>
          </cell>
          <cell r="H804" t="str">
            <v>Gift Card</v>
          </cell>
          <cell r="I804" t="str">
            <v>Cancelled</v>
          </cell>
          <cell r="J804" t="str">
            <v>TRK34440714</v>
          </cell>
          <cell r="K804">
            <v>6</v>
          </cell>
          <cell r="L804" t="str">
            <v>FREESHIP</v>
          </cell>
          <cell r="M804" t="str">
            <v>Email</v>
          </cell>
          <cell r="N804">
            <v>3223.2</v>
          </cell>
        </row>
        <row r="805">
          <cell r="A805" t="str">
            <v>ORD200803</v>
          </cell>
          <cell r="B805">
            <v>45158</v>
          </cell>
          <cell r="C805" t="str">
            <v>C88775</v>
          </cell>
          <cell r="D805" t="str">
            <v>Monitor</v>
          </cell>
          <cell r="E805">
            <v>5</v>
          </cell>
          <cell r="F805">
            <v>397.81</v>
          </cell>
          <cell r="G805" t="str">
            <v>223 Main St</v>
          </cell>
          <cell r="H805" t="str">
            <v>Debit Card</v>
          </cell>
          <cell r="I805" t="str">
            <v>Returned</v>
          </cell>
          <cell r="J805" t="str">
            <v>TRK45098068</v>
          </cell>
          <cell r="K805">
            <v>5</v>
          </cell>
          <cell r="L805" t="str">
            <v>SAVE10</v>
          </cell>
          <cell r="M805" t="str">
            <v>Referral</v>
          </cell>
          <cell r="N805">
            <v>1989.05</v>
          </cell>
        </row>
        <row r="806">
          <cell r="A806" t="str">
            <v>ORD200804</v>
          </cell>
          <cell r="B806">
            <v>45292</v>
          </cell>
          <cell r="C806" t="str">
            <v>C76362</v>
          </cell>
          <cell r="D806" t="str">
            <v>Chair</v>
          </cell>
          <cell r="E806">
            <v>3</v>
          </cell>
          <cell r="F806">
            <v>236.5</v>
          </cell>
          <cell r="G806" t="str">
            <v>916 Main St</v>
          </cell>
          <cell r="H806" t="str">
            <v>Online</v>
          </cell>
          <cell r="I806" t="str">
            <v>Delivered</v>
          </cell>
          <cell r="J806" t="str">
            <v>TRK11868618</v>
          </cell>
          <cell r="K806">
            <v>8</v>
          </cell>
          <cell r="L806" t="str">
            <v>FREESHIP</v>
          </cell>
          <cell r="M806" t="str">
            <v>Email</v>
          </cell>
          <cell r="N806">
            <v>709.5</v>
          </cell>
        </row>
        <row r="807">
          <cell r="A807" t="str">
            <v>ORD200805</v>
          </cell>
          <cell r="B807">
            <v>45580</v>
          </cell>
          <cell r="C807" t="str">
            <v>C59278</v>
          </cell>
          <cell r="D807" t="str">
            <v>Laptop</v>
          </cell>
          <cell r="E807">
            <v>5</v>
          </cell>
          <cell r="F807">
            <v>472.01</v>
          </cell>
          <cell r="G807" t="str">
            <v>178 Main St</v>
          </cell>
          <cell r="H807" t="str">
            <v>Gift Card</v>
          </cell>
          <cell r="I807" t="str">
            <v>Cancelled</v>
          </cell>
          <cell r="J807" t="str">
            <v>TRK14590037</v>
          </cell>
          <cell r="K807">
            <v>10</v>
          </cell>
          <cell r="L807" t="str">
            <v>SAVE10</v>
          </cell>
          <cell r="M807" t="str">
            <v>Email</v>
          </cell>
          <cell r="N807">
            <v>2360.0500000000002</v>
          </cell>
        </row>
        <row r="808">
          <cell r="A808" t="str">
            <v>ORD200806</v>
          </cell>
          <cell r="B808">
            <v>45170</v>
          </cell>
          <cell r="C808" t="str">
            <v>C55819</v>
          </cell>
          <cell r="D808" t="str">
            <v>Chair</v>
          </cell>
          <cell r="E808">
            <v>5</v>
          </cell>
          <cell r="F808">
            <v>253.75</v>
          </cell>
          <cell r="G808" t="str">
            <v>740 Main St</v>
          </cell>
          <cell r="H808" t="str">
            <v>Online</v>
          </cell>
          <cell r="I808" t="str">
            <v>Pending</v>
          </cell>
          <cell r="J808" t="str">
            <v>TRK13775054</v>
          </cell>
          <cell r="K808">
            <v>9</v>
          </cell>
          <cell r="L808" t="str">
            <v>WINTER15</v>
          </cell>
          <cell r="M808" t="str">
            <v>Instagram</v>
          </cell>
          <cell r="N808">
            <v>1268.75</v>
          </cell>
        </row>
        <row r="809">
          <cell r="A809" t="str">
            <v>ORD200807</v>
          </cell>
          <cell r="B809">
            <v>45606</v>
          </cell>
          <cell r="C809" t="str">
            <v>C82344</v>
          </cell>
          <cell r="D809" t="str">
            <v>Monitor</v>
          </cell>
          <cell r="E809">
            <v>3</v>
          </cell>
          <cell r="F809">
            <v>676.21</v>
          </cell>
          <cell r="G809" t="str">
            <v>260 Main St</v>
          </cell>
          <cell r="H809" t="str">
            <v>Online</v>
          </cell>
          <cell r="I809" t="str">
            <v>Delivered</v>
          </cell>
          <cell r="J809" t="str">
            <v>TRK70957219</v>
          </cell>
          <cell r="K809">
            <v>5</v>
          </cell>
          <cell r="L809" t="str">
            <v>SAVE10</v>
          </cell>
          <cell r="M809" t="str">
            <v>Google</v>
          </cell>
          <cell r="N809">
            <v>2028.63</v>
          </cell>
        </row>
        <row r="810">
          <cell r="A810" t="str">
            <v>ORD200808</v>
          </cell>
          <cell r="B810">
            <v>45335</v>
          </cell>
          <cell r="C810" t="str">
            <v>C65565</v>
          </cell>
          <cell r="D810" t="str">
            <v>Desk</v>
          </cell>
          <cell r="E810">
            <v>3</v>
          </cell>
          <cell r="F810">
            <v>134.05000000000001</v>
          </cell>
          <cell r="G810" t="str">
            <v>192 Main St</v>
          </cell>
          <cell r="H810" t="str">
            <v>Credit Card</v>
          </cell>
          <cell r="I810" t="str">
            <v>Shipped</v>
          </cell>
          <cell r="J810" t="str">
            <v>TRK80383756</v>
          </cell>
          <cell r="K810">
            <v>3</v>
          </cell>
          <cell r="L810" t="str">
            <v>No Coupon</v>
          </cell>
          <cell r="M810" t="str">
            <v>Google</v>
          </cell>
          <cell r="N810">
            <v>402.15000000000003</v>
          </cell>
        </row>
        <row r="811">
          <cell r="A811" t="str">
            <v>ORD200809</v>
          </cell>
          <cell r="B811">
            <v>45391</v>
          </cell>
          <cell r="C811" t="str">
            <v>C80416</v>
          </cell>
          <cell r="D811" t="str">
            <v>Desk</v>
          </cell>
          <cell r="E811">
            <v>5</v>
          </cell>
          <cell r="F811">
            <v>217.43</v>
          </cell>
          <cell r="G811" t="str">
            <v>752 Main St</v>
          </cell>
          <cell r="H811" t="str">
            <v>Debit Card</v>
          </cell>
          <cell r="I811" t="str">
            <v>Shipped</v>
          </cell>
          <cell r="J811" t="str">
            <v>TRK54385892</v>
          </cell>
          <cell r="K811">
            <v>10</v>
          </cell>
          <cell r="L811" t="str">
            <v>SAVE10</v>
          </cell>
          <cell r="M811" t="str">
            <v>Instagram</v>
          </cell>
          <cell r="N811">
            <v>1087.1500000000001</v>
          </cell>
        </row>
        <row r="812">
          <cell r="A812" t="str">
            <v>ORD200810</v>
          </cell>
          <cell r="B812">
            <v>45077</v>
          </cell>
          <cell r="C812" t="str">
            <v>C23637</v>
          </cell>
          <cell r="D812" t="str">
            <v>Tablet</v>
          </cell>
          <cell r="E812">
            <v>1</v>
          </cell>
          <cell r="F812">
            <v>553.55999999999995</v>
          </cell>
          <cell r="G812" t="str">
            <v>644 Main St</v>
          </cell>
          <cell r="H812" t="str">
            <v>Credit Card</v>
          </cell>
          <cell r="I812" t="str">
            <v>Cancelled</v>
          </cell>
          <cell r="J812" t="str">
            <v>TRK16749863</v>
          </cell>
          <cell r="K812">
            <v>5</v>
          </cell>
          <cell r="L812" t="str">
            <v>No Coupon</v>
          </cell>
          <cell r="M812" t="str">
            <v>Referral</v>
          </cell>
          <cell r="N812">
            <v>553.55999999999995</v>
          </cell>
        </row>
        <row r="813">
          <cell r="A813" t="str">
            <v>ORD200811</v>
          </cell>
          <cell r="B813">
            <v>45235</v>
          </cell>
          <cell r="C813" t="str">
            <v>C24769</v>
          </cell>
          <cell r="D813" t="str">
            <v>Laptop</v>
          </cell>
          <cell r="E813">
            <v>2</v>
          </cell>
          <cell r="F813">
            <v>28.55</v>
          </cell>
          <cell r="G813" t="str">
            <v>864 Main St</v>
          </cell>
          <cell r="H813" t="str">
            <v>Gift Card</v>
          </cell>
          <cell r="I813" t="str">
            <v>Shipped</v>
          </cell>
          <cell r="J813" t="str">
            <v>TRK44538305</v>
          </cell>
          <cell r="K813">
            <v>7</v>
          </cell>
          <cell r="L813" t="str">
            <v>SAVE10</v>
          </cell>
          <cell r="M813" t="str">
            <v>Email</v>
          </cell>
          <cell r="N813">
            <v>57.1</v>
          </cell>
        </row>
        <row r="814">
          <cell r="A814" t="str">
            <v>ORD200812</v>
          </cell>
          <cell r="B814">
            <v>45317</v>
          </cell>
          <cell r="C814" t="str">
            <v>C81547</v>
          </cell>
          <cell r="D814" t="str">
            <v>Phone</v>
          </cell>
          <cell r="E814">
            <v>2</v>
          </cell>
          <cell r="F814">
            <v>255.26</v>
          </cell>
          <cell r="G814" t="str">
            <v>803 Main St</v>
          </cell>
          <cell r="H814" t="str">
            <v>Credit Card</v>
          </cell>
          <cell r="I814" t="str">
            <v>Cancelled</v>
          </cell>
          <cell r="J814" t="str">
            <v>TRK88437123</v>
          </cell>
          <cell r="K814">
            <v>6</v>
          </cell>
          <cell r="L814" t="str">
            <v>FREESHIP</v>
          </cell>
          <cell r="M814" t="str">
            <v>Google</v>
          </cell>
          <cell r="N814">
            <v>510.52</v>
          </cell>
        </row>
        <row r="815">
          <cell r="A815" t="str">
            <v>ORD200813</v>
          </cell>
          <cell r="B815">
            <v>45731</v>
          </cell>
          <cell r="C815" t="str">
            <v>C12813</v>
          </cell>
          <cell r="D815" t="str">
            <v>Laptop</v>
          </cell>
          <cell r="E815">
            <v>5</v>
          </cell>
          <cell r="F815">
            <v>292.54000000000002</v>
          </cell>
          <cell r="G815" t="str">
            <v>263 Main St</v>
          </cell>
          <cell r="H815" t="str">
            <v>Debit Card</v>
          </cell>
          <cell r="I815" t="str">
            <v>Cancelled</v>
          </cell>
          <cell r="J815" t="str">
            <v>TRK36131660</v>
          </cell>
          <cell r="K815">
            <v>8</v>
          </cell>
          <cell r="L815" t="str">
            <v>FREESHIP</v>
          </cell>
          <cell r="M815" t="str">
            <v>Email</v>
          </cell>
          <cell r="N815">
            <v>1462.7</v>
          </cell>
        </row>
        <row r="816">
          <cell r="A816" t="str">
            <v>ORD200814</v>
          </cell>
          <cell r="B816">
            <v>45637</v>
          </cell>
          <cell r="C816" t="str">
            <v>C50732</v>
          </cell>
          <cell r="D816" t="str">
            <v>Chair</v>
          </cell>
          <cell r="E816">
            <v>4</v>
          </cell>
          <cell r="F816">
            <v>147.51</v>
          </cell>
          <cell r="G816" t="str">
            <v>979 Main St</v>
          </cell>
          <cell r="H816" t="str">
            <v>Debit Card</v>
          </cell>
          <cell r="I816" t="str">
            <v>Pending</v>
          </cell>
          <cell r="J816" t="str">
            <v>TRK21082461</v>
          </cell>
          <cell r="K816">
            <v>4</v>
          </cell>
          <cell r="L816" t="str">
            <v>WINTER15</v>
          </cell>
          <cell r="M816" t="str">
            <v>Instagram</v>
          </cell>
          <cell r="N816">
            <v>590.04</v>
          </cell>
        </row>
        <row r="817">
          <cell r="A817" t="str">
            <v>ORD200815</v>
          </cell>
          <cell r="B817">
            <v>45508</v>
          </cell>
          <cell r="C817" t="str">
            <v>C41320</v>
          </cell>
          <cell r="D817" t="str">
            <v>Printer</v>
          </cell>
          <cell r="E817">
            <v>3</v>
          </cell>
          <cell r="F817">
            <v>569.84</v>
          </cell>
          <cell r="G817" t="str">
            <v>920 Main St</v>
          </cell>
          <cell r="H817" t="str">
            <v>Gift Card</v>
          </cell>
          <cell r="I817" t="str">
            <v>Cancelled</v>
          </cell>
          <cell r="J817" t="str">
            <v>TRK77539180</v>
          </cell>
          <cell r="K817">
            <v>8</v>
          </cell>
          <cell r="L817" t="str">
            <v>WINTER15</v>
          </cell>
          <cell r="M817" t="str">
            <v>Instagram</v>
          </cell>
          <cell r="N817">
            <v>1709.52</v>
          </cell>
        </row>
        <row r="818">
          <cell r="A818" t="str">
            <v>ORD200816</v>
          </cell>
          <cell r="B818">
            <v>45343</v>
          </cell>
          <cell r="C818" t="str">
            <v>C55286</v>
          </cell>
          <cell r="D818" t="str">
            <v>Tablet</v>
          </cell>
          <cell r="E818">
            <v>5</v>
          </cell>
          <cell r="F818">
            <v>574.79</v>
          </cell>
          <cell r="G818" t="str">
            <v>497 Main St</v>
          </cell>
          <cell r="H818" t="str">
            <v>Credit Card</v>
          </cell>
          <cell r="I818" t="str">
            <v>Pending</v>
          </cell>
          <cell r="J818" t="str">
            <v>TRK39058734</v>
          </cell>
          <cell r="K818">
            <v>8</v>
          </cell>
          <cell r="L818" t="str">
            <v>WINTER15</v>
          </cell>
          <cell r="M818" t="str">
            <v>Referral</v>
          </cell>
          <cell r="N818">
            <v>2873.95</v>
          </cell>
        </row>
        <row r="819">
          <cell r="A819" t="str">
            <v>ORD200817</v>
          </cell>
          <cell r="B819">
            <v>45204</v>
          </cell>
          <cell r="C819" t="str">
            <v>C87994</v>
          </cell>
          <cell r="D819" t="str">
            <v>Chair</v>
          </cell>
          <cell r="E819">
            <v>4</v>
          </cell>
          <cell r="F819">
            <v>598.19000000000005</v>
          </cell>
          <cell r="G819" t="str">
            <v>430 Main St</v>
          </cell>
          <cell r="H819" t="str">
            <v>Credit Card</v>
          </cell>
          <cell r="I819" t="str">
            <v>Delivered</v>
          </cell>
          <cell r="J819" t="str">
            <v>TRK98883971</v>
          </cell>
          <cell r="K819">
            <v>7</v>
          </cell>
          <cell r="L819" t="str">
            <v>WINTER15</v>
          </cell>
          <cell r="M819" t="str">
            <v>Email</v>
          </cell>
          <cell r="N819">
            <v>2392.7600000000002</v>
          </cell>
        </row>
        <row r="820">
          <cell r="A820" t="str">
            <v>ORD200818</v>
          </cell>
          <cell r="B820">
            <v>44987</v>
          </cell>
          <cell r="C820" t="str">
            <v>C25580</v>
          </cell>
          <cell r="D820" t="str">
            <v>Phone</v>
          </cell>
          <cell r="E820">
            <v>4</v>
          </cell>
          <cell r="F820">
            <v>390.84</v>
          </cell>
          <cell r="G820" t="str">
            <v>860 Main St</v>
          </cell>
          <cell r="H820" t="str">
            <v>Credit Card</v>
          </cell>
          <cell r="I820" t="str">
            <v>Cancelled</v>
          </cell>
          <cell r="J820" t="str">
            <v>TRK58781638</v>
          </cell>
          <cell r="K820">
            <v>9</v>
          </cell>
          <cell r="L820" t="str">
            <v>WINTER15</v>
          </cell>
          <cell r="M820" t="str">
            <v>Referral</v>
          </cell>
          <cell r="N820">
            <v>1563.36</v>
          </cell>
        </row>
        <row r="821">
          <cell r="A821" t="str">
            <v>ORD200819</v>
          </cell>
          <cell r="B821">
            <v>45563</v>
          </cell>
          <cell r="C821" t="str">
            <v>C66196</v>
          </cell>
          <cell r="D821" t="str">
            <v>Phone</v>
          </cell>
          <cell r="E821">
            <v>2</v>
          </cell>
          <cell r="F821">
            <v>398.45</v>
          </cell>
          <cell r="G821" t="str">
            <v>650 Main St</v>
          </cell>
          <cell r="H821" t="str">
            <v>Debit Card</v>
          </cell>
          <cell r="I821" t="str">
            <v>Cancelled</v>
          </cell>
          <cell r="J821" t="str">
            <v>TRK38104650</v>
          </cell>
          <cell r="K821">
            <v>7</v>
          </cell>
          <cell r="L821" t="str">
            <v>SAVE10</v>
          </cell>
          <cell r="M821" t="str">
            <v>Google</v>
          </cell>
          <cell r="N821">
            <v>796.9</v>
          </cell>
        </row>
        <row r="822">
          <cell r="A822" t="str">
            <v>ORD200820</v>
          </cell>
          <cell r="B822">
            <v>45073</v>
          </cell>
          <cell r="C822" t="str">
            <v>C35377</v>
          </cell>
          <cell r="D822" t="str">
            <v>Phone</v>
          </cell>
          <cell r="E822">
            <v>5</v>
          </cell>
          <cell r="F822">
            <v>623.80999999999995</v>
          </cell>
          <cell r="G822" t="str">
            <v>171 Main St</v>
          </cell>
          <cell r="H822" t="str">
            <v>Cash</v>
          </cell>
          <cell r="I822" t="str">
            <v>Returned</v>
          </cell>
          <cell r="J822" t="str">
            <v>TRK17342157</v>
          </cell>
          <cell r="K822">
            <v>6</v>
          </cell>
          <cell r="L822" t="str">
            <v>FREESHIP</v>
          </cell>
          <cell r="M822" t="str">
            <v>Email</v>
          </cell>
          <cell r="N822">
            <v>3119.0499999999997</v>
          </cell>
        </row>
        <row r="823">
          <cell r="A823" t="str">
            <v>ORD200821</v>
          </cell>
          <cell r="B823">
            <v>45640</v>
          </cell>
          <cell r="C823" t="str">
            <v>C40771</v>
          </cell>
          <cell r="D823" t="str">
            <v>Laptop</v>
          </cell>
          <cell r="E823">
            <v>4</v>
          </cell>
          <cell r="F823">
            <v>174.49</v>
          </cell>
          <cell r="G823" t="str">
            <v>259 Main St</v>
          </cell>
          <cell r="H823" t="str">
            <v>Credit Card</v>
          </cell>
          <cell r="I823" t="str">
            <v>Delivered</v>
          </cell>
          <cell r="J823" t="str">
            <v>TRK56310345</v>
          </cell>
          <cell r="K823">
            <v>5</v>
          </cell>
          <cell r="L823" t="str">
            <v>SAVE10</v>
          </cell>
          <cell r="M823" t="str">
            <v>Facebook</v>
          </cell>
          <cell r="N823">
            <v>697.96</v>
          </cell>
        </row>
        <row r="824">
          <cell r="A824" t="str">
            <v>ORD200822</v>
          </cell>
          <cell r="B824">
            <v>45731</v>
          </cell>
          <cell r="C824" t="str">
            <v>C20624</v>
          </cell>
          <cell r="D824" t="str">
            <v>Phone</v>
          </cell>
          <cell r="E824">
            <v>1</v>
          </cell>
          <cell r="F824">
            <v>479.56</v>
          </cell>
          <cell r="G824" t="str">
            <v>923 Main St</v>
          </cell>
          <cell r="H824" t="str">
            <v>Gift Card</v>
          </cell>
          <cell r="I824" t="str">
            <v>Returned</v>
          </cell>
          <cell r="J824" t="str">
            <v>TRK45123395</v>
          </cell>
          <cell r="K824">
            <v>1</v>
          </cell>
          <cell r="L824" t="str">
            <v>SAVE10</v>
          </cell>
          <cell r="M824" t="str">
            <v>Google</v>
          </cell>
          <cell r="N824">
            <v>479.56</v>
          </cell>
        </row>
        <row r="825">
          <cell r="A825" t="str">
            <v>ORD200823</v>
          </cell>
          <cell r="B825">
            <v>45572</v>
          </cell>
          <cell r="C825" t="str">
            <v>C27070</v>
          </cell>
          <cell r="D825" t="str">
            <v>Laptop</v>
          </cell>
          <cell r="E825">
            <v>4</v>
          </cell>
          <cell r="F825">
            <v>653.13</v>
          </cell>
          <cell r="G825" t="str">
            <v>973 Main St</v>
          </cell>
          <cell r="H825" t="str">
            <v>Credit Card</v>
          </cell>
          <cell r="I825" t="str">
            <v>Shipped</v>
          </cell>
          <cell r="J825" t="str">
            <v>TRK83842481</v>
          </cell>
          <cell r="K825">
            <v>8</v>
          </cell>
          <cell r="L825" t="str">
            <v>WINTER15</v>
          </cell>
          <cell r="M825" t="str">
            <v>Instagram</v>
          </cell>
          <cell r="N825">
            <v>2612.52</v>
          </cell>
        </row>
        <row r="826">
          <cell r="A826" t="str">
            <v>ORD200824</v>
          </cell>
          <cell r="B826">
            <v>45167</v>
          </cell>
          <cell r="C826" t="str">
            <v>C18826</v>
          </cell>
          <cell r="D826" t="str">
            <v>Monitor</v>
          </cell>
          <cell r="E826">
            <v>3</v>
          </cell>
          <cell r="F826">
            <v>481.1</v>
          </cell>
          <cell r="G826" t="str">
            <v>664 Main St</v>
          </cell>
          <cell r="H826" t="str">
            <v>Credit Card</v>
          </cell>
          <cell r="I826" t="str">
            <v>Returned</v>
          </cell>
          <cell r="J826" t="str">
            <v>TRK12530495</v>
          </cell>
          <cell r="K826">
            <v>3</v>
          </cell>
          <cell r="L826" t="str">
            <v>FREESHIP</v>
          </cell>
          <cell r="M826" t="str">
            <v>Facebook</v>
          </cell>
          <cell r="N826">
            <v>1443.3000000000002</v>
          </cell>
        </row>
        <row r="827">
          <cell r="A827" t="str">
            <v>ORD200825</v>
          </cell>
          <cell r="B827">
            <v>45742</v>
          </cell>
          <cell r="C827" t="str">
            <v>C23899</v>
          </cell>
          <cell r="D827" t="str">
            <v>Desk</v>
          </cell>
          <cell r="E827">
            <v>5</v>
          </cell>
          <cell r="F827">
            <v>271.69</v>
          </cell>
          <cell r="G827" t="str">
            <v>543 Main St</v>
          </cell>
          <cell r="H827" t="str">
            <v>Online</v>
          </cell>
          <cell r="I827" t="str">
            <v>Returned</v>
          </cell>
          <cell r="J827" t="str">
            <v>TRK88914760</v>
          </cell>
          <cell r="K827">
            <v>7</v>
          </cell>
          <cell r="L827" t="str">
            <v>FREESHIP</v>
          </cell>
          <cell r="M827" t="str">
            <v>Instagram</v>
          </cell>
          <cell r="N827">
            <v>1358.45</v>
          </cell>
        </row>
        <row r="828">
          <cell r="A828" t="str">
            <v>ORD200826</v>
          </cell>
          <cell r="B828">
            <v>45724</v>
          </cell>
          <cell r="C828" t="str">
            <v>C43249</v>
          </cell>
          <cell r="D828" t="str">
            <v>Printer</v>
          </cell>
          <cell r="E828">
            <v>3</v>
          </cell>
          <cell r="F828">
            <v>463.81</v>
          </cell>
          <cell r="G828" t="str">
            <v>283 Main St</v>
          </cell>
          <cell r="H828" t="str">
            <v>Online</v>
          </cell>
          <cell r="I828" t="str">
            <v>Returned</v>
          </cell>
          <cell r="J828" t="str">
            <v>TRK32469820</v>
          </cell>
          <cell r="K828">
            <v>8</v>
          </cell>
          <cell r="L828" t="str">
            <v>WINTER15</v>
          </cell>
          <cell r="M828" t="str">
            <v>Email</v>
          </cell>
          <cell r="N828">
            <v>1391.43</v>
          </cell>
        </row>
        <row r="829">
          <cell r="A829" t="str">
            <v>ORD200827</v>
          </cell>
          <cell r="B829">
            <v>45071</v>
          </cell>
          <cell r="C829" t="str">
            <v>C95856</v>
          </cell>
          <cell r="D829" t="str">
            <v>Tablet</v>
          </cell>
          <cell r="E829">
            <v>2</v>
          </cell>
          <cell r="F829">
            <v>639.88</v>
          </cell>
          <cell r="G829" t="str">
            <v>432 Main St</v>
          </cell>
          <cell r="H829" t="str">
            <v>Cash</v>
          </cell>
          <cell r="I829" t="str">
            <v>Delivered</v>
          </cell>
          <cell r="J829" t="str">
            <v>TRK58829625</v>
          </cell>
          <cell r="K829">
            <v>5</v>
          </cell>
          <cell r="L829" t="str">
            <v>WINTER15</v>
          </cell>
          <cell r="M829" t="str">
            <v>Instagram</v>
          </cell>
          <cell r="N829">
            <v>1279.76</v>
          </cell>
        </row>
        <row r="830">
          <cell r="A830" t="str">
            <v>ORD200828</v>
          </cell>
          <cell r="B830">
            <v>45497</v>
          </cell>
          <cell r="C830" t="str">
            <v>C86266</v>
          </cell>
          <cell r="D830" t="str">
            <v>Chair</v>
          </cell>
          <cell r="E830">
            <v>4</v>
          </cell>
          <cell r="F830">
            <v>404.58</v>
          </cell>
          <cell r="G830" t="str">
            <v>510 Main St</v>
          </cell>
          <cell r="H830" t="str">
            <v>Cash</v>
          </cell>
          <cell r="I830" t="str">
            <v>Shipped</v>
          </cell>
          <cell r="J830" t="str">
            <v>TRK64576020</v>
          </cell>
          <cell r="K830">
            <v>5</v>
          </cell>
          <cell r="L830" t="str">
            <v>FREESHIP</v>
          </cell>
          <cell r="M830" t="str">
            <v>Instagram</v>
          </cell>
          <cell r="N830">
            <v>1618.32</v>
          </cell>
        </row>
        <row r="831">
          <cell r="A831" t="str">
            <v>ORD200829</v>
          </cell>
          <cell r="B831">
            <v>44962</v>
          </cell>
          <cell r="C831" t="str">
            <v>C39551</v>
          </cell>
          <cell r="D831" t="str">
            <v>Monitor</v>
          </cell>
          <cell r="E831">
            <v>1</v>
          </cell>
          <cell r="F831">
            <v>76.930000000000007</v>
          </cell>
          <cell r="G831" t="str">
            <v>685 Main St</v>
          </cell>
          <cell r="H831" t="str">
            <v>Debit Card</v>
          </cell>
          <cell r="I831" t="str">
            <v>Delivered</v>
          </cell>
          <cell r="J831" t="str">
            <v>TRK68358007</v>
          </cell>
          <cell r="K831">
            <v>6</v>
          </cell>
          <cell r="L831" t="str">
            <v>WINTER15</v>
          </cell>
          <cell r="M831" t="str">
            <v>Instagram</v>
          </cell>
          <cell r="N831">
            <v>76.930000000000007</v>
          </cell>
        </row>
        <row r="832">
          <cell r="A832" t="str">
            <v>ORD200830</v>
          </cell>
          <cell r="B832">
            <v>45637</v>
          </cell>
          <cell r="C832" t="str">
            <v>C90310</v>
          </cell>
          <cell r="D832" t="str">
            <v>Tablet</v>
          </cell>
          <cell r="E832">
            <v>4</v>
          </cell>
          <cell r="F832">
            <v>190.64</v>
          </cell>
          <cell r="G832" t="str">
            <v>853 Main St</v>
          </cell>
          <cell r="H832" t="str">
            <v>Cash</v>
          </cell>
          <cell r="I832" t="str">
            <v>Delivered</v>
          </cell>
          <cell r="J832" t="str">
            <v>TRK70028457</v>
          </cell>
          <cell r="K832">
            <v>5</v>
          </cell>
          <cell r="L832" t="str">
            <v>SAVE10</v>
          </cell>
          <cell r="M832" t="str">
            <v>Email</v>
          </cell>
          <cell r="N832">
            <v>762.56</v>
          </cell>
        </row>
        <row r="833">
          <cell r="A833" t="str">
            <v>ORD200831</v>
          </cell>
          <cell r="B833">
            <v>45278</v>
          </cell>
          <cell r="C833" t="str">
            <v>C20124</v>
          </cell>
          <cell r="D833" t="str">
            <v>Printer</v>
          </cell>
          <cell r="E833">
            <v>2</v>
          </cell>
          <cell r="F833">
            <v>88.73</v>
          </cell>
          <cell r="G833" t="str">
            <v>140 Main St</v>
          </cell>
          <cell r="H833" t="str">
            <v>Online</v>
          </cell>
          <cell r="I833" t="str">
            <v>Pending</v>
          </cell>
          <cell r="J833" t="str">
            <v>TRK61346824</v>
          </cell>
          <cell r="K833">
            <v>5</v>
          </cell>
          <cell r="L833" t="str">
            <v>No Coupon</v>
          </cell>
          <cell r="M833" t="str">
            <v>Google</v>
          </cell>
          <cell r="N833">
            <v>177.46</v>
          </cell>
        </row>
        <row r="834">
          <cell r="A834" t="str">
            <v>ORD200832</v>
          </cell>
          <cell r="B834">
            <v>45363</v>
          </cell>
          <cell r="C834" t="str">
            <v>C63372</v>
          </cell>
          <cell r="D834" t="str">
            <v>Chair</v>
          </cell>
          <cell r="E834">
            <v>5</v>
          </cell>
          <cell r="F834">
            <v>485.71</v>
          </cell>
          <cell r="G834" t="str">
            <v>903 Main St</v>
          </cell>
          <cell r="H834" t="str">
            <v>Online</v>
          </cell>
          <cell r="I834" t="str">
            <v>Pending</v>
          </cell>
          <cell r="J834" t="str">
            <v>TRK14661811</v>
          </cell>
          <cell r="K834">
            <v>10</v>
          </cell>
          <cell r="L834" t="str">
            <v>SAVE10</v>
          </cell>
          <cell r="M834" t="str">
            <v>Referral</v>
          </cell>
          <cell r="N834">
            <v>2428.5499999999997</v>
          </cell>
        </row>
        <row r="835">
          <cell r="A835" t="str">
            <v>ORD200833</v>
          </cell>
          <cell r="B835">
            <v>45730</v>
          </cell>
          <cell r="C835" t="str">
            <v>C90595</v>
          </cell>
          <cell r="D835" t="str">
            <v>Phone</v>
          </cell>
          <cell r="E835">
            <v>5</v>
          </cell>
          <cell r="F835">
            <v>78.290000000000006</v>
          </cell>
          <cell r="G835" t="str">
            <v>508 Main St</v>
          </cell>
          <cell r="H835" t="str">
            <v>Credit Card</v>
          </cell>
          <cell r="I835" t="str">
            <v>Shipped</v>
          </cell>
          <cell r="J835" t="str">
            <v>TRK96573803</v>
          </cell>
          <cell r="K835">
            <v>5</v>
          </cell>
          <cell r="L835" t="str">
            <v>WINTER15</v>
          </cell>
          <cell r="M835" t="str">
            <v>Referral</v>
          </cell>
          <cell r="N835">
            <v>391.45000000000005</v>
          </cell>
        </row>
        <row r="836">
          <cell r="A836" t="str">
            <v>ORD200834</v>
          </cell>
          <cell r="B836">
            <v>45393</v>
          </cell>
          <cell r="C836" t="str">
            <v>C98483</v>
          </cell>
          <cell r="D836" t="str">
            <v>Printer</v>
          </cell>
          <cell r="E836">
            <v>5</v>
          </cell>
          <cell r="F836">
            <v>22.14</v>
          </cell>
          <cell r="G836" t="str">
            <v>456 Main St</v>
          </cell>
          <cell r="H836" t="str">
            <v>Cash</v>
          </cell>
          <cell r="I836" t="str">
            <v>Returned</v>
          </cell>
          <cell r="J836" t="str">
            <v>TRK22084320</v>
          </cell>
          <cell r="K836">
            <v>10</v>
          </cell>
          <cell r="L836" t="str">
            <v>No Coupon</v>
          </cell>
          <cell r="M836" t="str">
            <v>Instagram</v>
          </cell>
          <cell r="N836">
            <v>110.7</v>
          </cell>
        </row>
        <row r="837">
          <cell r="A837" t="str">
            <v>ORD200835</v>
          </cell>
          <cell r="B837">
            <v>45377</v>
          </cell>
          <cell r="C837" t="str">
            <v>C16429</v>
          </cell>
          <cell r="D837" t="str">
            <v>Desk</v>
          </cell>
          <cell r="E837">
            <v>1</v>
          </cell>
          <cell r="F837">
            <v>679.65</v>
          </cell>
          <cell r="G837" t="str">
            <v>390 Main St</v>
          </cell>
          <cell r="H837" t="str">
            <v>Debit Card</v>
          </cell>
          <cell r="I837" t="str">
            <v>Shipped</v>
          </cell>
          <cell r="J837" t="str">
            <v>TRK73888013</v>
          </cell>
          <cell r="K837">
            <v>6</v>
          </cell>
          <cell r="L837" t="str">
            <v>FREESHIP</v>
          </cell>
          <cell r="M837" t="str">
            <v>Google</v>
          </cell>
          <cell r="N837">
            <v>679.65</v>
          </cell>
        </row>
        <row r="838">
          <cell r="A838" t="str">
            <v>ORD200836</v>
          </cell>
          <cell r="B838">
            <v>44959</v>
          </cell>
          <cell r="C838" t="str">
            <v>C31810</v>
          </cell>
          <cell r="D838" t="str">
            <v>Phone</v>
          </cell>
          <cell r="E838">
            <v>1</v>
          </cell>
          <cell r="F838">
            <v>178.44</v>
          </cell>
          <cell r="G838" t="str">
            <v>328 Main St</v>
          </cell>
          <cell r="H838" t="str">
            <v>Credit Card</v>
          </cell>
          <cell r="I838" t="str">
            <v>Cancelled</v>
          </cell>
          <cell r="J838" t="str">
            <v>TRK58725886</v>
          </cell>
          <cell r="K838">
            <v>2</v>
          </cell>
          <cell r="L838" t="str">
            <v>FREESHIP</v>
          </cell>
          <cell r="M838" t="str">
            <v>Google</v>
          </cell>
          <cell r="N838">
            <v>178.44</v>
          </cell>
        </row>
        <row r="839">
          <cell r="A839" t="str">
            <v>ORD200837</v>
          </cell>
          <cell r="B839">
            <v>45822</v>
          </cell>
          <cell r="C839" t="str">
            <v>C88029</v>
          </cell>
          <cell r="D839" t="str">
            <v>Chair</v>
          </cell>
          <cell r="E839">
            <v>5</v>
          </cell>
          <cell r="F839">
            <v>655.55</v>
          </cell>
          <cell r="G839" t="str">
            <v>282 Main St</v>
          </cell>
          <cell r="H839" t="str">
            <v>Online</v>
          </cell>
          <cell r="I839" t="str">
            <v>Delivered</v>
          </cell>
          <cell r="J839" t="str">
            <v>TRK59701278</v>
          </cell>
          <cell r="K839">
            <v>5</v>
          </cell>
          <cell r="L839" t="str">
            <v>No Coupon</v>
          </cell>
          <cell r="M839" t="str">
            <v>Email</v>
          </cell>
          <cell r="N839">
            <v>3277.75</v>
          </cell>
        </row>
        <row r="840">
          <cell r="A840" t="str">
            <v>ORD200838</v>
          </cell>
          <cell r="B840">
            <v>45393</v>
          </cell>
          <cell r="C840" t="str">
            <v>C57798</v>
          </cell>
          <cell r="D840" t="str">
            <v>Desk</v>
          </cell>
          <cell r="E840">
            <v>4</v>
          </cell>
          <cell r="F840">
            <v>577.08000000000004</v>
          </cell>
          <cell r="G840" t="str">
            <v>384 Main St</v>
          </cell>
          <cell r="H840" t="str">
            <v>Online</v>
          </cell>
          <cell r="I840" t="str">
            <v>Pending</v>
          </cell>
          <cell r="J840" t="str">
            <v>TRK68797566</v>
          </cell>
          <cell r="K840">
            <v>8</v>
          </cell>
          <cell r="L840" t="str">
            <v>No Coupon</v>
          </cell>
          <cell r="M840" t="str">
            <v>Facebook</v>
          </cell>
          <cell r="N840">
            <v>2308.3200000000002</v>
          </cell>
        </row>
        <row r="841">
          <cell r="A841" t="str">
            <v>ORD200839</v>
          </cell>
          <cell r="B841">
            <v>45162</v>
          </cell>
          <cell r="C841" t="str">
            <v>C82858</v>
          </cell>
          <cell r="D841" t="str">
            <v>Chair</v>
          </cell>
          <cell r="E841">
            <v>3</v>
          </cell>
          <cell r="F841">
            <v>197.97</v>
          </cell>
          <cell r="G841" t="str">
            <v>551 Main St</v>
          </cell>
          <cell r="H841" t="str">
            <v>Online</v>
          </cell>
          <cell r="I841" t="str">
            <v>Cancelled</v>
          </cell>
          <cell r="J841" t="str">
            <v>TRK90618490</v>
          </cell>
          <cell r="K841">
            <v>5</v>
          </cell>
          <cell r="L841" t="str">
            <v>No Coupon</v>
          </cell>
          <cell r="M841" t="str">
            <v>Google</v>
          </cell>
          <cell r="N841">
            <v>593.91</v>
          </cell>
        </row>
        <row r="842">
          <cell r="A842" t="str">
            <v>ORD200840</v>
          </cell>
          <cell r="B842">
            <v>45305</v>
          </cell>
          <cell r="C842" t="str">
            <v>C60699</v>
          </cell>
          <cell r="D842" t="str">
            <v>Chair</v>
          </cell>
          <cell r="E842">
            <v>3</v>
          </cell>
          <cell r="F842">
            <v>411.95</v>
          </cell>
          <cell r="G842" t="str">
            <v>672 Main St</v>
          </cell>
          <cell r="H842" t="str">
            <v>Credit Card</v>
          </cell>
          <cell r="I842" t="str">
            <v>Delivered</v>
          </cell>
          <cell r="J842" t="str">
            <v>TRK88660574</v>
          </cell>
          <cell r="K842">
            <v>7</v>
          </cell>
          <cell r="L842" t="str">
            <v>FREESHIP</v>
          </cell>
          <cell r="M842" t="str">
            <v>Referral</v>
          </cell>
          <cell r="N842">
            <v>1235.8499999999999</v>
          </cell>
        </row>
        <row r="843">
          <cell r="A843" t="str">
            <v>ORD200841</v>
          </cell>
          <cell r="B843">
            <v>45554</v>
          </cell>
          <cell r="C843" t="str">
            <v>C94658</v>
          </cell>
          <cell r="D843" t="str">
            <v>Printer</v>
          </cell>
          <cell r="E843">
            <v>2</v>
          </cell>
          <cell r="F843">
            <v>443.22</v>
          </cell>
          <cell r="G843" t="str">
            <v>742 Main St</v>
          </cell>
          <cell r="H843" t="str">
            <v>Credit Card</v>
          </cell>
          <cell r="I843" t="str">
            <v>Delivered</v>
          </cell>
          <cell r="J843" t="str">
            <v>TRK51732528</v>
          </cell>
          <cell r="K843">
            <v>5</v>
          </cell>
          <cell r="L843" t="str">
            <v>No Coupon</v>
          </cell>
          <cell r="M843" t="str">
            <v>Facebook</v>
          </cell>
          <cell r="N843">
            <v>886.44</v>
          </cell>
        </row>
        <row r="844">
          <cell r="A844" t="str">
            <v>ORD200842</v>
          </cell>
          <cell r="B844">
            <v>45784</v>
          </cell>
          <cell r="C844" t="str">
            <v>C78305</v>
          </cell>
          <cell r="D844" t="str">
            <v>Laptop</v>
          </cell>
          <cell r="E844">
            <v>3</v>
          </cell>
          <cell r="F844">
            <v>364.14</v>
          </cell>
          <cell r="G844" t="str">
            <v>396 Main St</v>
          </cell>
          <cell r="H844" t="str">
            <v>Online</v>
          </cell>
          <cell r="I844" t="str">
            <v>Pending</v>
          </cell>
          <cell r="J844" t="str">
            <v>TRK88312618</v>
          </cell>
          <cell r="K844">
            <v>7</v>
          </cell>
          <cell r="L844" t="str">
            <v>WINTER15</v>
          </cell>
          <cell r="M844" t="str">
            <v>Referral</v>
          </cell>
          <cell r="N844">
            <v>1092.42</v>
          </cell>
        </row>
        <row r="845">
          <cell r="A845" t="str">
            <v>ORD200843</v>
          </cell>
          <cell r="B845">
            <v>45790</v>
          </cell>
          <cell r="C845" t="str">
            <v>C43538</v>
          </cell>
          <cell r="D845" t="str">
            <v>Desk</v>
          </cell>
          <cell r="E845">
            <v>3</v>
          </cell>
          <cell r="F845">
            <v>430.06</v>
          </cell>
          <cell r="G845" t="str">
            <v>534 Main St</v>
          </cell>
          <cell r="H845" t="str">
            <v>Gift Card</v>
          </cell>
          <cell r="I845" t="str">
            <v>Cancelled</v>
          </cell>
          <cell r="J845" t="str">
            <v>TRK20961563</v>
          </cell>
          <cell r="K845">
            <v>8</v>
          </cell>
          <cell r="L845" t="str">
            <v>FREESHIP</v>
          </cell>
          <cell r="M845" t="str">
            <v>Instagram</v>
          </cell>
          <cell r="N845">
            <v>1290.18</v>
          </cell>
        </row>
        <row r="846">
          <cell r="A846" t="str">
            <v>ORD200844</v>
          </cell>
          <cell r="B846">
            <v>45630</v>
          </cell>
          <cell r="C846" t="str">
            <v>C47486</v>
          </cell>
          <cell r="D846" t="str">
            <v>Chair</v>
          </cell>
          <cell r="E846">
            <v>1</v>
          </cell>
          <cell r="F846">
            <v>320.92</v>
          </cell>
          <cell r="G846" t="str">
            <v>883 Main St</v>
          </cell>
          <cell r="H846" t="str">
            <v>Online</v>
          </cell>
          <cell r="I846" t="str">
            <v>Returned</v>
          </cell>
          <cell r="J846" t="str">
            <v>TRK75984759</v>
          </cell>
          <cell r="K846">
            <v>5</v>
          </cell>
          <cell r="L846" t="str">
            <v>FREESHIP</v>
          </cell>
          <cell r="M846" t="str">
            <v>Facebook</v>
          </cell>
          <cell r="N846">
            <v>320.92</v>
          </cell>
        </row>
        <row r="847">
          <cell r="A847" t="str">
            <v>ORD200845</v>
          </cell>
          <cell r="B847">
            <v>45207</v>
          </cell>
          <cell r="C847" t="str">
            <v>C24212</v>
          </cell>
          <cell r="D847" t="str">
            <v>Phone</v>
          </cell>
          <cell r="E847">
            <v>3</v>
          </cell>
          <cell r="F847">
            <v>107.36</v>
          </cell>
          <cell r="G847" t="str">
            <v>808 Main St</v>
          </cell>
          <cell r="H847" t="str">
            <v>Gift Card</v>
          </cell>
          <cell r="I847" t="str">
            <v>Delivered</v>
          </cell>
          <cell r="J847" t="str">
            <v>TRK68894675</v>
          </cell>
          <cell r="K847">
            <v>5</v>
          </cell>
          <cell r="L847" t="str">
            <v>FREESHIP</v>
          </cell>
          <cell r="M847" t="str">
            <v>Google</v>
          </cell>
          <cell r="N847">
            <v>322.08</v>
          </cell>
        </row>
        <row r="848">
          <cell r="A848" t="str">
            <v>ORD200846</v>
          </cell>
          <cell r="B848">
            <v>45477</v>
          </cell>
          <cell r="C848" t="str">
            <v>C24765</v>
          </cell>
          <cell r="D848" t="str">
            <v>Desk</v>
          </cell>
          <cell r="E848">
            <v>2</v>
          </cell>
          <cell r="F848">
            <v>359.86</v>
          </cell>
          <cell r="G848" t="str">
            <v>646 Main St</v>
          </cell>
          <cell r="H848" t="str">
            <v>Debit Card</v>
          </cell>
          <cell r="I848" t="str">
            <v>Cancelled</v>
          </cell>
          <cell r="J848" t="str">
            <v>TRK43977698</v>
          </cell>
          <cell r="K848">
            <v>4</v>
          </cell>
          <cell r="L848" t="str">
            <v>No Coupon</v>
          </cell>
          <cell r="M848" t="str">
            <v>Referral</v>
          </cell>
          <cell r="N848">
            <v>719.72</v>
          </cell>
        </row>
        <row r="849">
          <cell r="A849" t="str">
            <v>ORD200847</v>
          </cell>
          <cell r="B849">
            <v>45614</v>
          </cell>
          <cell r="C849" t="str">
            <v>C48176</v>
          </cell>
          <cell r="D849" t="str">
            <v>Printer</v>
          </cell>
          <cell r="E849">
            <v>4</v>
          </cell>
          <cell r="F849">
            <v>434.23</v>
          </cell>
          <cell r="G849" t="str">
            <v>670 Main St</v>
          </cell>
          <cell r="H849" t="str">
            <v>Online</v>
          </cell>
          <cell r="I849" t="str">
            <v>Shipped</v>
          </cell>
          <cell r="J849" t="str">
            <v>TRK90560300</v>
          </cell>
          <cell r="K849">
            <v>8</v>
          </cell>
          <cell r="L849" t="str">
            <v>FREESHIP</v>
          </cell>
          <cell r="M849" t="str">
            <v>Email</v>
          </cell>
          <cell r="N849">
            <v>1736.92</v>
          </cell>
        </row>
        <row r="850">
          <cell r="A850" t="str">
            <v>ORD200848</v>
          </cell>
          <cell r="B850">
            <v>44927</v>
          </cell>
          <cell r="C850" t="str">
            <v>C54675</v>
          </cell>
          <cell r="D850" t="str">
            <v>Chair</v>
          </cell>
          <cell r="E850">
            <v>2</v>
          </cell>
          <cell r="F850">
            <v>645.85</v>
          </cell>
          <cell r="G850" t="str">
            <v>634 Main St</v>
          </cell>
          <cell r="H850" t="str">
            <v>Online</v>
          </cell>
          <cell r="I850" t="str">
            <v>Shipped</v>
          </cell>
          <cell r="J850" t="str">
            <v>TRK18049633</v>
          </cell>
          <cell r="K850">
            <v>5</v>
          </cell>
          <cell r="L850" t="str">
            <v>No Coupon</v>
          </cell>
          <cell r="M850" t="str">
            <v>Referral</v>
          </cell>
          <cell r="N850">
            <v>1291.7</v>
          </cell>
        </row>
        <row r="851">
          <cell r="A851" t="str">
            <v>ORD200849</v>
          </cell>
          <cell r="B851">
            <v>45817</v>
          </cell>
          <cell r="C851" t="str">
            <v>C16675</v>
          </cell>
          <cell r="D851" t="str">
            <v>Printer</v>
          </cell>
          <cell r="E851">
            <v>4</v>
          </cell>
          <cell r="F851">
            <v>214.35</v>
          </cell>
          <cell r="G851" t="str">
            <v>664 Main St</v>
          </cell>
          <cell r="H851" t="str">
            <v>Debit Card</v>
          </cell>
          <cell r="I851" t="str">
            <v>Cancelled</v>
          </cell>
          <cell r="J851" t="str">
            <v>TRK12756945</v>
          </cell>
          <cell r="K851">
            <v>7</v>
          </cell>
          <cell r="L851" t="str">
            <v>WINTER15</v>
          </cell>
          <cell r="M851" t="str">
            <v>Referral</v>
          </cell>
          <cell r="N851">
            <v>857.4</v>
          </cell>
        </row>
        <row r="852">
          <cell r="A852" t="str">
            <v>ORD200850</v>
          </cell>
          <cell r="B852">
            <v>45774</v>
          </cell>
          <cell r="C852" t="str">
            <v>C38557</v>
          </cell>
          <cell r="D852" t="str">
            <v>Monitor</v>
          </cell>
          <cell r="E852">
            <v>3</v>
          </cell>
          <cell r="F852">
            <v>638.5</v>
          </cell>
          <cell r="G852" t="str">
            <v>890 Main St</v>
          </cell>
          <cell r="H852" t="str">
            <v>Debit Card</v>
          </cell>
          <cell r="I852" t="str">
            <v>Cancelled</v>
          </cell>
          <cell r="J852" t="str">
            <v>TRK14832238</v>
          </cell>
          <cell r="K852">
            <v>4</v>
          </cell>
          <cell r="L852" t="str">
            <v>FREESHIP</v>
          </cell>
          <cell r="M852" t="str">
            <v>Instagram</v>
          </cell>
          <cell r="N852">
            <v>1915.5</v>
          </cell>
        </row>
        <row r="853">
          <cell r="A853" t="str">
            <v>ORD200851</v>
          </cell>
          <cell r="B853">
            <v>45272</v>
          </cell>
          <cell r="C853" t="str">
            <v>C80183</v>
          </cell>
          <cell r="D853" t="str">
            <v>Laptop</v>
          </cell>
          <cell r="E853">
            <v>1</v>
          </cell>
          <cell r="F853">
            <v>365.57</v>
          </cell>
          <cell r="G853" t="str">
            <v>146 Main St</v>
          </cell>
          <cell r="H853" t="str">
            <v>Online</v>
          </cell>
          <cell r="I853" t="str">
            <v>Cancelled</v>
          </cell>
          <cell r="J853" t="str">
            <v>TRK20814598</v>
          </cell>
          <cell r="K853">
            <v>5</v>
          </cell>
          <cell r="L853" t="str">
            <v>SAVE10</v>
          </cell>
          <cell r="M853" t="str">
            <v>Email</v>
          </cell>
          <cell r="N853">
            <v>365.57</v>
          </cell>
        </row>
        <row r="854">
          <cell r="A854" t="str">
            <v>ORD200852</v>
          </cell>
          <cell r="B854">
            <v>45589</v>
          </cell>
          <cell r="C854" t="str">
            <v>C39530</v>
          </cell>
          <cell r="D854" t="str">
            <v>Desk</v>
          </cell>
          <cell r="E854">
            <v>3</v>
          </cell>
          <cell r="F854">
            <v>568.04999999999995</v>
          </cell>
          <cell r="G854" t="str">
            <v>618 Main St</v>
          </cell>
          <cell r="H854" t="str">
            <v>Gift Card</v>
          </cell>
          <cell r="I854" t="str">
            <v>Pending</v>
          </cell>
          <cell r="J854" t="str">
            <v>TRK69000497</v>
          </cell>
          <cell r="K854">
            <v>6</v>
          </cell>
          <cell r="L854" t="str">
            <v>SAVE10</v>
          </cell>
          <cell r="M854" t="str">
            <v>Google</v>
          </cell>
          <cell r="N854">
            <v>1704.1499999999999</v>
          </cell>
        </row>
        <row r="855">
          <cell r="A855" t="str">
            <v>ORD200853</v>
          </cell>
          <cell r="B855">
            <v>45215</v>
          </cell>
          <cell r="C855" t="str">
            <v>C10002</v>
          </cell>
          <cell r="D855" t="str">
            <v>Printer</v>
          </cell>
          <cell r="E855">
            <v>3</v>
          </cell>
          <cell r="F855">
            <v>490.01</v>
          </cell>
          <cell r="G855" t="str">
            <v>894 Main St</v>
          </cell>
          <cell r="H855" t="str">
            <v>Cash</v>
          </cell>
          <cell r="I855" t="str">
            <v>Returned</v>
          </cell>
          <cell r="J855" t="str">
            <v>TRK94641152</v>
          </cell>
          <cell r="K855">
            <v>4</v>
          </cell>
          <cell r="L855" t="str">
            <v>SAVE10</v>
          </cell>
          <cell r="M855" t="str">
            <v>Facebook</v>
          </cell>
          <cell r="N855">
            <v>1470.03</v>
          </cell>
        </row>
        <row r="856">
          <cell r="A856" t="str">
            <v>ORD200854</v>
          </cell>
          <cell r="B856">
            <v>45821</v>
          </cell>
          <cell r="C856" t="str">
            <v>C56938</v>
          </cell>
          <cell r="D856" t="str">
            <v>Laptop</v>
          </cell>
          <cell r="E856">
            <v>3</v>
          </cell>
          <cell r="F856">
            <v>372.6</v>
          </cell>
          <cell r="G856" t="str">
            <v>356 Main St</v>
          </cell>
          <cell r="H856" t="str">
            <v>Credit Card</v>
          </cell>
          <cell r="I856" t="str">
            <v>Delivered</v>
          </cell>
          <cell r="J856" t="str">
            <v>TRK67735987</v>
          </cell>
          <cell r="K856">
            <v>7</v>
          </cell>
          <cell r="L856" t="str">
            <v>WINTER15</v>
          </cell>
          <cell r="M856" t="str">
            <v>Referral</v>
          </cell>
          <cell r="N856">
            <v>1117.8000000000002</v>
          </cell>
        </row>
        <row r="857">
          <cell r="A857" t="str">
            <v>ORD200855</v>
          </cell>
          <cell r="B857">
            <v>45071</v>
          </cell>
          <cell r="C857" t="str">
            <v>C41331</v>
          </cell>
          <cell r="D857" t="str">
            <v>Monitor</v>
          </cell>
          <cell r="E857">
            <v>5</v>
          </cell>
          <cell r="F857">
            <v>240.61</v>
          </cell>
          <cell r="G857" t="str">
            <v>785 Main St</v>
          </cell>
          <cell r="H857" t="str">
            <v>Credit Card</v>
          </cell>
          <cell r="I857" t="str">
            <v>Shipped</v>
          </cell>
          <cell r="J857" t="str">
            <v>TRK94198179</v>
          </cell>
          <cell r="K857">
            <v>10</v>
          </cell>
          <cell r="L857" t="str">
            <v>FREESHIP</v>
          </cell>
          <cell r="M857" t="str">
            <v>Email</v>
          </cell>
          <cell r="N857">
            <v>1203.0500000000002</v>
          </cell>
        </row>
        <row r="858">
          <cell r="A858" t="str">
            <v>ORD200856</v>
          </cell>
          <cell r="B858">
            <v>45446</v>
          </cell>
          <cell r="C858" t="str">
            <v>C94698</v>
          </cell>
          <cell r="D858" t="str">
            <v>Phone</v>
          </cell>
          <cell r="E858">
            <v>1</v>
          </cell>
          <cell r="F858">
            <v>586.62</v>
          </cell>
          <cell r="G858" t="str">
            <v>871 Main St</v>
          </cell>
          <cell r="H858" t="str">
            <v>Debit Card</v>
          </cell>
          <cell r="I858" t="str">
            <v>Shipped</v>
          </cell>
          <cell r="J858" t="str">
            <v>TRK95768773</v>
          </cell>
          <cell r="K858">
            <v>5</v>
          </cell>
          <cell r="L858" t="str">
            <v>No Coupon</v>
          </cell>
          <cell r="M858" t="str">
            <v>Facebook</v>
          </cell>
          <cell r="N858">
            <v>586.62</v>
          </cell>
        </row>
        <row r="859">
          <cell r="A859" t="str">
            <v>ORD200857</v>
          </cell>
          <cell r="B859">
            <v>45361</v>
          </cell>
          <cell r="C859" t="str">
            <v>C56506</v>
          </cell>
          <cell r="D859" t="str">
            <v>Phone</v>
          </cell>
          <cell r="E859">
            <v>3</v>
          </cell>
          <cell r="F859">
            <v>257.83999999999997</v>
          </cell>
          <cell r="G859" t="str">
            <v>185 Main St</v>
          </cell>
          <cell r="H859" t="str">
            <v>Online</v>
          </cell>
          <cell r="I859" t="str">
            <v>Delivered</v>
          </cell>
          <cell r="J859" t="str">
            <v>TRK86808324</v>
          </cell>
          <cell r="K859">
            <v>4</v>
          </cell>
          <cell r="L859" t="str">
            <v>No Coupon</v>
          </cell>
          <cell r="M859" t="str">
            <v>Instagram</v>
          </cell>
          <cell r="N859">
            <v>773.52</v>
          </cell>
        </row>
        <row r="860">
          <cell r="A860" t="str">
            <v>ORD200858</v>
          </cell>
          <cell r="B860">
            <v>45158</v>
          </cell>
          <cell r="C860" t="str">
            <v>C22167</v>
          </cell>
          <cell r="D860" t="str">
            <v>Tablet</v>
          </cell>
          <cell r="E860">
            <v>5</v>
          </cell>
          <cell r="F860">
            <v>435.66</v>
          </cell>
          <cell r="G860" t="str">
            <v>891 Main St</v>
          </cell>
          <cell r="H860" t="str">
            <v>Online</v>
          </cell>
          <cell r="I860" t="str">
            <v>Pending</v>
          </cell>
          <cell r="J860" t="str">
            <v>TRK70269748</v>
          </cell>
          <cell r="K860">
            <v>9</v>
          </cell>
          <cell r="L860" t="str">
            <v>No Coupon</v>
          </cell>
          <cell r="M860" t="str">
            <v>Facebook</v>
          </cell>
          <cell r="N860">
            <v>2178.3000000000002</v>
          </cell>
        </row>
        <row r="861">
          <cell r="A861" t="str">
            <v>ORD200859</v>
          </cell>
          <cell r="B861">
            <v>45532</v>
          </cell>
          <cell r="C861" t="str">
            <v>C11127</v>
          </cell>
          <cell r="D861" t="str">
            <v>Chair</v>
          </cell>
          <cell r="E861">
            <v>5</v>
          </cell>
          <cell r="F861">
            <v>261.33</v>
          </cell>
          <cell r="G861" t="str">
            <v>154 Main St</v>
          </cell>
          <cell r="H861" t="str">
            <v>Credit Card</v>
          </cell>
          <cell r="I861" t="str">
            <v>Returned</v>
          </cell>
          <cell r="J861" t="str">
            <v>TRK73285507</v>
          </cell>
          <cell r="K861">
            <v>5</v>
          </cell>
          <cell r="L861" t="str">
            <v>SAVE10</v>
          </cell>
          <cell r="M861" t="str">
            <v>Referral</v>
          </cell>
          <cell r="N861">
            <v>1306.6499999999999</v>
          </cell>
        </row>
        <row r="862">
          <cell r="A862" t="str">
            <v>ORD200860</v>
          </cell>
          <cell r="B862">
            <v>45314</v>
          </cell>
          <cell r="C862" t="str">
            <v>C69542</v>
          </cell>
          <cell r="D862" t="str">
            <v>Printer</v>
          </cell>
          <cell r="E862">
            <v>1</v>
          </cell>
          <cell r="F862">
            <v>422.54</v>
          </cell>
          <cell r="G862" t="str">
            <v>876 Main St</v>
          </cell>
          <cell r="H862" t="str">
            <v>Cash</v>
          </cell>
          <cell r="I862" t="str">
            <v>Delivered</v>
          </cell>
          <cell r="J862" t="str">
            <v>TRK20746505</v>
          </cell>
          <cell r="K862">
            <v>1</v>
          </cell>
          <cell r="L862" t="str">
            <v>SAVE10</v>
          </cell>
          <cell r="M862" t="str">
            <v>Google</v>
          </cell>
          <cell r="N862">
            <v>422.54</v>
          </cell>
        </row>
        <row r="863">
          <cell r="A863" t="str">
            <v>ORD200861</v>
          </cell>
          <cell r="B863">
            <v>45004</v>
          </cell>
          <cell r="C863" t="str">
            <v>C93276</v>
          </cell>
          <cell r="D863" t="str">
            <v>Desk</v>
          </cell>
          <cell r="E863">
            <v>5</v>
          </cell>
          <cell r="F863">
            <v>330.45</v>
          </cell>
          <cell r="G863" t="str">
            <v>230 Main St</v>
          </cell>
          <cell r="H863" t="str">
            <v>Gift Card</v>
          </cell>
          <cell r="I863" t="str">
            <v>Shipped</v>
          </cell>
          <cell r="J863" t="str">
            <v>TRK44165913</v>
          </cell>
          <cell r="K863">
            <v>10</v>
          </cell>
          <cell r="L863" t="str">
            <v>FREESHIP</v>
          </cell>
          <cell r="M863" t="str">
            <v>Google</v>
          </cell>
          <cell r="N863">
            <v>1652.25</v>
          </cell>
        </row>
        <row r="864">
          <cell r="A864" t="str">
            <v>ORD200862</v>
          </cell>
          <cell r="B864">
            <v>45262</v>
          </cell>
          <cell r="C864" t="str">
            <v>C37969</v>
          </cell>
          <cell r="D864" t="str">
            <v>Desk</v>
          </cell>
          <cell r="E864">
            <v>3</v>
          </cell>
          <cell r="F864">
            <v>120.82</v>
          </cell>
          <cell r="G864" t="str">
            <v>799 Main St</v>
          </cell>
          <cell r="H864" t="str">
            <v>Credit Card</v>
          </cell>
          <cell r="I864" t="str">
            <v>Shipped</v>
          </cell>
          <cell r="J864" t="str">
            <v>TRK69852386</v>
          </cell>
          <cell r="K864">
            <v>5</v>
          </cell>
          <cell r="L864" t="str">
            <v>SAVE10</v>
          </cell>
          <cell r="M864" t="str">
            <v>Referral</v>
          </cell>
          <cell r="N864">
            <v>362.46</v>
          </cell>
        </row>
        <row r="865">
          <cell r="A865" t="str">
            <v>ORD200863</v>
          </cell>
          <cell r="B865">
            <v>45432</v>
          </cell>
          <cell r="C865" t="str">
            <v>C98276</v>
          </cell>
          <cell r="D865" t="str">
            <v>Phone</v>
          </cell>
          <cell r="E865">
            <v>1</v>
          </cell>
          <cell r="F865">
            <v>14.06</v>
          </cell>
          <cell r="G865" t="str">
            <v>471 Main St</v>
          </cell>
          <cell r="H865" t="str">
            <v>Credit Card</v>
          </cell>
          <cell r="I865" t="str">
            <v>Pending</v>
          </cell>
          <cell r="J865" t="str">
            <v>TRK74207282</v>
          </cell>
          <cell r="K865">
            <v>5</v>
          </cell>
          <cell r="L865" t="str">
            <v>SAVE10</v>
          </cell>
          <cell r="M865" t="str">
            <v>Referral</v>
          </cell>
          <cell r="N865">
            <v>14.06</v>
          </cell>
        </row>
        <row r="866">
          <cell r="A866" t="str">
            <v>ORD200864</v>
          </cell>
          <cell r="B866">
            <v>45049</v>
          </cell>
          <cell r="C866" t="str">
            <v>C14240</v>
          </cell>
          <cell r="D866" t="str">
            <v>Desk</v>
          </cell>
          <cell r="E866">
            <v>1</v>
          </cell>
          <cell r="F866">
            <v>491.11</v>
          </cell>
          <cell r="G866" t="str">
            <v>592 Main St</v>
          </cell>
          <cell r="H866" t="str">
            <v>Credit Card</v>
          </cell>
          <cell r="I866" t="str">
            <v>Delivered</v>
          </cell>
          <cell r="J866" t="str">
            <v>TRK58095246</v>
          </cell>
          <cell r="K866">
            <v>4</v>
          </cell>
          <cell r="L866" t="str">
            <v>SAVE10</v>
          </cell>
          <cell r="M866" t="str">
            <v>Facebook</v>
          </cell>
          <cell r="N866">
            <v>491.11</v>
          </cell>
        </row>
        <row r="867">
          <cell r="A867" t="str">
            <v>ORD200865</v>
          </cell>
          <cell r="B867">
            <v>45046</v>
          </cell>
          <cell r="C867" t="str">
            <v>C72241</v>
          </cell>
          <cell r="D867" t="str">
            <v>Monitor</v>
          </cell>
          <cell r="E867">
            <v>4</v>
          </cell>
          <cell r="F867">
            <v>677.37</v>
          </cell>
          <cell r="G867" t="str">
            <v>156 Main St</v>
          </cell>
          <cell r="H867" t="str">
            <v>Cash</v>
          </cell>
          <cell r="I867" t="str">
            <v>Pending</v>
          </cell>
          <cell r="J867" t="str">
            <v>TRK76270481</v>
          </cell>
          <cell r="K867">
            <v>8</v>
          </cell>
          <cell r="L867" t="str">
            <v>SAVE10</v>
          </cell>
          <cell r="M867" t="str">
            <v>Google</v>
          </cell>
          <cell r="N867">
            <v>2709.48</v>
          </cell>
        </row>
        <row r="868">
          <cell r="A868" t="str">
            <v>ORD200866</v>
          </cell>
          <cell r="B868">
            <v>45499</v>
          </cell>
          <cell r="C868" t="str">
            <v>C39664</v>
          </cell>
          <cell r="D868" t="str">
            <v>Desk</v>
          </cell>
          <cell r="E868">
            <v>5</v>
          </cell>
          <cell r="F868">
            <v>189.25</v>
          </cell>
          <cell r="G868" t="str">
            <v>693 Main St</v>
          </cell>
          <cell r="H868" t="str">
            <v>Debit Card</v>
          </cell>
          <cell r="I868" t="str">
            <v>Cancelled</v>
          </cell>
          <cell r="J868" t="str">
            <v>TRK39917741</v>
          </cell>
          <cell r="K868">
            <v>10</v>
          </cell>
          <cell r="L868" t="str">
            <v>WINTER15</v>
          </cell>
          <cell r="M868" t="str">
            <v>Email</v>
          </cell>
          <cell r="N868">
            <v>946.25</v>
          </cell>
        </row>
        <row r="869">
          <cell r="A869" t="str">
            <v>ORD200867</v>
          </cell>
          <cell r="B869">
            <v>45438</v>
          </cell>
          <cell r="C869" t="str">
            <v>C53252</v>
          </cell>
          <cell r="D869" t="str">
            <v>Printer</v>
          </cell>
          <cell r="E869">
            <v>4</v>
          </cell>
          <cell r="F869">
            <v>142.58000000000001</v>
          </cell>
          <cell r="G869" t="str">
            <v>351 Main St</v>
          </cell>
          <cell r="H869" t="str">
            <v>Cash</v>
          </cell>
          <cell r="I869" t="str">
            <v>Delivered</v>
          </cell>
          <cell r="J869" t="str">
            <v>TRK65831261</v>
          </cell>
          <cell r="K869">
            <v>4</v>
          </cell>
          <cell r="L869" t="str">
            <v>FREESHIP</v>
          </cell>
          <cell r="M869" t="str">
            <v>Facebook</v>
          </cell>
          <cell r="N869">
            <v>570.32000000000005</v>
          </cell>
        </row>
        <row r="870">
          <cell r="A870" t="str">
            <v>ORD200868</v>
          </cell>
          <cell r="B870">
            <v>45472</v>
          </cell>
          <cell r="C870" t="str">
            <v>C70452</v>
          </cell>
          <cell r="D870" t="str">
            <v>Monitor</v>
          </cell>
          <cell r="E870">
            <v>4</v>
          </cell>
          <cell r="F870">
            <v>316.32</v>
          </cell>
          <cell r="G870" t="str">
            <v>309 Main St</v>
          </cell>
          <cell r="H870" t="str">
            <v>Debit Card</v>
          </cell>
          <cell r="I870" t="str">
            <v>Delivered</v>
          </cell>
          <cell r="J870" t="str">
            <v>TRK42985882</v>
          </cell>
          <cell r="K870">
            <v>7</v>
          </cell>
          <cell r="L870" t="str">
            <v>No Coupon</v>
          </cell>
          <cell r="M870" t="str">
            <v>Facebook</v>
          </cell>
          <cell r="N870">
            <v>1265.28</v>
          </cell>
        </row>
        <row r="871">
          <cell r="A871" t="str">
            <v>ORD200869</v>
          </cell>
          <cell r="B871">
            <v>45368</v>
          </cell>
          <cell r="C871" t="str">
            <v>C29905</v>
          </cell>
          <cell r="D871" t="str">
            <v>Desk</v>
          </cell>
          <cell r="E871">
            <v>2</v>
          </cell>
          <cell r="F871">
            <v>533.95000000000005</v>
          </cell>
          <cell r="G871" t="str">
            <v>790 Main St</v>
          </cell>
          <cell r="H871" t="str">
            <v>Online</v>
          </cell>
          <cell r="I871" t="str">
            <v>Delivered</v>
          </cell>
          <cell r="J871" t="str">
            <v>TRK16788127</v>
          </cell>
          <cell r="K871">
            <v>5</v>
          </cell>
          <cell r="L871" t="str">
            <v>WINTER15</v>
          </cell>
          <cell r="M871" t="str">
            <v>Google</v>
          </cell>
          <cell r="N871">
            <v>1067.9000000000001</v>
          </cell>
        </row>
        <row r="872">
          <cell r="A872" t="str">
            <v>ORD200870</v>
          </cell>
          <cell r="B872">
            <v>45809</v>
          </cell>
          <cell r="C872" t="str">
            <v>C78725</v>
          </cell>
          <cell r="D872" t="str">
            <v>Phone</v>
          </cell>
          <cell r="E872">
            <v>4</v>
          </cell>
          <cell r="F872">
            <v>470.09</v>
          </cell>
          <cell r="G872" t="str">
            <v>541 Main St</v>
          </cell>
          <cell r="H872" t="str">
            <v>Debit Card</v>
          </cell>
          <cell r="I872" t="str">
            <v>Delivered</v>
          </cell>
          <cell r="J872" t="str">
            <v>TRK72001139</v>
          </cell>
          <cell r="K872">
            <v>4</v>
          </cell>
          <cell r="L872" t="str">
            <v>FREESHIP</v>
          </cell>
          <cell r="M872" t="str">
            <v>Google</v>
          </cell>
          <cell r="N872">
            <v>1880.36</v>
          </cell>
        </row>
        <row r="873">
          <cell r="A873" t="str">
            <v>ORD200871</v>
          </cell>
          <cell r="B873">
            <v>45428</v>
          </cell>
          <cell r="C873" t="str">
            <v>C93768</v>
          </cell>
          <cell r="D873" t="str">
            <v>Tablet</v>
          </cell>
          <cell r="E873">
            <v>3</v>
          </cell>
          <cell r="F873">
            <v>324.3</v>
          </cell>
          <cell r="G873" t="str">
            <v>720 Main St</v>
          </cell>
          <cell r="H873" t="str">
            <v>Debit Card</v>
          </cell>
          <cell r="I873" t="str">
            <v>Pending</v>
          </cell>
          <cell r="J873" t="str">
            <v>TRK22024707</v>
          </cell>
          <cell r="K873">
            <v>8</v>
          </cell>
          <cell r="L873" t="str">
            <v>FREESHIP</v>
          </cell>
          <cell r="M873" t="str">
            <v>Email</v>
          </cell>
          <cell r="N873">
            <v>972.90000000000009</v>
          </cell>
        </row>
        <row r="874">
          <cell r="A874" t="str">
            <v>ORD200872</v>
          </cell>
          <cell r="B874">
            <v>45117</v>
          </cell>
          <cell r="C874" t="str">
            <v>C59169</v>
          </cell>
          <cell r="D874" t="str">
            <v>Chair</v>
          </cell>
          <cell r="E874">
            <v>4</v>
          </cell>
          <cell r="F874">
            <v>629.34</v>
          </cell>
          <cell r="G874" t="str">
            <v>172 Main St</v>
          </cell>
          <cell r="H874" t="str">
            <v>Cash</v>
          </cell>
          <cell r="I874" t="str">
            <v>Shipped</v>
          </cell>
          <cell r="J874" t="str">
            <v>TRK90883858</v>
          </cell>
          <cell r="K874">
            <v>7</v>
          </cell>
          <cell r="L874" t="str">
            <v>No Coupon</v>
          </cell>
          <cell r="M874" t="str">
            <v>Email</v>
          </cell>
          <cell r="N874">
            <v>2517.36</v>
          </cell>
        </row>
        <row r="875">
          <cell r="A875" t="str">
            <v>ORD200873</v>
          </cell>
          <cell r="B875">
            <v>45424</v>
          </cell>
          <cell r="C875" t="str">
            <v>C53488</v>
          </cell>
          <cell r="D875" t="str">
            <v>Desk</v>
          </cell>
          <cell r="E875">
            <v>3</v>
          </cell>
          <cell r="F875">
            <v>136.84</v>
          </cell>
          <cell r="G875" t="str">
            <v>448 Main St</v>
          </cell>
          <cell r="H875" t="str">
            <v>Cash</v>
          </cell>
          <cell r="I875" t="str">
            <v>Delivered</v>
          </cell>
          <cell r="J875" t="str">
            <v>TRK27365050</v>
          </cell>
          <cell r="K875">
            <v>3</v>
          </cell>
          <cell r="L875" t="str">
            <v>SAVE10</v>
          </cell>
          <cell r="M875" t="str">
            <v>Facebook</v>
          </cell>
          <cell r="N875">
            <v>410.52</v>
          </cell>
        </row>
        <row r="876">
          <cell r="A876" t="str">
            <v>ORD200874</v>
          </cell>
          <cell r="B876">
            <v>45230</v>
          </cell>
          <cell r="C876" t="str">
            <v>C92180</v>
          </cell>
          <cell r="D876" t="str">
            <v>Chair</v>
          </cell>
          <cell r="E876">
            <v>2</v>
          </cell>
          <cell r="F876">
            <v>488.9</v>
          </cell>
          <cell r="G876" t="str">
            <v>632 Main St</v>
          </cell>
          <cell r="H876" t="str">
            <v>Cash</v>
          </cell>
          <cell r="I876" t="str">
            <v>Delivered</v>
          </cell>
          <cell r="J876" t="str">
            <v>TRK93315929</v>
          </cell>
          <cell r="K876">
            <v>7</v>
          </cell>
          <cell r="L876" t="str">
            <v>FREESHIP</v>
          </cell>
          <cell r="M876" t="str">
            <v>Facebook</v>
          </cell>
          <cell r="N876">
            <v>977.8</v>
          </cell>
        </row>
        <row r="877">
          <cell r="A877" t="str">
            <v>ORD200875</v>
          </cell>
          <cell r="B877">
            <v>45141</v>
          </cell>
          <cell r="C877" t="str">
            <v>C25918</v>
          </cell>
          <cell r="D877" t="str">
            <v>Laptop</v>
          </cell>
          <cell r="E877">
            <v>5</v>
          </cell>
          <cell r="F877">
            <v>133.38999999999999</v>
          </cell>
          <cell r="G877" t="str">
            <v>203 Main St</v>
          </cell>
          <cell r="H877" t="str">
            <v>Credit Card</v>
          </cell>
          <cell r="I877" t="str">
            <v>Delivered</v>
          </cell>
          <cell r="J877" t="str">
            <v>TRK66473392</v>
          </cell>
          <cell r="K877">
            <v>6</v>
          </cell>
          <cell r="L877" t="str">
            <v>FREESHIP</v>
          </cell>
          <cell r="M877" t="str">
            <v>Referral</v>
          </cell>
          <cell r="N877">
            <v>666.94999999999993</v>
          </cell>
        </row>
        <row r="878">
          <cell r="A878" t="str">
            <v>ORD200876</v>
          </cell>
          <cell r="B878">
            <v>45452</v>
          </cell>
          <cell r="C878" t="str">
            <v>C90363</v>
          </cell>
          <cell r="D878" t="str">
            <v>Chair</v>
          </cell>
          <cell r="E878">
            <v>5</v>
          </cell>
          <cell r="F878">
            <v>608.91</v>
          </cell>
          <cell r="G878" t="str">
            <v>200 Main St</v>
          </cell>
          <cell r="H878" t="str">
            <v>Gift Card</v>
          </cell>
          <cell r="I878" t="str">
            <v>Pending</v>
          </cell>
          <cell r="J878" t="str">
            <v>TRK21534173</v>
          </cell>
          <cell r="K878">
            <v>6</v>
          </cell>
          <cell r="L878" t="str">
            <v>SAVE10</v>
          </cell>
          <cell r="M878" t="str">
            <v>Google</v>
          </cell>
          <cell r="N878">
            <v>3044.5499999999997</v>
          </cell>
        </row>
        <row r="879">
          <cell r="A879" t="str">
            <v>ORD200877</v>
          </cell>
          <cell r="B879">
            <v>45498</v>
          </cell>
          <cell r="C879" t="str">
            <v>C43867</v>
          </cell>
          <cell r="D879" t="str">
            <v>Tablet</v>
          </cell>
          <cell r="E879">
            <v>1</v>
          </cell>
          <cell r="F879">
            <v>524.05999999999995</v>
          </cell>
          <cell r="G879" t="str">
            <v>269 Main St</v>
          </cell>
          <cell r="H879" t="str">
            <v>Debit Card</v>
          </cell>
          <cell r="I879" t="str">
            <v>Pending</v>
          </cell>
          <cell r="J879" t="str">
            <v>TRK97319127</v>
          </cell>
          <cell r="K879">
            <v>3</v>
          </cell>
          <cell r="L879" t="str">
            <v>FREESHIP</v>
          </cell>
          <cell r="M879" t="str">
            <v>Email</v>
          </cell>
          <cell r="N879">
            <v>524.05999999999995</v>
          </cell>
        </row>
        <row r="880">
          <cell r="A880" t="str">
            <v>ORD200878</v>
          </cell>
          <cell r="B880">
            <v>45078</v>
          </cell>
          <cell r="C880" t="str">
            <v>C73873</v>
          </cell>
          <cell r="D880" t="str">
            <v>Desk</v>
          </cell>
          <cell r="E880">
            <v>2</v>
          </cell>
          <cell r="F880">
            <v>330.69</v>
          </cell>
          <cell r="G880" t="str">
            <v>393 Main St</v>
          </cell>
          <cell r="H880" t="str">
            <v>Online</v>
          </cell>
          <cell r="I880" t="str">
            <v>Cancelled</v>
          </cell>
          <cell r="J880" t="str">
            <v>TRK56423132</v>
          </cell>
          <cell r="K880">
            <v>5</v>
          </cell>
          <cell r="L880" t="str">
            <v>SAVE10</v>
          </cell>
          <cell r="M880" t="str">
            <v>Google</v>
          </cell>
          <cell r="N880">
            <v>661.38</v>
          </cell>
        </row>
        <row r="881">
          <cell r="A881" t="str">
            <v>ORD200879</v>
          </cell>
          <cell r="B881">
            <v>45755</v>
          </cell>
          <cell r="C881" t="str">
            <v>C56622</v>
          </cell>
          <cell r="D881" t="str">
            <v>Phone</v>
          </cell>
          <cell r="E881">
            <v>2</v>
          </cell>
          <cell r="F881">
            <v>547.66999999999996</v>
          </cell>
          <cell r="G881" t="str">
            <v>932 Main St</v>
          </cell>
          <cell r="H881" t="str">
            <v>Gift Card</v>
          </cell>
          <cell r="I881" t="str">
            <v>Shipped</v>
          </cell>
          <cell r="J881" t="str">
            <v>TRK86373987</v>
          </cell>
          <cell r="K881">
            <v>3</v>
          </cell>
          <cell r="L881" t="str">
            <v>No Coupon</v>
          </cell>
          <cell r="M881" t="str">
            <v>Instagram</v>
          </cell>
          <cell r="N881">
            <v>1095.3399999999999</v>
          </cell>
        </row>
        <row r="882">
          <cell r="A882" t="str">
            <v>ORD200880</v>
          </cell>
          <cell r="B882">
            <v>45728</v>
          </cell>
          <cell r="C882" t="str">
            <v>C85074</v>
          </cell>
          <cell r="D882" t="str">
            <v>Laptop</v>
          </cell>
          <cell r="E882">
            <v>4</v>
          </cell>
          <cell r="F882">
            <v>233.7</v>
          </cell>
          <cell r="G882" t="str">
            <v>506 Main St</v>
          </cell>
          <cell r="H882" t="str">
            <v>Online</v>
          </cell>
          <cell r="I882" t="str">
            <v>Shipped</v>
          </cell>
          <cell r="J882" t="str">
            <v>TRK63133878</v>
          </cell>
          <cell r="K882">
            <v>8</v>
          </cell>
          <cell r="L882" t="str">
            <v>SAVE10</v>
          </cell>
          <cell r="M882" t="str">
            <v>Facebook</v>
          </cell>
          <cell r="N882">
            <v>934.8</v>
          </cell>
        </row>
        <row r="883">
          <cell r="A883" t="str">
            <v>ORD200881</v>
          </cell>
          <cell r="B883">
            <v>44929</v>
          </cell>
          <cell r="C883" t="str">
            <v>C59579</v>
          </cell>
          <cell r="D883" t="str">
            <v>Tablet</v>
          </cell>
          <cell r="E883">
            <v>2</v>
          </cell>
          <cell r="F883">
            <v>448.85</v>
          </cell>
          <cell r="G883" t="str">
            <v>386 Main St</v>
          </cell>
          <cell r="H883" t="str">
            <v>Credit Card</v>
          </cell>
          <cell r="I883" t="str">
            <v>Pending</v>
          </cell>
          <cell r="J883" t="str">
            <v>TRK48000034</v>
          </cell>
          <cell r="K883">
            <v>6</v>
          </cell>
          <cell r="L883" t="str">
            <v>No Coupon</v>
          </cell>
          <cell r="M883" t="str">
            <v>Instagram</v>
          </cell>
          <cell r="N883">
            <v>897.7</v>
          </cell>
        </row>
        <row r="884">
          <cell r="A884" t="str">
            <v>ORD200882</v>
          </cell>
          <cell r="B884">
            <v>45836</v>
          </cell>
          <cell r="C884" t="str">
            <v>C43335</v>
          </cell>
          <cell r="D884" t="str">
            <v>Phone</v>
          </cell>
          <cell r="E884">
            <v>2</v>
          </cell>
          <cell r="F884">
            <v>274.12</v>
          </cell>
          <cell r="G884" t="str">
            <v>533 Main St</v>
          </cell>
          <cell r="H884" t="str">
            <v>Cash</v>
          </cell>
          <cell r="I884" t="str">
            <v>Delivered</v>
          </cell>
          <cell r="J884" t="str">
            <v>TRK91848650</v>
          </cell>
          <cell r="K884">
            <v>6</v>
          </cell>
          <cell r="L884" t="str">
            <v>FREESHIP</v>
          </cell>
          <cell r="M884" t="str">
            <v>Referral</v>
          </cell>
          <cell r="N884">
            <v>548.24</v>
          </cell>
        </row>
        <row r="885">
          <cell r="A885" t="str">
            <v>ORD200883</v>
          </cell>
          <cell r="B885">
            <v>45790</v>
          </cell>
          <cell r="C885" t="str">
            <v>C43595</v>
          </cell>
          <cell r="D885" t="str">
            <v>Printer</v>
          </cell>
          <cell r="E885">
            <v>5</v>
          </cell>
          <cell r="F885">
            <v>561.48</v>
          </cell>
          <cell r="G885" t="str">
            <v>451 Main St</v>
          </cell>
          <cell r="H885" t="str">
            <v>Online</v>
          </cell>
          <cell r="I885" t="str">
            <v>Delivered</v>
          </cell>
          <cell r="J885" t="str">
            <v>TRK25317348</v>
          </cell>
          <cell r="K885">
            <v>9</v>
          </cell>
          <cell r="L885" t="str">
            <v>FREESHIP</v>
          </cell>
          <cell r="M885" t="str">
            <v>Facebook</v>
          </cell>
          <cell r="N885">
            <v>2807.4</v>
          </cell>
        </row>
        <row r="886">
          <cell r="A886" t="str">
            <v>ORD200884</v>
          </cell>
          <cell r="B886">
            <v>45427</v>
          </cell>
          <cell r="C886" t="str">
            <v>C71471</v>
          </cell>
          <cell r="D886" t="str">
            <v>Chair</v>
          </cell>
          <cell r="E886">
            <v>1</v>
          </cell>
          <cell r="F886">
            <v>595.54</v>
          </cell>
          <cell r="G886" t="str">
            <v>817 Main St</v>
          </cell>
          <cell r="H886" t="str">
            <v>Gift Card</v>
          </cell>
          <cell r="I886" t="str">
            <v>Shipped</v>
          </cell>
          <cell r="J886" t="str">
            <v>TRK52137079</v>
          </cell>
          <cell r="K886">
            <v>4</v>
          </cell>
          <cell r="L886" t="str">
            <v>No Coupon</v>
          </cell>
          <cell r="M886" t="str">
            <v>Instagram</v>
          </cell>
          <cell r="N886">
            <v>595.54</v>
          </cell>
        </row>
        <row r="887">
          <cell r="A887" t="str">
            <v>ORD200885</v>
          </cell>
          <cell r="B887">
            <v>45389</v>
          </cell>
          <cell r="C887" t="str">
            <v>C61090</v>
          </cell>
          <cell r="D887" t="str">
            <v>Laptop</v>
          </cell>
          <cell r="E887">
            <v>4</v>
          </cell>
          <cell r="F887">
            <v>515.59</v>
          </cell>
          <cell r="G887" t="str">
            <v>387 Main St</v>
          </cell>
          <cell r="H887" t="str">
            <v>Credit Card</v>
          </cell>
          <cell r="I887" t="str">
            <v>Shipped</v>
          </cell>
          <cell r="J887" t="str">
            <v>TRK36388962</v>
          </cell>
          <cell r="K887">
            <v>7</v>
          </cell>
          <cell r="L887" t="str">
            <v>FREESHIP</v>
          </cell>
          <cell r="M887" t="str">
            <v>Google</v>
          </cell>
          <cell r="N887">
            <v>2062.36</v>
          </cell>
        </row>
        <row r="888">
          <cell r="A888" t="str">
            <v>ORD200886</v>
          </cell>
          <cell r="B888">
            <v>45224</v>
          </cell>
          <cell r="C888" t="str">
            <v>C29620</v>
          </cell>
          <cell r="D888" t="str">
            <v>Phone</v>
          </cell>
          <cell r="E888">
            <v>1</v>
          </cell>
          <cell r="F888">
            <v>460.13</v>
          </cell>
          <cell r="G888" t="str">
            <v>792 Main St</v>
          </cell>
          <cell r="H888" t="str">
            <v>Credit Card</v>
          </cell>
          <cell r="I888" t="str">
            <v>Returned</v>
          </cell>
          <cell r="J888" t="str">
            <v>TRK22046456</v>
          </cell>
          <cell r="K888">
            <v>1</v>
          </cell>
          <cell r="L888" t="str">
            <v>No Coupon</v>
          </cell>
          <cell r="M888" t="str">
            <v>Google</v>
          </cell>
          <cell r="N888">
            <v>460.13</v>
          </cell>
        </row>
        <row r="889">
          <cell r="A889" t="str">
            <v>ORD200887</v>
          </cell>
          <cell r="B889">
            <v>45645</v>
          </cell>
          <cell r="C889" t="str">
            <v>C67932</v>
          </cell>
          <cell r="D889" t="str">
            <v>Chair</v>
          </cell>
          <cell r="E889">
            <v>3</v>
          </cell>
          <cell r="F889">
            <v>171.66</v>
          </cell>
          <cell r="G889" t="str">
            <v>857 Main St</v>
          </cell>
          <cell r="H889" t="str">
            <v>Debit Card</v>
          </cell>
          <cell r="I889" t="str">
            <v>Delivered</v>
          </cell>
          <cell r="J889" t="str">
            <v>TRK88547534</v>
          </cell>
          <cell r="K889">
            <v>7</v>
          </cell>
          <cell r="L889" t="str">
            <v>No Coupon</v>
          </cell>
          <cell r="M889" t="str">
            <v>Google</v>
          </cell>
          <cell r="N889">
            <v>514.98</v>
          </cell>
        </row>
        <row r="890">
          <cell r="A890" t="str">
            <v>ORD200888</v>
          </cell>
          <cell r="B890">
            <v>45496</v>
          </cell>
          <cell r="C890" t="str">
            <v>C14427</v>
          </cell>
          <cell r="D890" t="str">
            <v>Laptop</v>
          </cell>
          <cell r="E890">
            <v>2</v>
          </cell>
          <cell r="F890">
            <v>266.95</v>
          </cell>
          <cell r="G890" t="str">
            <v>833 Main St</v>
          </cell>
          <cell r="H890" t="str">
            <v>Credit Card</v>
          </cell>
          <cell r="I890" t="str">
            <v>Pending</v>
          </cell>
          <cell r="J890" t="str">
            <v>TRK58024529</v>
          </cell>
          <cell r="K890">
            <v>3</v>
          </cell>
          <cell r="L890" t="str">
            <v>No Coupon</v>
          </cell>
          <cell r="M890" t="str">
            <v>Instagram</v>
          </cell>
          <cell r="N890">
            <v>533.9</v>
          </cell>
        </row>
        <row r="891">
          <cell r="A891" t="str">
            <v>ORD200889</v>
          </cell>
          <cell r="B891">
            <v>45592</v>
          </cell>
          <cell r="C891" t="str">
            <v>C36725</v>
          </cell>
          <cell r="D891" t="str">
            <v>Monitor</v>
          </cell>
          <cell r="E891">
            <v>5</v>
          </cell>
          <cell r="F891">
            <v>650.72</v>
          </cell>
          <cell r="G891" t="str">
            <v>350 Main St</v>
          </cell>
          <cell r="H891" t="str">
            <v>Credit Card</v>
          </cell>
          <cell r="I891" t="str">
            <v>Cancelled</v>
          </cell>
          <cell r="J891" t="str">
            <v>TRK16808790</v>
          </cell>
          <cell r="K891">
            <v>8</v>
          </cell>
          <cell r="L891" t="str">
            <v>WINTER15</v>
          </cell>
          <cell r="M891" t="str">
            <v>Email</v>
          </cell>
          <cell r="N891">
            <v>3253.6000000000004</v>
          </cell>
        </row>
        <row r="892">
          <cell r="A892" t="str">
            <v>ORD200890</v>
          </cell>
          <cell r="B892">
            <v>45149</v>
          </cell>
          <cell r="C892" t="str">
            <v>C51921</v>
          </cell>
          <cell r="D892" t="str">
            <v>Laptop</v>
          </cell>
          <cell r="E892">
            <v>3</v>
          </cell>
          <cell r="F892">
            <v>439.53</v>
          </cell>
          <cell r="G892" t="str">
            <v>943 Main St</v>
          </cell>
          <cell r="H892" t="str">
            <v>Debit Card</v>
          </cell>
          <cell r="I892" t="str">
            <v>Pending</v>
          </cell>
          <cell r="J892" t="str">
            <v>TRK85741716</v>
          </cell>
          <cell r="K892">
            <v>5</v>
          </cell>
          <cell r="L892" t="str">
            <v>No Coupon</v>
          </cell>
          <cell r="M892" t="str">
            <v>Google</v>
          </cell>
          <cell r="N892">
            <v>1318.59</v>
          </cell>
        </row>
        <row r="893">
          <cell r="A893" t="str">
            <v>ORD200891</v>
          </cell>
          <cell r="B893">
            <v>45241</v>
          </cell>
          <cell r="C893" t="str">
            <v>C36534</v>
          </cell>
          <cell r="D893" t="str">
            <v>Monitor</v>
          </cell>
          <cell r="E893">
            <v>3</v>
          </cell>
          <cell r="F893">
            <v>654.54</v>
          </cell>
          <cell r="G893" t="str">
            <v>918 Main St</v>
          </cell>
          <cell r="H893" t="str">
            <v>Cash</v>
          </cell>
          <cell r="I893" t="str">
            <v>Returned</v>
          </cell>
          <cell r="J893" t="str">
            <v>TRK38952138</v>
          </cell>
          <cell r="K893">
            <v>7</v>
          </cell>
          <cell r="L893" t="str">
            <v>SAVE10</v>
          </cell>
          <cell r="M893" t="str">
            <v>Referral</v>
          </cell>
          <cell r="N893">
            <v>1963.62</v>
          </cell>
        </row>
        <row r="894">
          <cell r="A894" t="str">
            <v>ORD200892</v>
          </cell>
          <cell r="B894">
            <v>45447</v>
          </cell>
          <cell r="C894" t="str">
            <v>C72043</v>
          </cell>
          <cell r="D894" t="str">
            <v>Desk</v>
          </cell>
          <cell r="E894">
            <v>1</v>
          </cell>
          <cell r="F894">
            <v>394.53</v>
          </cell>
          <cell r="G894" t="str">
            <v>480 Main St</v>
          </cell>
          <cell r="H894" t="str">
            <v>Cash</v>
          </cell>
          <cell r="I894" t="str">
            <v>Shipped</v>
          </cell>
          <cell r="J894" t="str">
            <v>TRK40896408</v>
          </cell>
          <cell r="K894">
            <v>2</v>
          </cell>
          <cell r="L894" t="str">
            <v>FREESHIP</v>
          </cell>
          <cell r="M894" t="str">
            <v>Referral</v>
          </cell>
          <cell r="N894">
            <v>394.53</v>
          </cell>
        </row>
        <row r="895">
          <cell r="A895" t="str">
            <v>ORD200893</v>
          </cell>
          <cell r="B895">
            <v>45006</v>
          </cell>
          <cell r="C895" t="str">
            <v>C99533</v>
          </cell>
          <cell r="D895" t="str">
            <v>Monitor</v>
          </cell>
          <cell r="E895">
            <v>1</v>
          </cell>
          <cell r="F895">
            <v>678.01</v>
          </cell>
          <cell r="G895" t="str">
            <v>696 Main St</v>
          </cell>
          <cell r="H895" t="str">
            <v>Cash</v>
          </cell>
          <cell r="I895" t="str">
            <v>Pending</v>
          </cell>
          <cell r="J895" t="str">
            <v>TRK55701253</v>
          </cell>
          <cell r="K895">
            <v>4</v>
          </cell>
          <cell r="L895" t="str">
            <v>FREESHIP</v>
          </cell>
          <cell r="M895" t="str">
            <v>Referral</v>
          </cell>
          <cell r="N895">
            <v>678.01</v>
          </cell>
        </row>
        <row r="896">
          <cell r="A896" t="str">
            <v>ORD200894</v>
          </cell>
          <cell r="B896">
            <v>45069</v>
          </cell>
          <cell r="C896" t="str">
            <v>C90852</v>
          </cell>
          <cell r="D896" t="str">
            <v>Tablet</v>
          </cell>
          <cell r="E896">
            <v>3</v>
          </cell>
          <cell r="F896">
            <v>575.01</v>
          </cell>
          <cell r="G896" t="str">
            <v>852 Main St</v>
          </cell>
          <cell r="H896" t="str">
            <v>Online</v>
          </cell>
          <cell r="I896" t="str">
            <v>Cancelled</v>
          </cell>
          <cell r="J896" t="str">
            <v>TRK37551831</v>
          </cell>
          <cell r="K896">
            <v>8</v>
          </cell>
          <cell r="L896" t="str">
            <v>WINTER15</v>
          </cell>
          <cell r="M896" t="str">
            <v>Instagram</v>
          </cell>
          <cell r="N896">
            <v>1725.03</v>
          </cell>
        </row>
        <row r="897">
          <cell r="A897" t="str">
            <v>ORD200895</v>
          </cell>
          <cell r="B897">
            <v>45239</v>
          </cell>
          <cell r="C897" t="str">
            <v>C81882</v>
          </cell>
          <cell r="D897" t="str">
            <v>Chair</v>
          </cell>
          <cell r="E897">
            <v>3</v>
          </cell>
          <cell r="F897">
            <v>154.63999999999999</v>
          </cell>
          <cell r="G897" t="str">
            <v>832 Main St</v>
          </cell>
          <cell r="H897" t="str">
            <v>Debit Card</v>
          </cell>
          <cell r="I897" t="str">
            <v>Pending</v>
          </cell>
          <cell r="J897" t="str">
            <v>TRK62371264</v>
          </cell>
          <cell r="K897">
            <v>6</v>
          </cell>
          <cell r="L897" t="str">
            <v>WINTER15</v>
          </cell>
          <cell r="M897" t="str">
            <v>Facebook</v>
          </cell>
          <cell r="N897">
            <v>463.91999999999996</v>
          </cell>
        </row>
        <row r="898">
          <cell r="A898" t="str">
            <v>ORD200896</v>
          </cell>
          <cell r="B898">
            <v>45583</v>
          </cell>
          <cell r="C898" t="str">
            <v>C85466</v>
          </cell>
          <cell r="D898" t="str">
            <v>Desk</v>
          </cell>
          <cell r="E898">
            <v>3</v>
          </cell>
          <cell r="F898">
            <v>147.29</v>
          </cell>
          <cell r="G898" t="str">
            <v>102 Main St</v>
          </cell>
          <cell r="H898" t="str">
            <v>Gift Card</v>
          </cell>
          <cell r="I898" t="str">
            <v>Shipped</v>
          </cell>
          <cell r="J898" t="str">
            <v>TRK66764177</v>
          </cell>
          <cell r="K898">
            <v>3</v>
          </cell>
          <cell r="L898" t="str">
            <v>FREESHIP</v>
          </cell>
          <cell r="M898" t="str">
            <v>Google</v>
          </cell>
          <cell r="N898">
            <v>441.87</v>
          </cell>
        </row>
        <row r="899">
          <cell r="A899" t="str">
            <v>ORD200897</v>
          </cell>
          <cell r="B899">
            <v>45538</v>
          </cell>
          <cell r="C899" t="str">
            <v>C87995</v>
          </cell>
          <cell r="D899" t="str">
            <v>Laptop</v>
          </cell>
          <cell r="E899">
            <v>4</v>
          </cell>
          <cell r="F899">
            <v>481.48</v>
          </cell>
          <cell r="G899" t="str">
            <v>358 Main St</v>
          </cell>
          <cell r="H899" t="str">
            <v>Gift Card</v>
          </cell>
          <cell r="I899" t="str">
            <v>Delivered</v>
          </cell>
          <cell r="J899" t="str">
            <v>TRK38730545</v>
          </cell>
          <cell r="K899">
            <v>5</v>
          </cell>
          <cell r="L899" t="str">
            <v>SAVE10</v>
          </cell>
          <cell r="M899" t="str">
            <v>Instagram</v>
          </cell>
          <cell r="N899">
            <v>1925.92</v>
          </cell>
        </row>
        <row r="900">
          <cell r="A900" t="str">
            <v>ORD200898</v>
          </cell>
          <cell r="B900">
            <v>45721</v>
          </cell>
          <cell r="C900" t="str">
            <v>C44619</v>
          </cell>
          <cell r="D900" t="str">
            <v>Monitor</v>
          </cell>
          <cell r="E900">
            <v>3</v>
          </cell>
          <cell r="F900">
            <v>158.37</v>
          </cell>
          <cell r="G900" t="str">
            <v>742 Main St</v>
          </cell>
          <cell r="H900" t="str">
            <v>Cash</v>
          </cell>
          <cell r="I900" t="str">
            <v>Shipped</v>
          </cell>
          <cell r="J900" t="str">
            <v>TRK66662528</v>
          </cell>
          <cell r="K900">
            <v>6</v>
          </cell>
          <cell r="L900" t="str">
            <v>No Coupon</v>
          </cell>
          <cell r="M900" t="str">
            <v>Referral</v>
          </cell>
          <cell r="N900">
            <v>475.11</v>
          </cell>
        </row>
        <row r="901">
          <cell r="A901" t="str">
            <v>ORD200899</v>
          </cell>
          <cell r="B901">
            <v>45770</v>
          </cell>
          <cell r="C901" t="str">
            <v>C99904</v>
          </cell>
          <cell r="D901" t="str">
            <v>Printer</v>
          </cell>
          <cell r="E901">
            <v>2</v>
          </cell>
          <cell r="F901">
            <v>323.37</v>
          </cell>
          <cell r="G901" t="str">
            <v>552 Main St</v>
          </cell>
          <cell r="H901" t="str">
            <v>Online</v>
          </cell>
          <cell r="I901" t="str">
            <v>Pending</v>
          </cell>
          <cell r="J901" t="str">
            <v>TRK83843411</v>
          </cell>
          <cell r="K901">
            <v>3</v>
          </cell>
          <cell r="L901" t="str">
            <v>SAVE10</v>
          </cell>
          <cell r="M901" t="str">
            <v>Instagram</v>
          </cell>
          <cell r="N901">
            <v>646.74</v>
          </cell>
        </row>
        <row r="902">
          <cell r="A902" t="str">
            <v>ORD200900</v>
          </cell>
          <cell r="B902">
            <v>45695</v>
          </cell>
          <cell r="C902" t="str">
            <v>C52342</v>
          </cell>
          <cell r="D902" t="str">
            <v>Laptop</v>
          </cell>
          <cell r="E902">
            <v>5</v>
          </cell>
          <cell r="F902">
            <v>73.83</v>
          </cell>
          <cell r="G902" t="str">
            <v>991 Main St</v>
          </cell>
          <cell r="H902" t="str">
            <v>Debit Card</v>
          </cell>
          <cell r="I902" t="str">
            <v>Pending</v>
          </cell>
          <cell r="J902" t="str">
            <v>TRK67342586</v>
          </cell>
          <cell r="K902">
            <v>9</v>
          </cell>
          <cell r="L902" t="str">
            <v>No Coupon</v>
          </cell>
          <cell r="M902" t="str">
            <v>Instagram</v>
          </cell>
          <cell r="N902">
            <v>369.15</v>
          </cell>
        </row>
        <row r="903">
          <cell r="A903" t="str">
            <v>ORD200901</v>
          </cell>
          <cell r="B903">
            <v>45410</v>
          </cell>
          <cell r="C903" t="str">
            <v>C44277</v>
          </cell>
          <cell r="D903" t="str">
            <v>Tablet</v>
          </cell>
          <cell r="E903">
            <v>1</v>
          </cell>
          <cell r="F903">
            <v>458.63</v>
          </cell>
          <cell r="G903" t="str">
            <v>839 Main St</v>
          </cell>
          <cell r="H903" t="str">
            <v>Debit Card</v>
          </cell>
          <cell r="I903" t="str">
            <v>Returned</v>
          </cell>
          <cell r="J903" t="str">
            <v>TRK79321479</v>
          </cell>
          <cell r="K903">
            <v>4</v>
          </cell>
          <cell r="L903" t="str">
            <v>WINTER15</v>
          </cell>
          <cell r="M903" t="str">
            <v>Referral</v>
          </cell>
          <cell r="N903">
            <v>458.63</v>
          </cell>
        </row>
        <row r="904">
          <cell r="A904" t="str">
            <v>ORD200902</v>
          </cell>
          <cell r="B904">
            <v>45486</v>
          </cell>
          <cell r="C904" t="str">
            <v>C61162</v>
          </cell>
          <cell r="D904" t="str">
            <v>Monitor</v>
          </cell>
          <cell r="E904">
            <v>4</v>
          </cell>
          <cell r="F904">
            <v>180.25</v>
          </cell>
          <cell r="G904" t="str">
            <v>813 Main St</v>
          </cell>
          <cell r="H904" t="str">
            <v>Debit Card</v>
          </cell>
          <cell r="I904" t="str">
            <v>Cancelled</v>
          </cell>
          <cell r="J904" t="str">
            <v>TRK76712124</v>
          </cell>
          <cell r="K904">
            <v>7</v>
          </cell>
          <cell r="L904" t="str">
            <v>No Coupon</v>
          </cell>
          <cell r="M904" t="str">
            <v>Facebook</v>
          </cell>
          <cell r="N904">
            <v>721</v>
          </cell>
        </row>
        <row r="905">
          <cell r="A905" t="str">
            <v>ORD200903</v>
          </cell>
          <cell r="B905">
            <v>45063</v>
          </cell>
          <cell r="C905" t="str">
            <v>C80868</v>
          </cell>
          <cell r="D905" t="str">
            <v>Monitor</v>
          </cell>
          <cell r="E905">
            <v>3</v>
          </cell>
          <cell r="F905">
            <v>473.49</v>
          </cell>
          <cell r="G905" t="str">
            <v>205 Main St</v>
          </cell>
          <cell r="H905" t="str">
            <v>Credit Card</v>
          </cell>
          <cell r="I905" t="str">
            <v>Pending</v>
          </cell>
          <cell r="J905" t="str">
            <v>TRK56186636</v>
          </cell>
          <cell r="K905">
            <v>7</v>
          </cell>
          <cell r="L905" t="str">
            <v>No Coupon</v>
          </cell>
          <cell r="M905" t="str">
            <v>Email</v>
          </cell>
          <cell r="N905">
            <v>1420.47</v>
          </cell>
        </row>
        <row r="906">
          <cell r="A906" t="str">
            <v>ORD200904</v>
          </cell>
          <cell r="B906">
            <v>45693</v>
          </cell>
          <cell r="C906" t="str">
            <v>C16693</v>
          </cell>
          <cell r="D906" t="str">
            <v>Monitor</v>
          </cell>
          <cell r="E906">
            <v>4</v>
          </cell>
          <cell r="F906">
            <v>237.43</v>
          </cell>
          <cell r="G906" t="str">
            <v>262 Main St</v>
          </cell>
          <cell r="H906" t="str">
            <v>Cash</v>
          </cell>
          <cell r="I906" t="str">
            <v>Cancelled</v>
          </cell>
          <cell r="J906" t="str">
            <v>TRK41146508</v>
          </cell>
          <cell r="K906">
            <v>8</v>
          </cell>
          <cell r="L906" t="str">
            <v>WINTER15</v>
          </cell>
          <cell r="M906" t="str">
            <v>Referral</v>
          </cell>
          <cell r="N906">
            <v>949.72</v>
          </cell>
        </row>
        <row r="907">
          <cell r="A907" t="str">
            <v>ORD200905</v>
          </cell>
          <cell r="B907">
            <v>45253</v>
          </cell>
          <cell r="C907" t="str">
            <v>C67818</v>
          </cell>
          <cell r="D907" t="str">
            <v>Laptop</v>
          </cell>
          <cell r="E907">
            <v>1</v>
          </cell>
          <cell r="F907">
            <v>442.39</v>
          </cell>
          <cell r="G907" t="str">
            <v>101 Main St</v>
          </cell>
          <cell r="H907" t="str">
            <v>Gift Card</v>
          </cell>
          <cell r="I907" t="str">
            <v>Pending</v>
          </cell>
          <cell r="J907" t="str">
            <v>TRK81978113</v>
          </cell>
          <cell r="K907">
            <v>6</v>
          </cell>
          <cell r="L907" t="str">
            <v>FREESHIP</v>
          </cell>
          <cell r="M907" t="str">
            <v>Facebook</v>
          </cell>
          <cell r="N907">
            <v>442.39</v>
          </cell>
        </row>
        <row r="908">
          <cell r="A908" t="str">
            <v>ORD200906</v>
          </cell>
          <cell r="B908">
            <v>45538</v>
          </cell>
          <cell r="C908" t="str">
            <v>C49938</v>
          </cell>
          <cell r="D908" t="str">
            <v>Monitor</v>
          </cell>
          <cell r="E908">
            <v>1</v>
          </cell>
          <cell r="F908">
            <v>62.12</v>
          </cell>
          <cell r="G908" t="str">
            <v>141 Main St</v>
          </cell>
          <cell r="H908" t="str">
            <v>Cash</v>
          </cell>
          <cell r="I908" t="str">
            <v>Returned</v>
          </cell>
          <cell r="J908" t="str">
            <v>TRK80175572</v>
          </cell>
          <cell r="K908">
            <v>2</v>
          </cell>
          <cell r="L908" t="str">
            <v>No Coupon</v>
          </cell>
          <cell r="M908" t="str">
            <v>Email</v>
          </cell>
          <cell r="N908">
            <v>62.12</v>
          </cell>
        </row>
        <row r="909">
          <cell r="A909" t="str">
            <v>ORD200907</v>
          </cell>
          <cell r="B909">
            <v>45508</v>
          </cell>
          <cell r="C909" t="str">
            <v>C90898</v>
          </cell>
          <cell r="D909" t="str">
            <v>Desk</v>
          </cell>
          <cell r="E909">
            <v>5</v>
          </cell>
          <cell r="F909">
            <v>298.39</v>
          </cell>
          <cell r="G909" t="str">
            <v>583 Main St</v>
          </cell>
          <cell r="H909" t="str">
            <v>Gift Card</v>
          </cell>
          <cell r="I909" t="str">
            <v>Cancelled</v>
          </cell>
          <cell r="J909" t="str">
            <v>TRK52935170</v>
          </cell>
          <cell r="K909">
            <v>7</v>
          </cell>
          <cell r="L909" t="str">
            <v>WINTER15</v>
          </cell>
          <cell r="M909" t="str">
            <v>Referral</v>
          </cell>
          <cell r="N909">
            <v>1491.9499999999998</v>
          </cell>
        </row>
        <row r="910">
          <cell r="A910" t="str">
            <v>ORD200908</v>
          </cell>
          <cell r="B910">
            <v>45783</v>
          </cell>
          <cell r="C910" t="str">
            <v>C35117</v>
          </cell>
          <cell r="D910" t="str">
            <v>Desk</v>
          </cell>
          <cell r="E910">
            <v>2</v>
          </cell>
          <cell r="F910">
            <v>697.93</v>
          </cell>
          <cell r="G910" t="str">
            <v>332 Main St</v>
          </cell>
          <cell r="H910" t="str">
            <v>Credit Card</v>
          </cell>
          <cell r="I910" t="str">
            <v>Cancelled</v>
          </cell>
          <cell r="J910" t="str">
            <v>TRK27155709</v>
          </cell>
          <cell r="K910">
            <v>2</v>
          </cell>
          <cell r="L910" t="str">
            <v>SAVE10</v>
          </cell>
          <cell r="M910" t="str">
            <v>Google</v>
          </cell>
          <cell r="N910">
            <v>1395.86</v>
          </cell>
        </row>
        <row r="911">
          <cell r="A911" t="str">
            <v>ORD200909</v>
          </cell>
          <cell r="B911">
            <v>45439</v>
          </cell>
          <cell r="C911" t="str">
            <v>C60203</v>
          </cell>
          <cell r="D911" t="str">
            <v>Tablet</v>
          </cell>
          <cell r="E911">
            <v>2</v>
          </cell>
          <cell r="F911">
            <v>291.85000000000002</v>
          </cell>
          <cell r="G911" t="str">
            <v>569 Main St</v>
          </cell>
          <cell r="H911" t="str">
            <v>Cash</v>
          </cell>
          <cell r="I911" t="str">
            <v>Shipped</v>
          </cell>
          <cell r="J911" t="str">
            <v>TRK76525279</v>
          </cell>
          <cell r="K911">
            <v>5</v>
          </cell>
          <cell r="L911" t="str">
            <v>FREESHIP</v>
          </cell>
          <cell r="M911" t="str">
            <v>Instagram</v>
          </cell>
          <cell r="N911">
            <v>583.70000000000005</v>
          </cell>
        </row>
        <row r="912">
          <cell r="A912" t="str">
            <v>ORD200910</v>
          </cell>
          <cell r="B912">
            <v>45443</v>
          </cell>
          <cell r="C912" t="str">
            <v>C36174</v>
          </cell>
          <cell r="D912" t="str">
            <v>Printer</v>
          </cell>
          <cell r="E912">
            <v>3</v>
          </cell>
          <cell r="F912">
            <v>308.98</v>
          </cell>
          <cell r="G912" t="str">
            <v>348 Main St</v>
          </cell>
          <cell r="H912" t="str">
            <v>Cash</v>
          </cell>
          <cell r="I912" t="str">
            <v>Delivered</v>
          </cell>
          <cell r="J912" t="str">
            <v>TRK26397548</v>
          </cell>
          <cell r="K912">
            <v>3</v>
          </cell>
          <cell r="L912" t="str">
            <v>SAVE10</v>
          </cell>
          <cell r="M912" t="str">
            <v>Instagram</v>
          </cell>
          <cell r="N912">
            <v>926.94</v>
          </cell>
        </row>
        <row r="913">
          <cell r="A913" t="str">
            <v>ORD200911</v>
          </cell>
          <cell r="B913">
            <v>45517</v>
          </cell>
          <cell r="C913" t="str">
            <v>C80872</v>
          </cell>
          <cell r="D913" t="str">
            <v>Desk</v>
          </cell>
          <cell r="E913">
            <v>5</v>
          </cell>
          <cell r="F913">
            <v>396.86</v>
          </cell>
          <cell r="G913" t="str">
            <v>593 Main St</v>
          </cell>
          <cell r="H913" t="str">
            <v>Cash</v>
          </cell>
          <cell r="I913" t="str">
            <v>Cancelled</v>
          </cell>
          <cell r="J913" t="str">
            <v>TRK43967487</v>
          </cell>
          <cell r="K913">
            <v>9</v>
          </cell>
          <cell r="L913" t="str">
            <v>SAVE10</v>
          </cell>
          <cell r="M913" t="str">
            <v>Instagram</v>
          </cell>
          <cell r="N913">
            <v>1984.3000000000002</v>
          </cell>
        </row>
        <row r="914">
          <cell r="A914" t="str">
            <v>ORD200912</v>
          </cell>
          <cell r="B914">
            <v>45313</v>
          </cell>
          <cell r="C914" t="str">
            <v>C67604</v>
          </cell>
          <cell r="D914" t="str">
            <v>Desk</v>
          </cell>
          <cell r="E914">
            <v>2</v>
          </cell>
          <cell r="F914">
            <v>139.69</v>
          </cell>
          <cell r="G914" t="str">
            <v>318 Main St</v>
          </cell>
          <cell r="H914" t="str">
            <v>Online</v>
          </cell>
          <cell r="I914" t="str">
            <v>Returned</v>
          </cell>
          <cell r="J914" t="str">
            <v>TRK85545920</v>
          </cell>
          <cell r="K914">
            <v>7</v>
          </cell>
          <cell r="L914" t="str">
            <v>FREESHIP</v>
          </cell>
          <cell r="M914" t="str">
            <v>Email</v>
          </cell>
          <cell r="N914">
            <v>279.38</v>
          </cell>
        </row>
        <row r="915">
          <cell r="A915" t="str">
            <v>ORD200913</v>
          </cell>
          <cell r="B915">
            <v>44973</v>
          </cell>
          <cell r="C915" t="str">
            <v>C45599</v>
          </cell>
          <cell r="D915" t="str">
            <v>Printer</v>
          </cell>
          <cell r="E915">
            <v>5</v>
          </cell>
          <cell r="F915">
            <v>475.95</v>
          </cell>
          <cell r="G915" t="str">
            <v>505 Main St</v>
          </cell>
          <cell r="H915" t="str">
            <v>Credit Card</v>
          </cell>
          <cell r="I915" t="str">
            <v>Returned</v>
          </cell>
          <cell r="J915" t="str">
            <v>TRK62277685</v>
          </cell>
          <cell r="K915">
            <v>8</v>
          </cell>
          <cell r="L915" t="str">
            <v>WINTER15</v>
          </cell>
          <cell r="M915" t="str">
            <v>Facebook</v>
          </cell>
          <cell r="N915">
            <v>2379.75</v>
          </cell>
        </row>
        <row r="916">
          <cell r="A916" t="str">
            <v>ORD200914</v>
          </cell>
          <cell r="B916">
            <v>45698</v>
          </cell>
          <cell r="C916" t="str">
            <v>C70352</v>
          </cell>
          <cell r="D916" t="str">
            <v>Desk</v>
          </cell>
          <cell r="E916">
            <v>1</v>
          </cell>
          <cell r="F916">
            <v>626.6</v>
          </cell>
          <cell r="G916" t="str">
            <v>955 Main St</v>
          </cell>
          <cell r="H916" t="str">
            <v>Gift Card</v>
          </cell>
          <cell r="I916" t="str">
            <v>Returned</v>
          </cell>
          <cell r="J916" t="str">
            <v>TRK51589589</v>
          </cell>
          <cell r="K916">
            <v>4</v>
          </cell>
          <cell r="L916" t="str">
            <v>WINTER15</v>
          </cell>
          <cell r="M916" t="str">
            <v>Facebook</v>
          </cell>
          <cell r="N916">
            <v>626.6</v>
          </cell>
        </row>
        <row r="917">
          <cell r="A917" t="str">
            <v>ORD200915</v>
          </cell>
          <cell r="B917">
            <v>45338</v>
          </cell>
          <cell r="C917" t="str">
            <v>C20643</v>
          </cell>
          <cell r="D917" t="str">
            <v>Laptop</v>
          </cell>
          <cell r="E917">
            <v>4</v>
          </cell>
          <cell r="F917">
            <v>502.99</v>
          </cell>
          <cell r="G917" t="str">
            <v>939 Main St</v>
          </cell>
          <cell r="H917" t="str">
            <v>Debit Card</v>
          </cell>
          <cell r="I917" t="str">
            <v>Shipped</v>
          </cell>
          <cell r="J917" t="str">
            <v>TRK30736692</v>
          </cell>
          <cell r="K917">
            <v>4</v>
          </cell>
          <cell r="L917" t="str">
            <v>WINTER15</v>
          </cell>
          <cell r="M917" t="str">
            <v>Referral</v>
          </cell>
          <cell r="N917">
            <v>2011.96</v>
          </cell>
        </row>
        <row r="918">
          <cell r="A918" t="str">
            <v>ORD200916</v>
          </cell>
          <cell r="B918">
            <v>45464</v>
          </cell>
          <cell r="C918" t="str">
            <v>C35669</v>
          </cell>
          <cell r="D918" t="str">
            <v>Printer</v>
          </cell>
          <cell r="E918">
            <v>5</v>
          </cell>
          <cell r="F918">
            <v>578.83000000000004</v>
          </cell>
          <cell r="G918" t="str">
            <v>165 Main St</v>
          </cell>
          <cell r="H918" t="str">
            <v>Cash</v>
          </cell>
          <cell r="I918" t="str">
            <v>Returned</v>
          </cell>
          <cell r="J918" t="str">
            <v>TRK13928455</v>
          </cell>
          <cell r="K918">
            <v>6</v>
          </cell>
          <cell r="L918" t="str">
            <v>No Coupon</v>
          </cell>
          <cell r="M918" t="str">
            <v>Referral</v>
          </cell>
          <cell r="N918">
            <v>2894.15</v>
          </cell>
        </row>
        <row r="919">
          <cell r="A919" t="str">
            <v>ORD200917</v>
          </cell>
          <cell r="B919">
            <v>45677</v>
          </cell>
          <cell r="C919" t="str">
            <v>C65524</v>
          </cell>
          <cell r="D919" t="str">
            <v>Laptop</v>
          </cell>
          <cell r="E919">
            <v>5</v>
          </cell>
          <cell r="F919">
            <v>383.82</v>
          </cell>
          <cell r="G919" t="str">
            <v>836 Main St</v>
          </cell>
          <cell r="H919" t="str">
            <v>Credit Card</v>
          </cell>
          <cell r="I919" t="str">
            <v>Returned</v>
          </cell>
          <cell r="J919" t="str">
            <v>TRK19315310</v>
          </cell>
          <cell r="K919">
            <v>7</v>
          </cell>
          <cell r="L919" t="str">
            <v>FREESHIP</v>
          </cell>
          <cell r="M919" t="str">
            <v>Google</v>
          </cell>
          <cell r="N919">
            <v>1919.1</v>
          </cell>
        </row>
        <row r="920">
          <cell r="A920" t="str">
            <v>ORD200918</v>
          </cell>
          <cell r="B920">
            <v>45832</v>
          </cell>
          <cell r="C920" t="str">
            <v>C74359</v>
          </cell>
          <cell r="D920" t="str">
            <v>Laptop</v>
          </cell>
          <cell r="E920">
            <v>5</v>
          </cell>
          <cell r="F920">
            <v>368.25</v>
          </cell>
          <cell r="G920" t="str">
            <v>706 Main St</v>
          </cell>
          <cell r="H920" t="str">
            <v>Online</v>
          </cell>
          <cell r="I920" t="str">
            <v>Delivered</v>
          </cell>
          <cell r="J920" t="str">
            <v>TRK18250450</v>
          </cell>
          <cell r="K920">
            <v>5</v>
          </cell>
          <cell r="L920" t="str">
            <v>No Coupon</v>
          </cell>
          <cell r="M920" t="str">
            <v>Instagram</v>
          </cell>
          <cell r="N920">
            <v>1841.25</v>
          </cell>
        </row>
        <row r="921">
          <cell r="A921" t="str">
            <v>ORD200919</v>
          </cell>
          <cell r="B921">
            <v>45695</v>
          </cell>
          <cell r="C921" t="str">
            <v>C92086</v>
          </cell>
          <cell r="D921" t="str">
            <v>Printer</v>
          </cell>
          <cell r="E921">
            <v>2</v>
          </cell>
          <cell r="F921">
            <v>374.6</v>
          </cell>
          <cell r="G921" t="str">
            <v>187 Main St</v>
          </cell>
          <cell r="H921" t="str">
            <v>Online</v>
          </cell>
          <cell r="I921" t="str">
            <v>Shipped</v>
          </cell>
          <cell r="J921" t="str">
            <v>TRK23357668</v>
          </cell>
          <cell r="K921">
            <v>3</v>
          </cell>
          <cell r="L921" t="str">
            <v>FREESHIP</v>
          </cell>
          <cell r="M921" t="str">
            <v>Referral</v>
          </cell>
          <cell r="N921">
            <v>749.2</v>
          </cell>
        </row>
        <row r="922">
          <cell r="A922" t="str">
            <v>ORD200920</v>
          </cell>
          <cell r="B922">
            <v>45728</v>
          </cell>
          <cell r="C922" t="str">
            <v>C26137</v>
          </cell>
          <cell r="D922" t="str">
            <v>Tablet</v>
          </cell>
          <cell r="E922">
            <v>2</v>
          </cell>
          <cell r="F922">
            <v>428.09</v>
          </cell>
          <cell r="G922" t="str">
            <v>978 Main St</v>
          </cell>
          <cell r="H922" t="str">
            <v>Credit Card</v>
          </cell>
          <cell r="I922" t="str">
            <v>Returned</v>
          </cell>
          <cell r="J922" t="str">
            <v>TRK98110407</v>
          </cell>
          <cell r="K922">
            <v>6</v>
          </cell>
          <cell r="L922" t="str">
            <v>No Coupon</v>
          </cell>
          <cell r="M922" t="str">
            <v>Instagram</v>
          </cell>
          <cell r="N922">
            <v>856.18</v>
          </cell>
        </row>
        <row r="923">
          <cell r="A923" t="str">
            <v>ORD200921</v>
          </cell>
          <cell r="B923">
            <v>45131</v>
          </cell>
          <cell r="C923" t="str">
            <v>C90573</v>
          </cell>
          <cell r="D923" t="str">
            <v>Tablet</v>
          </cell>
          <cell r="E923">
            <v>1</v>
          </cell>
          <cell r="F923">
            <v>438.93</v>
          </cell>
          <cell r="G923" t="str">
            <v>144 Main St</v>
          </cell>
          <cell r="H923" t="str">
            <v>Gift Card</v>
          </cell>
          <cell r="I923" t="str">
            <v>Cancelled</v>
          </cell>
          <cell r="J923" t="str">
            <v>TRK90075720</v>
          </cell>
          <cell r="K923">
            <v>3</v>
          </cell>
          <cell r="L923" t="str">
            <v>SAVE10</v>
          </cell>
          <cell r="M923" t="str">
            <v>Referral</v>
          </cell>
          <cell r="N923">
            <v>438.93</v>
          </cell>
        </row>
        <row r="924">
          <cell r="A924" t="str">
            <v>ORD200922</v>
          </cell>
          <cell r="B924">
            <v>45460</v>
          </cell>
          <cell r="C924" t="str">
            <v>C81857</v>
          </cell>
          <cell r="D924" t="str">
            <v>Desk</v>
          </cell>
          <cell r="E924">
            <v>2</v>
          </cell>
          <cell r="F924">
            <v>563.82000000000005</v>
          </cell>
          <cell r="G924" t="str">
            <v>487 Main St</v>
          </cell>
          <cell r="H924" t="str">
            <v>Credit Card</v>
          </cell>
          <cell r="I924" t="str">
            <v>Pending</v>
          </cell>
          <cell r="J924" t="str">
            <v>TRK79737732</v>
          </cell>
          <cell r="K924">
            <v>3</v>
          </cell>
          <cell r="L924" t="str">
            <v>No Coupon</v>
          </cell>
          <cell r="M924" t="str">
            <v>Instagram</v>
          </cell>
          <cell r="N924">
            <v>1127.6400000000001</v>
          </cell>
        </row>
        <row r="925">
          <cell r="A925" t="str">
            <v>ORD200923</v>
          </cell>
          <cell r="B925">
            <v>44968</v>
          </cell>
          <cell r="C925" t="str">
            <v>C91582</v>
          </cell>
          <cell r="D925" t="str">
            <v>Printer</v>
          </cell>
          <cell r="E925">
            <v>3</v>
          </cell>
          <cell r="F925">
            <v>649.92999999999995</v>
          </cell>
          <cell r="G925" t="str">
            <v>836 Main St</v>
          </cell>
          <cell r="H925" t="str">
            <v>Credit Card</v>
          </cell>
          <cell r="I925" t="str">
            <v>Pending</v>
          </cell>
          <cell r="J925" t="str">
            <v>TRK99938245</v>
          </cell>
          <cell r="K925">
            <v>7</v>
          </cell>
          <cell r="L925" t="str">
            <v>WINTER15</v>
          </cell>
          <cell r="M925" t="str">
            <v>Facebook</v>
          </cell>
          <cell r="N925">
            <v>1949.79</v>
          </cell>
        </row>
        <row r="926">
          <cell r="A926" t="str">
            <v>ORD200924</v>
          </cell>
          <cell r="B926">
            <v>45738</v>
          </cell>
          <cell r="C926" t="str">
            <v>C81319</v>
          </cell>
          <cell r="D926" t="str">
            <v>Printer</v>
          </cell>
          <cell r="E926">
            <v>5</v>
          </cell>
          <cell r="F926">
            <v>268.43</v>
          </cell>
          <cell r="G926" t="str">
            <v>991 Main St</v>
          </cell>
          <cell r="H926" t="str">
            <v>Cash</v>
          </cell>
          <cell r="I926" t="str">
            <v>Returned</v>
          </cell>
          <cell r="J926" t="str">
            <v>TRK55330558</v>
          </cell>
          <cell r="K926">
            <v>5</v>
          </cell>
          <cell r="L926" t="str">
            <v>SAVE10</v>
          </cell>
          <cell r="M926" t="str">
            <v>Email</v>
          </cell>
          <cell r="N926">
            <v>1342.15</v>
          </cell>
        </row>
        <row r="927">
          <cell r="A927" t="str">
            <v>ORD200925</v>
          </cell>
          <cell r="B927">
            <v>45646</v>
          </cell>
          <cell r="C927" t="str">
            <v>C78500</v>
          </cell>
          <cell r="D927" t="str">
            <v>Monitor</v>
          </cell>
          <cell r="E927">
            <v>5</v>
          </cell>
          <cell r="F927">
            <v>502.47</v>
          </cell>
          <cell r="G927" t="str">
            <v>304 Main St</v>
          </cell>
          <cell r="H927" t="str">
            <v>Online</v>
          </cell>
          <cell r="I927" t="str">
            <v>Shipped</v>
          </cell>
          <cell r="J927" t="str">
            <v>TRK97460884</v>
          </cell>
          <cell r="K927">
            <v>10</v>
          </cell>
          <cell r="L927" t="str">
            <v>WINTER15</v>
          </cell>
          <cell r="M927" t="str">
            <v>Email</v>
          </cell>
          <cell r="N927">
            <v>2512.3500000000004</v>
          </cell>
        </row>
        <row r="928">
          <cell r="A928" t="str">
            <v>ORD200926</v>
          </cell>
          <cell r="B928">
            <v>45371</v>
          </cell>
          <cell r="C928" t="str">
            <v>C67533</v>
          </cell>
          <cell r="D928" t="str">
            <v>Desk</v>
          </cell>
          <cell r="E928">
            <v>1</v>
          </cell>
          <cell r="F928">
            <v>26.95</v>
          </cell>
          <cell r="G928" t="str">
            <v>672 Main St</v>
          </cell>
          <cell r="H928" t="str">
            <v>Cash</v>
          </cell>
          <cell r="I928" t="str">
            <v>Delivered</v>
          </cell>
          <cell r="J928" t="str">
            <v>TRK14566395</v>
          </cell>
          <cell r="K928">
            <v>1</v>
          </cell>
          <cell r="L928" t="str">
            <v>WINTER15</v>
          </cell>
          <cell r="M928" t="str">
            <v>Email</v>
          </cell>
          <cell r="N928">
            <v>26.95</v>
          </cell>
        </row>
        <row r="929">
          <cell r="A929" t="str">
            <v>ORD200927</v>
          </cell>
          <cell r="B929">
            <v>44971</v>
          </cell>
          <cell r="C929" t="str">
            <v>C35566</v>
          </cell>
          <cell r="D929" t="str">
            <v>Laptop</v>
          </cell>
          <cell r="E929">
            <v>4</v>
          </cell>
          <cell r="F929">
            <v>64.69</v>
          </cell>
          <cell r="G929" t="str">
            <v>638 Main St</v>
          </cell>
          <cell r="H929" t="str">
            <v>Debit Card</v>
          </cell>
          <cell r="I929" t="str">
            <v>Shipped</v>
          </cell>
          <cell r="J929" t="str">
            <v>TRK10003020</v>
          </cell>
          <cell r="K929">
            <v>7</v>
          </cell>
          <cell r="L929" t="str">
            <v>WINTER15</v>
          </cell>
          <cell r="M929" t="str">
            <v>Google</v>
          </cell>
          <cell r="N929">
            <v>258.76</v>
          </cell>
        </row>
        <row r="930">
          <cell r="A930" t="str">
            <v>ORD200928</v>
          </cell>
          <cell r="B930">
            <v>45421</v>
          </cell>
          <cell r="C930" t="str">
            <v>C77166</v>
          </cell>
          <cell r="D930" t="str">
            <v>Laptop</v>
          </cell>
          <cell r="E930">
            <v>3</v>
          </cell>
          <cell r="F930">
            <v>247.11</v>
          </cell>
          <cell r="G930" t="str">
            <v>821 Main St</v>
          </cell>
          <cell r="H930" t="str">
            <v>Debit Card</v>
          </cell>
          <cell r="I930" t="str">
            <v>Returned</v>
          </cell>
          <cell r="J930" t="str">
            <v>TRK18896595</v>
          </cell>
          <cell r="K930">
            <v>3</v>
          </cell>
          <cell r="L930" t="str">
            <v>WINTER15</v>
          </cell>
          <cell r="M930" t="str">
            <v>Referral</v>
          </cell>
          <cell r="N930">
            <v>741.33</v>
          </cell>
        </row>
        <row r="931">
          <cell r="A931" t="str">
            <v>ORD200929</v>
          </cell>
          <cell r="B931">
            <v>45581</v>
          </cell>
          <cell r="C931" t="str">
            <v>C67936</v>
          </cell>
          <cell r="D931" t="str">
            <v>Tablet</v>
          </cell>
          <cell r="E931">
            <v>2</v>
          </cell>
          <cell r="F931">
            <v>536.25</v>
          </cell>
          <cell r="G931" t="str">
            <v>553 Main St</v>
          </cell>
          <cell r="H931" t="str">
            <v>Debit Card</v>
          </cell>
          <cell r="I931" t="str">
            <v>Pending</v>
          </cell>
          <cell r="J931" t="str">
            <v>TRK71803414</v>
          </cell>
          <cell r="K931">
            <v>3</v>
          </cell>
          <cell r="L931" t="str">
            <v>No Coupon</v>
          </cell>
          <cell r="M931" t="str">
            <v>Email</v>
          </cell>
          <cell r="N931">
            <v>1072.5</v>
          </cell>
        </row>
        <row r="932">
          <cell r="A932" t="str">
            <v>ORD200930</v>
          </cell>
          <cell r="B932">
            <v>45642</v>
          </cell>
          <cell r="C932" t="str">
            <v>C59554</v>
          </cell>
          <cell r="D932" t="str">
            <v>Phone</v>
          </cell>
          <cell r="E932">
            <v>2</v>
          </cell>
          <cell r="F932">
            <v>456.04</v>
          </cell>
          <cell r="G932" t="str">
            <v>382 Main St</v>
          </cell>
          <cell r="H932" t="str">
            <v>Debit Card</v>
          </cell>
          <cell r="I932" t="str">
            <v>Returned</v>
          </cell>
          <cell r="J932" t="str">
            <v>TRK28182447</v>
          </cell>
          <cell r="K932">
            <v>4</v>
          </cell>
          <cell r="L932" t="str">
            <v>FREESHIP</v>
          </cell>
          <cell r="M932" t="str">
            <v>Email</v>
          </cell>
          <cell r="N932">
            <v>912.08</v>
          </cell>
        </row>
        <row r="933">
          <cell r="A933" t="str">
            <v>ORD200931</v>
          </cell>
          <cell r="B933">
            <v>45292</v>
          </cell>
          <cell r="C933" t="str">
            <v>C14005</v>
          </cell>
          <cell r="D933" t="str">
            <v>Printer</v>
          </cell>
          <cell r="E933">
            <v>2</v>
          </cell>
          <cell r="F933">
            <v>40.229999999999997</v>
          </cell>
          <cell r="G933" t="str">
            <v>623 Main St</v>
          </cell>
          <cell r="H933" t="str">
            <v>Credit Card</v>
          </cell>
          <cell r="I933" t="str">
            <v>Cancelled</v>
          </cell>
          <cell r="J933" t="str">
            <v>TRK87567926</v>
          </cell>
          <cell r="K933">
            <v>4</v>
          </cell>
          <cell r="L933" t="str">
            <v>SAVE10</v>
          </cell>
          <cell r="M933" t="str">
            <v>Google</v>
          </cell>
          <cell r="N933">
            <v>80.459999999999994</v>
          </cell>
        </row>
        <row r="934">
          <cell r="A934" t="str">
            <v>ORD200932</v>
          </cell>
          <cell r="B934">
            <v>45011</v>
          </cell>
          <cell r="C934" t="str">
            <v>C26118</v>
          </cell>
          <cell r="D934" t="str">
            <v>Laptop</v>
          </cell>
          <cell r="E934">
            <v>2</v>
          </cell>
          <cell r="F934">
            <v>72.39</v>
          </cell>
          <cell r="G934" t="str">
            <v>168 Main St</v>
          </cell>
          <cell r="H934" t="str">
            <v>Online</v>
          </cell>
          <cell r="I934" t="str">
            <v>Delivered</v>
          </cell>
          <cell r="J934" t="str">
            <v>TRK15334251</v>
          </cell>
          <cell r="K934">
            <v>7</v>
          </cell>
          <cell r="L934" t="str">
            <v>WINTER15</v>
          </cell>
          <cell r="M934" t="str">
            <v>Instagram</v>
          </cell>
          <cell r="N934">
            <v>144.78</v>
          </cell>
        </row>
        <row r="935">
          <cell r="A935" t="str">
            <v>ORD200933</v>
          </cell>
          <cell r="B935">
            <v>44952</v>
          </cell>
          <cell r="C935" t="str">
            <v>C59685</v>
          </cell>
          <cell r="D935" t="str">
            <v>Monitor</v>
          </cell>
          <cell r="E935">
            <v>2</v>
          </cell>
          <cell r="F935">
            <v>394.16</v>
          </cell>
          <cell r="G935" t="str">
            <v>255 Main St</v>
          </cell>
          <cell r="H935" t="str">
            <v>Online</v>
          </cell>
          <cell r="I935" t="str">
            <v>Shipped</v>
          </cell>
          <cell r="J935" t="str">
            <v>TRK43718093</v>
          </cell>
          <cell r="K935">
            <v>2</v>
          </cell>
          <cell r="L935" t="str">
            <v>No Coupon</v>
          </cell>
          <cell r="M935" t="str">
            <v>Referral</v>
          </cell>
          <cell r="N935">
            <v>788.32</v>
          </cell>
        </row>
        <row r="936">
          <cell r="A936" t="str">
            <v>ORD200934</v>
          </cell>
          <cell r="B936">
            <v>45809</v>
          </cell>
          <cell r="C936" t="str">
            <v>C40304</v>
          </cell>
          <cell r="D936" t="str">
            <v>Laptop</v>
          </cell>
          <cell r="E936">
            <v>4</v>
          </cell>
          <cell r="F936">
            <v>119.84</v>
          </cell>
          <cell r="G936" t="str">
            <v>692 Main St</v>
          </cell>
          <cell r="H936" t="str">
            <v>Gift Card</v>
          </cell>
          <cell r="I936" t="str">
            <v>Shipped</v>
          </cell>
          <cell r="J936" t="str">
            <v>TRK85790948</v>
          </cell>
          <cell r="K936">
            <v>8</v>
          </cell>
          <cell r="L936" t="str">
            <v>FREESHIP</v>
          </cell>
          <cell r="M936" t="str">
            <v>Referral</v>
          </cell>
          <cell r="N936">
            <v>479.36</v>
          </cell>
        </row>
        <row r="937">
          <cell r="A937" t="str">
            <v>ORD200935</v>
          </cell>
          <cell r="B937">
            <v>45254</v>
          </cell>
          <cell r="C937" t="str">
            <v>C39593</v>
          </cell>
          <cell r="D937" t="str">
            <v>Phone</v>
          </cell>
          <cell r="E937">
            <v>3</v>
          </cell>
          <cell r="F937">
            <v>692.71</v>
          </cell>
          <cell r="G937" t="str">
            <v>398 Main St</v>
          </cell>
          <cell r="H937" t="str">
            <v>Credit Card</v>
          </cell>
          <cell r="I937" t="str">
            <v>Delivered</v>
          </cell>
          <cell r="J937" t="str">
            <v>TRK62405253</v>
          </cell>
          <cell r="K937">
            <v>3</v>
          </cell>
          <cell r="L937" t="str">
            <v>FREESHIP</v>
          </cell>
          <cell r="M937" t="str">
            <v>Instagram</v>
          </cell>
          <cell r="N937">
            <v>2078.13</v>
          </cell>
        </row>
        <row r="938">
          <cell r="A938" t="str">
            <v>ORD200936</v>
          </cell>
          <cell r="B938">
            <v>45303</v>
          </cell>
          <cell r="C938" t="str">
            <v>C50612</v>
          </cell>
          <cell r="D938" t="str">
            <v>Chair</v>
          </cell>
          <cell r="E938">
            <v>4</v>
          </cell>
          <cell r="F938">
            <v>56.66</v>
          </cell>
          <cell r="G938" t="str">
            <v>737 Main St</v>
          </cell>
          <cell r="H938" t="str">
            <v>Online</v>
          </cell>
          <cell r="I938" t="str">
            <v>Delivered</v>
          </cell>
          <cell r="J938" t="str">
            <v>TRK44140968</v>
          </cell>
          <cell r="K938">
            <v>4</v>
          </cell>
          <cell r="L938" t="str">
            <v>SAVE10</v>
          </cell>
          <cell r="M938" t="str">
            <v>Instagram</v>
          </cell>
          <cell r="N938">
            <v>226.64</v>
          </cell>
        </row>
        <row r="939">
          <cell r="A939" t="str">
            <v>ORD200937</v>
          </cell>
          <cell r="B939">
            <v>45307</v>
          </cell>
          <cell r="C939" t="str">
            <v>C39791</v>
          </cell>
          <cell r="D939" t="str">
            <v>Chair</v>
          </cell>
          <cell r="E939">
            <v>2</v>
          </cell>
          <cell r="F939">
            <v>298.52999999999997</v>
          </cell>
          <cell r="G939" t="str">
            <v>536 Main St</v>
          </cell>
          <cell r="H939" t="str">
            <v>Debit Card</v>
          </cell>
          <cell r="I939" t="str">
            <v>Cancelled</v>
          </cell>
          <cell r="J939" t="str">
            <v>TRK46221436</v>
          </cell>
          <cell r="K939">
            <v>5</v>
          </cell>
          <cell r="L939" t="str">
            <v>WINTER15</v>
          </cell>
          <cell r="M939" t="str">
            <v>Email</v>
          </cell>
          <cell r="N939">
            <v>597.05999999999995</v>
          </cell>
        </row>
        <row r="940">
          <cell r="A940" t="str">
            <v>ORD200938</v>
          </cell>
          <cell r="B940">
            <v>45119</v>
          </cell>
          <cell r="C940" t="str">
            <v>C39017</v>
          </cell>
          <cell r="D940" t="str">
            <v>Chair</v>
          </cell>
          <cell r="E940">
            <v>3</v>
          </cell>
          <cell r="F940">
            <v>331.46</v>
          </cell>
          <cell r="G940" t="str">
            <v>696 Main St</v>
          </cell>
          <cell r="H940" t="str">
            <v>Credit Card</v>
          </cell>
          <cell r="I940" t="str">
            <v>Cancelled</v>
          </cell>
          <cell r="J940" t="str">
            <v>TRK91155214</v>
          </cell>
          <cell r="K940">
            <v>6</v>
          </cell>
          <cell r="L940" t="str">
            <v>WINTER15</v>
          </cell>
          <cell r="M940" t="str">
            <v>Referral</v>
          </cell>
          <cell r="N940">
            <v>994.37999999999988</v>
          </cell>
        </row>
        <row r="941">
          <cell r="A941" t="str">
            <v>ORD200939</v>
          </cell>
          <cell r="B941">
            <v>45763</v>
          </cell>
          <cell r="C941" t="str">
            <v>C48510</v>
          </cell>
          <cell r="D941" t="str">
            <v>Laptop</v>
          </cell>
          <cell r="E941">
            <v>2</v>
          </cell>
          <cell r="F941">
            <v>521.4</v>
          </cell>
          <cell r="G941" t="str">
            <v>212 Main St</v>
          </cell>
          <cell r="H941" t="str">
            <v>Cash</v>
          </cell>
          <cell r="I941" t="str">
            <v>Delivered</v>
          </cell>
          <cell r="J941" t="str">
            <v>TRK53152886</v>
          </cell>
          <cell r="K941">
            <v>7</v>
          </cell>
          <cell r="L941" t="str">
            <v>SAVE10</v>
          </cell>
          <cell r="M941" t="str">
            <v>Instagram</v>
          </cell>
          <cell r="N941">
            <v>1042.8</v>
          </cell>
        </row>
        <row r="942">
          <cell r="A942" t="str">
            <v>ORD200940</v>
          </cell>
          <cell r="B942">
            <v>45012</v>
          </cell>
          <cell r="C942" t="str">
            <v>C74003</v>
          </cell>
          <cell r="D942" t="str">
            <v>Printer</v>
          </cell>
          <cell r="E942">
            <v>4</v>
          </cell>
          <cell r="F942">
            <v>305.32</v>
          </cell>
          <cell r="G942" t="str">
            <v>679 Main St</v>
          </cell>
          <cell r="H942" t="str">
            <v>Online</v>
          </cell>
          <cell r="I942" t="str">
            <v>Cancelled</v>
          </cell>
          <cell r="J942" t="str">
            <v>TRK91525779</v>
          </cell>
          <cell r="K942">
            <v>4</v>
          </cell>
          <cell r="L942" t="str">
            <v>SAVE10</v>
          </cell>
          <cell r="M942" t="str">
            <v>Google</v>
          </cell>
          <cell r="N942">
            <v>1221.28</v>
          </cell>
        </row>
        <row r="943">
          <cell r="A943" t="str">
            <v>ORD200941</v>
          </cell>
          <cell r="B943">
            <v>45124</v>
          </cell>
          <cell r="C943" t="str">
            <v>C91155</v>
          </cell>
          <cell r="D943" t="str">
            <v>Printer</v>
          </cell>
          <cell r="E943">
            <v>5</v>
          </cell>
          <cell r="F943">
            <v>111.7</v>
          </cell>
          <cell r="G943" t="str">
            <v>599 Main St</v>
          </cell>
          <cell r="H943" t="str">
            <v>Credit Card</v>
          </cell>
          <cell r="I943" t="str">
            <v>Cancelled</v>
          </cell>
          <cell r="J943" t="str">
            <v>TRK82162952</v>
          </cell>
          <cell r="K943">
            <v>9</v>
          </cell>
          <cell r="L943" t="str">
            <v>FREESHIP</v>
          </cell>
          <cell r="M943" t="str">
            <v>Email</v>
          </cell>
          <cell r="N943">
            <v>558.5</v>
          </cell>
        </row>
        <row r="944">
          <cell r="A944" t="str">
            <v>ORD200942</v>
          </cell>
          <cell r="B944">
            <v>45198</v>
          </cell>
          <cell r="C944" t="str">
            <v>C17591</v>
          </cell>
          <cell r="D944" t="str">
            <v>Tablet</v>
          </cell>
          <cell r="E944">
            <v>1</v>
          </cell>
          <cell r="F944">
            <v>479.76</v>
          </cell>
          <cell r="G944" t="str">
            <v>882 Main St</v>
          </cell>
          <cell r="H944" t="str">
            <v>Credit Card</v>
          </cell>
          <cell r="I944" t="str">
            <v>Pending</v>
          </cell>
          <cell r="J944" t="str">
            <v>TRK56070470</v>
          </cell>
          <cell r="K944">
            <v>1</v>
          </cell>
          <cell r="L944" t="str">
            <v>No Coupon</v>
          </cell>
          <cell r="M944" t="str">
            <v>Email</v>
          </cell>
          <cell r="N944">
            <v>479.76</v>
          </cell>
        </row>
        <row r="945">
          <cell r="A945" t="str">
            <v>ORD200943</v>
          </cell>
          <cell r="B945">
            <v>45287</v>
          </cell>
          <cell r="C945" t="str">
            <v>C43330</v>
          </cell>
          <cell r="D945" t="str">
            <v>Monitor</v>
          </cell>
          <cell r="E945">
            <v>3</v>
          </cell>
          <cell r="F945">
            <v>193.49</v>
          </cell>
          <cell r="G945" t="str">
            <v>355 Main St</v>
          </cell>
          <cell r="H945" t="str">
            <v>Gift Card</v>
          </cell>
          <cell r="I945" t="str">
            <v>Returned</v>
          </cell>
          <cell r="J945" t="str">
            <v>TRK71594838</v>
          </cell>
          <cell r="K945">
            <v>6</v>
          </cell>
          <cell r="L945" t="str">
            <v>FREESHIP</v>
          </cell>
          <cell r="M945" t="str">
            <v>Facebook</v>
          </cell>
          <cell r="N945">
            <v>580.47</v>
          </cell>
        </row>
        <row r="946">
          <cell r="A946" t="str">
            <v>ORD200944</v>
          </cell>
          <cell r="B946">
            <v>45642</v>
          </cell>
          <cell r="C946" t="str">
            <v>C32687</v>
          </cell>
          <cell r="D946" t="str">
            <v>Laptop</v>
          </cell>
          <cell r="E946">
            <v>2</v>
          </cell>
          <cell r="F946">
            <v>426.22</v>
          </cell>
          <cell r="G946" t="str">
            <v>448 Main St</v>
          </cell>
          <cell r="H946" t="str">
            <v>Online</v>
          </cell>
          <cell r="I946" t="str">
            <v>Delivered</v>
          </cell>
          <cell r="J946" t="str">
            <v>TRK98284560</v>
          </cell>
          <cell r="K946">
            <v>7</v>
          </cell>
          <cell r="L946" t="str">
            <v>WINTER15</v>
          </cell>
          <cell r="M946" t="str">
            <v>Google</v>
          </cell>
          <cell r="N946">
            <v>852.44</v>
          </cell>
        </row>
        <row r="947">
          <cell r="A947" t="str">
            <v>ORD200945</v>
          </cell>
          <cell r="B947">
            <v>45158</v>
          </cell>
          <cell r="C947" t="str">
            <v>C79722</v>
          </cell>
          <cell r="D947" t="str">
            <v>Tablet</v>
          </cell>
          <cell r="E947">
            <v>5</v>
          </cell>
          <cell r="F947">
            <v>276.44</v>
          </cell>
          <cell r="G947" t="str">
            <v>619 Main St</v>
          </cell>
          <cell r="H947" t="str">
            <v>Gift Card</v>
          </cell>
          <cell r="I947" t="str">
            <v>Shipped</v>
          </cell>
          <cell r="J947" t="str">
            <v>TRK29976438</v>
          </cell>
          <cell r="K947">
            <v>10</v>
          </cell>
          <cell r="L947" t="str">
            <v>FREESHIP</v>
          </cell>
          <cell r="M947" t="str">
            <v>Referral</v>
          </cell>
          <cell r="N947">
            <v>1382.2</v>
          </cell>
        </row>
        <row r="948">
          <cell r="A948" t="str">
            <v>ORD200946</v>
          </cell>
          <cell r="B948">
            <v>45416</v>
          </cell>
          <cell r="C948" t="str">
            <v>C65021</v>
          </cell>
          <cell r="D948" t="str">
            <v>Phone</v>
          </cell>
          <cell r="E948">
            <v>2</v>
          </cell>
          <cell r="F948">
            <v>404.96</v>
          </cell>
          <cell r="G948" t="str">
            <v>546 Main St</v>
          </cell>
          <cell r="H948" t="str">
            <v>Cash</v>
          </cell>
          <cell r="I948" t="str">
            <v>Shipped</v>
          </cell>
          <cell r="J948" t="str">
            <v>TRK20626179</v>
          </cell>
          <cell r="K948">
            <v>4</v>
          </cell>
          <cell r="L948" t="str">
            <v>SAVE10</v>
          </cell>
          <cell r="M948" t="str">
            <v>Email</v>
          </cell>
          <cell r="N948">
            <v>809.92</v>
          </cell>
        </row>
        <row r="949">
          <cell r="A949" t="str">
            <v>ORD200947</v>
          </cell>
          <cell r="B949">
            <v>45176</v>
          </cell>
          <cell r="C949" t="str">
            <v>C85520</v>
          </cell>
          <cell r="D949" t="str">
            <v>Phone</v>
          </cell>
          <cell r="E949">
            <v>4</v>
          </cell>
          <cell r="F949">
            <v>465.66</v>
          </cell>
          <cell r="G949" t="str">
            <v>119 Main St</v>
          </cell>
          <cell r="H949" t="str">
            <v>Online</v>
          </cell>
          <cell r="I949" t="str">
            <v>Returned</v>
          </cell>
          <cell r="J949" t="str">
            <v>TRK65994177</v>
          </cell>
          <cell r="K949">
            <v>9</v>
          </cell>
          <cell r="L949" t="str">
            <v>FREESHIP</v>
          </cell>
          <cell r="M949" t="str">
            <v>Email</v>
          </cell>
          <cell r="N949">
            <v>1862.64</v>
          </cell>
        </row>
        <row r="950">
          <cell r="A950" t="str">
            <v>ORD200948</v>
          </cell>
          <cell r="B950">
            <v>45464</v>
          </cell>
          <cell r="C950" t="str">
            <v>C94569</v>
          </cell>
          <cell r="D950" t="str">
            <v>Phone</v>
          </cell>
          <cell r="E950">
            <v>2</v>
          </cell>
          <cell r="F950">
            <v>594.07000000000005</v>
          </cell>
          <cell r="G950" t="str">
            <v>739 Main St</v>
          </cell>
          <cell r="H950" t="str">
            <v>Gift Card</v>
          </cell>
          <cell r="I950" t="str">
            <v>Cancelled</v>
          </cell>
          <cell r="J950" t="str">
            <v>TRK79269291</v>
          </cell>
          <cell r="K950">
            <v>2</v>
          </cell>
          <cell r="L950" t="str">
            <v>No Coupon</v>
          </cell>
          <cell r="M950" t="str">
            <v>Google</v>
          </cell>
          <cell r="N950">
            <v>1188.1400000000001</v>
          </cell>
        </row>
        <row r="951">
          <cell r="A951" t="str">
            <v>ORD200949</v>
          </cell>
          <cell r="B951">
            <v>45239</v>
          </cell>
          <cell r="C951" t="str">
            <v>C55778</v>
          </cell>
          <cell r="D951" t="str">
            <v>Desk</v>
          </cell>
          <cell r="E951">
            <v>5</v>
          </cell>
          <cell r="F951">
            <v>110.38</v>
          </cell>
          <cell r="G951" t="str">
            <v>319 Main St</v>
          </cell>
          <cell r="H951" t="str">
            <v>Cash</v>
          </cell>
          <cell r="I951" t="str">
            <v>Pending</v>
          </cell>
          <cell r="J951" t="str">
            <v>TRK93797108</v>
          </cell>
          <cell r="K951">
            <v>10</v>
          </cell>
          <cell r="L951" t="str">
            <v>No Coupon</v>
          </cell>
          <cell r="M951" t="str">
            <v>Referral</v>
          </cell>
          <cell r="N951">
            <v>551.9</v>
          </cell>
        </row>
        <row r="952">
          <cell r="A952" t="str">
            <v>ORD200950</v>
          </cell>
          <cell r="B952">
            <v>45443</v>
          </cell>
          <cell r="C952" t="str">
            <v>C19722</v>
          </cell>
          <cell r="D952" t="str">
            <v>Laptop</v>
          </cell>
          <cell r="E952">
            <v>1</v>
          </cell>
          <cell r="F952">
            <v>596.24</v>
          </cell>
          <cell r="G952" t="str">
            <v>891 Main St</v>
          </cell>
          <cell r="H952" t="str">
            <v>Credit Card</v>
          </cell>
          <cell r="I952" t="str">
            <v>Returned</v>
          </cell>
          <cell r="J952" t="str">
            <v>TRK78094361</v>
          </cell>
          <cell r="K952">
            <v>4</v>
          </cell>
          <cell r="L952" t="str">
            <v>FREESHIP</v>
          </cell>
          <cell r="M952" t="str">
            <v>Instagram</v>
          </cell>
          <cell r="N952">
            <v>596.24</v>
          </cell>
        </row>
        <row r="953">
          <cell r="A953" t="str">
            <v>ORD200951</v>
          </cell>
          <cell r="B953">
            <v>45495</v>
          </cell>
          <cell r="C953" t="str">
            <v>C74928</v>
          </cell>
          <cell r="D953" t="str">
            <v>Printer</v>
          </cell>
          <cell r="E953">
            <v>2</v>
          </cell>
          <cell r="F953">
            <v>306.24</v>
          </cell>
          <cell r="G953" t="str">
            <v>589 Main St</v>
          </cell>
          <cell r="H953" t="str">
            <v>Online</v>
          </cell>
          <cell r="I953" t="str">
            <v>Returned</v>
          </cell>
          <cell r="J953" t="str">
            <v>TRK39845914</v>
          </cell>
          <cell r="K953">
            <v>4</v>
          </cell>
          <cell r="L953" t="str">
            <v>FREESHIP</v>
          </cell>
          <cell r="M953" t="str">
            <v>Email</v>
          </cell>
          <cell r="N953">
            <v>612.48</v>
          </cell>
        </row>
        <row r="954">
          <cell r="A954" t="str">
            <v>ORD200952</v>
          </cell>
          <cell r="B954">
            <v>45715</v>
          </cell>
          <cell r="C954" t="str">
            <v>C49111</v>
          </cell>
          <cell r="D954" t="str">
            <v>Monitor</v>
          </cell>
          <cell r="E954">
            <v>3</v>
          </cell>
          <cell r="F954">
            <v>503.39</v>
          </cell>
          <cell r="G954" t="str">
            <v>225 Main St</v>
          </cell>
          <cell r="H954" t="str">
            <v>Online</v>
          </cell>
          <cell r="I954" t="str">
            <v>Pending</v>
          </cell>
          <cell r="J954" t="str">
            <v>TRK45303393</v>
          </cell>
          <cell r="K954">
            <v>5</v>
          </cell>
          <cell r="L954" t="str">
            <v>No Coupon</v>
          </cell>
          <cell r="M954" t="str">
            <v>Facebook</v>
          </cell>
          <cell r="N954">
            <v>1510.17</v>
          </cell>
        </row>
        <row r="955">
          <cell r="A955" t="str">
            <v>ORD200953</v>
          </cell>
          <cell r="B955">
            <v>44963</v>
          </cell>
          <cell r="C955" t="str">
            <v>C43721</v>
          </cell>
          <cell r="D955" t="str">
            <v>Phone</v>
          </cell>
          <cell r="E955">
            <v>1</v>
          </cell>
          <cell r="F955">
            <v>131.61000000000001</v>
          </cell>
          <cell r="G955" t="str">
            <v>971 Main St</v>
          </cell>
          <cell r="H955" t="str">
            <v>Cash</v>
          </cell>
          <cell r="I955" t="str">
            <v>Shipped</v>
          </cell>
          <cell r="J955" t="str">
            <v>TRK89392104</v>
          </cell>
          <cell r="K955">
            <v>2</v>
          </cell>
          <cell r="L955" t="str">
            <v>FREESHIP</v>
          </cell>
          <cell r="M955" t="str">
            <v>Facebook</v>
          </cell>
          <cell r="N955">
            <v>131.61000000000001</v>
          </cell>
        </row>
        <row r="956">
          <cell r="A956" t="str">
            <v>ORD200954</v>
          </cell>
          <cell r="B956">
            <v>45587</v>
          </cell>
          <cell r="C956" t="str">
            <v>C68609</v>
          </cell>
          <cell r="D956" t="str">
            <v>Chair</v>
          </cell>
          <cell r="E956">
            <v>3</v>
          </cell>
          <cell r="F956">
            <v>443.44</v>
          </cell>
          <cell r="G956" t="str">
            <v>240 Main St</v>
          </cell>
          <cell r="H956" t="str">
            <v>Gift Card</v>
          </cell>
          <cell r="I956" t="str">
            <v>Shipped</v>
          </cell>
          <cell r="J956" t="str">
            <v>TRK58273778</v>
          </cell>
          <cell r="K956">
            <v>3</v>
          </cell>
          <cell r="L956" t="str">
            <v>FREESHIP</v>
          </cell>
          <cell r="M956" t="str">
            <v>Google</v>
          </cell>
          <cell r="N956">
            <v>1330.32</v>
          </cell>
        </row>
        <row r="957">
          <cell r="A957" t="str">
            <v>ORD200955</v>
          </cell>
          <cell r="B957">
            <v>44949</v>
          </cell>
          <cell r="C957" t="str">
            <v>C82068</v>
          </cell>
          <cell r="D957" t="str">
            <v>Chair</v>
          </cell>
          <cell r="E957">
            <v>1</v>
          </cell>
          <cell r="F957">
            <v>408.13</v>
          </cell>
          <cell r="G957" t="str">
            <v>164 Main St</v>
          </cell>
          <cell r="H957" t="str">
            <v>Gift Card</v>
          </cell>
          <cell r="I957" t="str">
            <v>Shipped</v>
          </cell>
          <cell r="J957" t="str">
            <v>TRK25779180</v>
          </cell>
          <cell r="K957">
            <v>3</v>
          </cell>
          <cell r="L957" t="str">
            <v>WINTER15</v>
          </cell>
          <cell r="M957" t="str">
            <v>Instagram</v>
          </cell>
          <cell r="N957">
            <v>408.13</v>
          </cell>
        </row>
        <row r="958">
          <cell r="A958" t="str">
            <v>ORD200956</v>
          </cell>
          <cell r="B958">
            <v>45393</v>
          </cell>
          <cell r="C958" t="str">
            <v>C21191</v>
          </cell>
          <cell r="D958" t="str">
            <v>Phone</v>
          </cell>
          <cell r="E958">
            <v>2</v>
          </cell>
          <cell r="F958">
            <v>160.97999999999999</v>
          </cell>
          <cell r="G958" t="str">
            <v>381 Main St</v>
          </cell>
          <cell r="H958" t="str">
            <v>Debit Card</v>
          </cell>
          <cell r="I958" t="str">
            <v>Delivered</v>
          </cell>
          <cell r="J958" t="str">
            <v>TRK86246309</v>
          </cell>
          <cell r="K958">
            <v>3</v>
          </cell>
          <cell r="L958" t="str">
            <v>SAVE10</v>
          </cell>
          <cell r="M958" t="str">
            <v>Referral</v>
          </cell>
          <cell r="N958">
            <v>321.95999999999998</v>
          </cell>
        </row>
        <row r="959">
          <cell r="A959" t="str">
            <v>ORD200957</v>
          </cell>
          <cell r="B959">
            <v>44938</v>
          </cell>
          <cell r="C959" t="str">
            <v>C73575</v>
          </cell>
          <cell r="D959" t="str">
            <v>Monitor</v>
          </cell>
          <cell r="E959">
            <v>5</v>
          </cell>
          <cell r="F959">
            <v>643.89</v>
          </cell>
          <cell r="G959" t="str">
            <v>851 Main St</v>
          </cell>
          <cell r="H959" t="str">
            <v>Cash</v>
          </cell>
          <cell r="I959" t="str">
            <v>Returned</v>
          </cell>
          <cell r="J959" t="str">
            <v>TRK23387612</v>
          </cell>
          <cell r="K959">
            <v>8</v>
          </cell>
          <cell r="L959" t="str">
            <v>WINTER15</v>
          </cell>
          <cell r="M959" t="str">
            <v>Facebook</v>
          </cell>
          <cell r="N959">
            <v>3219.45</v>
          </cell>
        </row>
        <row r="960">
          <cell r="A960" t="str">
            <v>ORD200958</v>
          </cell>
          <cell r="B960">
            <v>45059</v>
          </cell>
          <cell r="C960" t="str">
            <v>C82685</v>
          </cell>
          <cell r="D960" t="str">
            <v>Desk</v>
          </cell>
          <cell r="E960">
            <v>3</v>
          </cell>
          <cell r="F960">
            <v>158.66</v>
          </cell>
          <cell r="G960" t="str">
            <v>537 Main St</v>
          </cell>
          <cell r="H960" t="str">
            <v>Gift Card</v>
          </cell>
          <cell r="I960" t="str">
            <v>Delivered</v>
          </cell>
          <cell r="J960" t="str">
            <v>TRK70184320</v>
          </cell>
          <cell r="K960">
            <v>7</v>
          </cell>
          <cell r="L960" t="str">
            <v>WINTER15</v>
          </cell>
          <cell r="M960" t="str">
            <v>Email</v>
          </cell>
          <cell r="N960">
            <v>475.98</v>
          </cell>
        </row>
        <row r="961">
          <cell r="A961" t="str">
            <v>ORD200959</v>
          </cell>
          <cell r="B961">
            <v>45395</v>
          </cell>
          <cell r="C961" t="str">
            <v>C73996</v>
          </cell>
          <cell r="D961" t="str">
            <v>Tablet</v>
          </cell>
          <cell r="E961">
            <v>2</v>
          </cell>
          <cell r="F961">
            <v>143.82</v>
          </cell>
          <cell r="G961" t="str">
            <v>856 Main St</v>
          </cell>
          <cell r="H961" t="str">
            <v>Credit Card</v>
          </cell>
          <cell r="I961" t="str">
            <v>Returned</v>
          </cell>
          <cell r="J961" t="str">
            <v>TRK74579570</v>
          </cell>
          <cell r="K961">
            <v>6</v>
          </cell>
          <cell r="L961" t="str">
            <v>SAVE10</v>
          </cell>
          <cell r="M961" t="str">
            <v>Instagram</v>
          </cell>
          <cell r="N961">
            <v>287.64</v>
          </cell>
        </row>
        <row r="962">
          <cell r="A962" t="str">
            <v>ORD200960</v>
          </cell>
          <cell r="B962">
            <v>45271</v>
          </cell>
          <cell r="C962" t="str">
            <v>C87687</v>
          </cell>
          <cell r="D962" t="str">
            <v>Laptop</v>
          </cell>
          <cell r="E962">
            <v>3</v>
          </cell>
          <cell r="F962">
            <v>379.07</v>
          </cell>
          <cell r="G962" t="str">
            <v>312 Main St</v>
          </cell>
          <cell r="H962" t="str">
            <v>Gift Card</v>
          </cell>
          <cell r="I962" t="str">
            <v>Pending</v>
          </cell>
          <cell r="J962" t="str">
            <v>TRK60383805</v>
          </cell>
          <cell r="K962">
            <v>3</v>
          </cell>
          <cell r="L962" t="str">
            <v>WINTER15</v>
          </cell>
          <cell r="M962" t="str">
            <v>Google</v>
          </cell>
          <cell r="N962">
            <v>1137.21</v>
          </cell>
        </row>
        <row r="963">
          <cell r="A963" t="str">
            <v>ORD200961</v>
          </cell>
          <cell r="B963">
            <v>45607</v>
          </cell>
          <cell r="C963" t="str">
            <v>C55464</v>
          </cell>
          <cell r="D963" t="str">
            <v>Phone</v>
          </cell>
          <cell r="E963">
            <v>1</v>
          </cell>
          <cell r="F963">
            <v>601.36</v>
          </cell>
          <cell r="G963" t="str">
            <v>532 Main St</v>
          </cell>
          <cell r="H963" t="str">
            <v>Online</v>
          </cell>
          <cell r="I963" t="str">
            <v>Shipped</v>
          </cell>
          <cell r="J963" t="str">
            <v>TRK81178598</v>
          </cell>
          <cell r="K963">
            <v>1</v>
          </cell>
          <cell r="L963" t="str">
            <v>No Coupon</v>
          </cell>
          <cell r="M963" t="str">
            <v>Facebook</v>
          </cell>
          <cell r="N963">
            <v>601.36</v>
          </cell>
        </row>
        <row r="964">
          <cell r="A964" t="str">
            <v>ORD200962</v>
          </cell>
          <cell r="B964">
            <v>45541</v>
          </cell>
          <cell r="C964" t="str">
            <v>C12459</v>
          </cell>
          <cell r="D964" t="str">
            <v>Phone</v>
          </cell>
          <cell r="E964">
            <v>2</v>
          </cell>
          <cell r="F964">
            <v>142.08000000000001</v>
          </cell>
          <cell r="G964" t="str">
            <v>838 Main St</v>
          </cell>
          <cell r="H964" t="str">
            <v>Gift Card</v>
          </cell>
          <cell r="I964" t="str">
            <v>Delivered</v>
          </cell>
          <cell r="J964" t="str">
            <v>TRK30674085</v>
          </cell>
          <cell r="K964">
            <v>4</v>
          </cell>
          <cell r="L964" t="str">
            <v>SAVE10</v>
          </cell>
          <cell r="M964" t="str">
            <v>Referral</v>
          </cell>
          <cell r="N964">
            <v>284.16000000000003</v>
          </cell>
        </row>
        <row r="965">
          <cell r="A965" t="str">
            <v>ORD200963</v>
          </cell>
          <cell r="B965">
            <v>45362</v>
          </cell>
          <cell r="C965" t="str">
            <v>C88075</v>
          </cell>
          <cell r="D965" t="str">
            <v>Chair</v>
          </cell>
          <cell r="E965">
            <v>5</v>
          </cell>
          <cell r="F965">
            <v>530.34</v>
          </cell>
          <cell r="G965" t="str">
            <v>970 Main St</v>
          </cell>
          <cell r="H965" t="str">
            <v>Online</v>
          </cell>
          <cell r="I965" t="str">
            <v>Shipped</v>
          </cell>
          <cell r="J965" t="str">
            <v>TRK42832976</v>
          </cell>
          <cell r="K965">
            <v>9</v>
          </cell>
          <cell r="L965" t="str">
            <v>FREESHIP</v>
          </cell>
          <cell r="M965" t="str">
            <v>Google</v>
          </cell>
          <cell r="N965">
            <v>2651.7000000000003</v>
          </cell>
        </row>
        <row r="966">
          <cell r="A966" t="str">
            <v>ORD200964</v>
          </cell>
          <cell r="B966">
            <v>45158</v>
          </cell>
          <cell r="C966" t="str">
            <v>C18583</v>
          </cell>
          <cell r="D966" t="str">
            <v>Phone</v>
          </cell>
          <cell r="E966">
            <v>5</v>
          </cell>
          <cell r="F966">
            <v>364.42</v>
          </cell>
          <cell r="G966" t="str">
            <v>778 Main St</v>
          </cell>
          <cell r="H966" t="str">
            <v>Credit Card</v>
          </cell>
          <cell r="I966" t="str">
            <v>Cancelled</v>
          </cell>
          <cell r="J966" t="str">
            <v>TRK43084595</v>
          </cell>
          <cell r="K966">
            <v>10</v>
          </cell>
          <cell r="L966" t="str">
            <v>SAVE10</v>
          </cell>
          <cell r="M966" t="str">
            <v>Referral</v>
          </cell>
          <cell r="N966">
            <v>1822.1000000000001</v>
          </cell>
        </row>
        <row r="967">
          <cell r="A967" t="str">
            <v>ORD200965</v>
          </cell>
          <cell r="B967">
            <v>45826</v>
          </cell>
          <cell r="C967" t="str">
            <v>C70412</v>
          </cell>
          <cell r="D967" t="str">
            <v>Laptop</v>
          </cell>
          <cell r="E967">
            <v>4</v>
          </cell>
          <cell r="F967">
            <v>578.28</v>
          </cell>
          <cell r="G967" t="str">
            <v>791 Main St</v>
          </cell>
          <cell r="H967" t="str">
            <v>Gift Card</v>
          </cell>
          <cell r="I967" t="str">
            <v>Cancelled</v>
          </cell>
          <cell r="J967" t="str">
            <v>TRK22192783</v>
          </cell>
          <cell r="K967">
            <v>5</v>
          </cell>
          <cell r="L967" t="str">
            <v>FREESHIP</v>
          </cell>
          <cell r="M967" t="str">
            <v>Email</v>
          </cell>
          <cell r="N967">
            <v>2313.12</v>
          </cell>
        </row>
        <row r="968">
          <cell r="A968" t="str">
            <v>ORD200966</v>
          </cell>
          <cell r="B968">
            <v>45797</v>
          </cell>
          <cell r="C968" t="str">
            <v>C58503</v>
          </cell>
          <cell r="D968" t="str">
            <v>Monitor</v>
          </cell>
          <cell r="E968">
            <v>5</v>
          </cell>
          <cell r="F968">
            <v>280.52</v>
          </cell>
          <cell r="G968" t="str">
            <v>290 Main St</v>
          </cell>
          <cell r="H968" t="str">
            <v>Credit Card</v>
          </cell>
          <cell r="I968" t="str">
            <v>Cancelled</v>
          </cell>
          <cell r="J968" t="str">
            <v>TRK12981657</v>
          </cell>
          <cell r="K968">
            <v>7</v>
          </cell>
          <cell r="L968" t="str">
            <v>WINTER15</v>
          </cell>
          <cell r="M968" t="str">
            <v>Facebook</v>
          </cell>
          <cell r="N968">
            <v>1402.6</v>
          </cell>
        </row>
        <row r="969">
          <cell r="A969" t="str">
            <v>ORD200967</v>
          </cell>
          <cell r="B969">
            <v>45783</v>
          </cell>
          <cell r="C969" t="str">
            <v>C52879</v>
          </cell>
          <cell r="D969" t="str">
            <v>Tablet</v>
          </cell>
          <cell r="E969">
            <v>5</v>
          </cell>
          <cell r="F969">
            <v>638.91999999999996</v>
          </cell>
          <cell r="G969" t="str">
            <v>502 Main St</v>
          </cell>
          <cell r="H969" t="str">
            <v>Credit Card</v>
          </cell>
          <cell r="I969" t="str">
            <v>Returned</v>
          </cell>
          <cell r="J969" t="str">
            <v>TRK67403284</v>
          </cell>
          <cell r="K969">
            <v>5</v>
          </cell>
          <cell r="L969" t="str">
            <v>FREESHIP</v>
          </cell>
          <cell r="M969" t="str">
            <v>Google</v>
          </cell>
          <cell r="N969">
            <v>3194.6</v>
          </cell>
        </row>
        <row r="970">
          <cell r="A970" t="str">
            <v>ORD200968</v>
          </cell>
          <cell r="B970">
            <v>45330</v>
          </cell>
          <cell r="C970" t="str">
            <v>C67870</v>
          </cell>
          <cell r="D970" t="str">
            <v>Monitor</v>
          </cell>
          <cell r="E970">
            <v>4</v>
          </cell>
          <cell r="F970">
            <v>412.2</v>
          </cell>
          <cell r="G970" t="str">
            <v>664 Main St</v>
          </cell>
          <cell r="H970" t="str">
            <v>Credit Card</v>
          </cell>
          <cell r="I970" t="str">
            <v>Shipped</v>
          </cell>
          <cell r="J970" t="str">
            <v>TRK72602178</v>
          </cell>
          <cell r="K970">
            <v>6</v>
          </cell>
          <cell r="L970" t="str">
            <v>WINTER15</v>
          </cell>
          <cell r="M970" t="str">
            <v>Referral</v>
          </cell>
          <cell r="N970">
            <v>1648.8</v>
          </cell>
        </row>
        <row r="971">
          <cell r="A971" t="str">
            <v>ORD200969</v>
          </cell>
          <cell r="B971">
            <v>45813</v>
          </cell>
          <cell r="C971" t="str">
            <v>C19439</v>
          </cell>
          <cell r="D971" t="str">
            <v>Desk</v>
          </cell>
          <cell r="E971">
            <v>1</v>
          </cell>
          <cell r="F971">
            <v>440.34</v>
          </cell>
          <cell r="G971" t="str">
            <v>675 Main St</v>
          </cell>
          <cell r="H971" t="str">
            <v>Gift Card</v>
          </cell>
          <cell r="I971" t="str">
            <v>Shipped</v>
          </cell>
          <cell r="J971" t="str">
            <v>TRK25383993</v>
          </cell>
          <cell r="K971">
            <v>2</v>
          </cell>
          <cell r="L971" t="str">
            <v>WINTER15</v>
          </cell>
          <cell r="M971" t="str">
            <v>Facebook</v>
          </cell>
          <cell r="N971">
            <v>440.34</v>
          </cell>
        </row>
        <row r="972">
          <cell r="A972" t="str">
            <v>ORD200970</v>
          </cell>
          <cell r="B972">
            <v>45542</v>
          </cell>
          <cell r="C972" t="str">
            <v>C72664</v>
          </cell>
          <cell r="D972" t="str">
            <v>Desk</v>
          </cell>
          <cell r="E972">
            <v>1</v>
          </cell>
          <cell r="F972">
            <v>627.15</v>
          </cell>
          <cell r="G972" t="str">
            <v>241 Main St</v>
          </cell>
          <cell r="H972" t="str">
            <v>Cash</v>
          </cell>
          <cell r="I972" t="str">
            <v>Delivered</v>
          </cell>
          <cell r="J972" t="str">
            <v>TRK86694331</v>
          </cell>
          <cell r="K972">
            <v>5</v>
          </cell>
          <cell r="L972" t="str">
            <v>SAVE10</v>
          </cell>
          <cell r="M972" t="str">
            <v>Instagram</v>
          </cell>
          <cell r="N972">
            <v>627.15</v>
          </cell>
        </row>
        <row r="973">
          <cell r="A973" t="str">
            <v>ORD200971</v>
          </cell>
          <cell r="B973">
            <v>45439</v>
          </cell>
          <cell r="C973" t="str">
            <v>C32650</v>
          </cell>
          <cell r="D973" t="str">
            <v>Monitor</v>
          </cell>
          <cell r="E973">
            <v>2</v>
          </cell>
          <cell r="F973">
            <v>605.26</v>
          </cell>
          <cell r="G973" t="str">
            <v>934 Main St</v>
          </cell>
          <cell r="H973" t="str">
            <v>Cash</v>
          </cell>
          <cell r="I973" t="str">
            <v>Cancelled</v>
          </cell>
          <cell r="J973" t="str">
            <v>TRK66648743</v>
          </cell>
          <cell r="K973">
            <v>4</v>
          </cell>
          <cell r="L973" t="str">
            <v>WINTER15</v>
          </cell>
          <cell r="M973" t="str">
            <v>Referral</v>
          </cell>
          <cell r="N973">
            <v>1210.52</v>
          </cell>
        </row>
        <row r="974">
          <cell r="A974" t="str">
            <v>ORD200972</v>
          </cell>
          <cell r="B974">
            <v>45452</v>
          </cell>
          <cell r="C974" t="str">
            <v>C66438</v>
          </cell>
          <cell r="D974" t="str">
            <v>Laptop</v>
          </cell>
          <cell r="E974">
            <v>1</v>
          </cell>
          <cell r="F974">
            <v>90.27</v>
          </cell>
          <cell r="G974" t="str">
            <v>816 Main St</v>
          </cell>
          <cell r="H974" t="str">
            <v>Cash</v>
          </cell>
          <cell r="I974" t="str">
            <v>Delivered</v>
          </cell>
          <cell r="J974" t="str">
            <v>TRK32035271</v>
          </cell>
          <cell r="K974">
            <v>5</v>
          </cell>
          <cell r="L974" t="str">
            <v>SAVE10</v>
          </cell>
          <cell r="M974" t="str">
            <v>Facebook</v>
          </cell>
          <cell r="N974">
            <v>90.27</v>
          </cell>
        </row>
        <row r="975">
          <cell r="A975" t="str">
            <v>ORD200973</v>
          </cell>
          <cell r="B975">
            <v>45817</v>
          </cell>
          <cell r="C975" t="str">
            <v>C70010</v>
          </cell>
          <cell r="D975" t="str">
            <v>Desk</v>
          </cell>
          <cell r="E975">
            <v>5</v>
          </cell>
          <cell r="F975">
            <v>230.77</v>
          </cell>
          <cell r="G975" t="str">
            <v>141 Main St</v>
          </cell>
          <cell r="H975" t="str">
            <v>Online</v>
          </cell>
          <cell r="I975" t="str">
            <v>Pending</v>
          </cell>
          <cell r="J975" t="str">
            <v>TRK50594008</v>
          </cell>
          <cell r="K975">
            <v>10</v>
          </cell>
          <cell r="L975" t="str">
            <v>WINTER15</v>
          </cell>
          <cell r="M975" t="str">
            <v>Referral</v>
          </cell>
          <cell r="N975">
            <v>1153.8500000000001</v>
          </cell>
        </row>
        <row r="976">
          <cell r="A976" t="str">
            <v>ORD200974</v>
          </cell>
          <cell r="B976">
            <v>45196</v>
          </cell>
          <cell r="C976" t="str">
            <v>C30722</v>
          </cell>
          <cell r="D976" t="str">
            <v>Desk</v>
          </cell>
          <cell r="E976">
            <v>5</v>
          </cell>
          <cell r="F976">
            <v>266.77999999999997</v>
          </cell>
          <cell r="G976" t="str">
            <v>274 Main St</v>
          </cell>
          <cell r="H976" t="str">
            <v>Gift Card</v>
          </cell>
          <cell r="I976" t="str">
            <v>Cancelled</v>
          </cell>
          <cell r="J976" t="str">
            <v>TRK52088168</v>
          </cell>
          <cell r="K976">
            <v>5</v>
          </cell>
          <cell r="L976" t="str">
            <v>No Coupon</v>
          </cell>
          <cell r="M976" t="str">
            <v>Email</v>
          </cell>
          <cell r="N976">
            <v>1333.8999999999999</v>
          </cell>
        </row>
        <row r="977">
          <cell r="A977" t="str">
            <v>ORD200975</v>
          </cell>
          <cell r="B977">
            <v>45064</v>
          </cell>
          <cell r="C977" t="str">
            <v>C70529</v>
          </cell>
          <cell r="D977" t="str">
            <v>Desk</v>
          </cell>
          <cell r="E977">
            <v>1</v>
          </cell>
          <cell r="F977">
            <v>105.92</v>
          </cell>
          <cell r="G977" t="str">
            <v>974 Main St</v>
          </cell>
          <cell r="H977" t="str">
            <v>Gift Card</v>
          </cell>
          <cell r="I977" t="str">
            <v>Returned</v>
          </cell>
          <cell r="J977" t="str">
            <v>TRK82165408</v>
          </cell>
          <cell r="K977">
            <v>6</v>
          </cell>
          <cell r="L977" t="str">
            <v>SAVE10</v>
          </cell>
          <cell r="M977" t="str">
            <v>Email</v>
          </cell>
          <cell r="N977">
            <v>105.92</v>
          </cell>
        </row>
        <row r="978">
          <cell r="A978" t="str">
            <v>ORD200976</v>
          </cell>
          <cell r="B978">
            <v>45386</v>
          </cell>
          <cell r="C978" t="str">
            <v>C18984</v>
          </cell>
          <cell r="D978" t="str">
            <v>Tablet</v>
          </cell>
          <cell r="E978">
            <v>3</v>
          </cell>
          <cell r="F978">
            <v>589.29999999999995</v>
          </cell>
          <cell r="G978" t="str">
            <v>650 Main St</v>
          </cell>
          <cell r="H978" t="str">
            <v>Credit Card</v>
          </cell>
          <cell r="I978" t="str">
            <v>Returned</v>
          </cell>
          <cell r="J978" t="str">
            <v>TRK49298239</v>
          </cell>
          <cell r="K978">
            <v>6</v>
          </cell>
          <cell r="L978" t="str">
            <v>WINTER15</v>
          </cell>
          <cell r="M978" t="str">
            <v>Referral</v>
          </cell>
          <cell r="N978">
            <v>1767.8999999999999</v>
          </cell>
        </row>
        <row r="979">
          <cell r="A979" t="str">
            <v>ORD200977</v>
          </cell>
          <cell r="B979">
            <v>44954</v>
          </cell>
          <cell r="C979" t="str">
            <v>C85841</v>
          </cell>
          <cell r="D979" t="str">
            <v>Chair</v>
          </cell>
          <cell r="E979">
            <v>4</v>
          </cell>
          <cell r="F979">
            <v>649.47</v>
          </cell>
          <cell r="G979" t="str">
            <v>608 Main St</v>
          </cell>
          <cell r="H979" t="str">
            <v>Cash</v>
          </cell>
          <cell r="I979" t="str">
            <v>Pending</v>
          </cell>
          <cell r="J979" t="str">
            <v>TRK99820544</v>
          </cell>
          <cell r="K979">
            <v>8</v>
          </cell>
          <cell r="L979" t="str">
            <v>SAVE10</v>
          </cell>
          <cell r="M979" t="str">
            <v>Google</v>
          </cell>
          <cell r="N979">
            <v>2597.88</v>
          </cell>
        </row>
        <row r="980">
          <cell r="A980" t="str">
            <v>ORD200978</v>
          </cell>
          <cell r="B980">
            <v>45468</v>
          </cell>
          <cell r="C980" t="str">
            <v>C41508</v>
          </cell>
          <cell r="D980" t="str">
            <v>Printer</v>
          </cell>
          <cell r="E980">
            <v>4</v>
          </cell>
          <cell r="F980">
            <v>107.49</v>
          </cell>
          <cell r="G980" t="str">
            <v>993 Main St</v>
          </cell>
          <cell r="H980" t="str">
            <v>Cash</v>
          </cell>
          <cell r="I980" t="str">
            <v>Delivered</v>
          </cell>
          <cell r="J980" t="str">
            <v>TRK61047536</v>
          </cell>
          <cell r="K980">
            <v>5</v>
          </cell>
          <cell r="L980" t="str">
            <v>No Coupon</v>
          </cell>
          <cell r="M980" t="str">
            <v>Google</v>
          </cell>
          <cell r="N980">
            <v>429.96</v>
          </cell>
        </row>
        <row r="981">
          <cell r="A981" t="str">
            <v>ORD200979</v>
          </cell>
          <cell r="B981">
            <v>45077</v>
          </cell>
          <cell r="C981" t="str">
            <v>C75018</v>
          </cell>
          <cell r="D981" t="str">
            <v>Monitor</v>
          </cell>
          <cell r="E981">
            <v>3</v>
          </cell>
          <cell r="F981">
            <v>669.06</v>
          </cell>
          <cell r="G981" t="str">
            <v>299 Main St</v>
          </cell>
          <cell r="H981" t="str">
            <v>Cash</v>
          </cell>
          <cell r="I981" t="str">
            <v>Delivered</v>
          </cell>
          <cell r="J981" t="str">
            <v>TRK51794806</v>
          </cell>
          <cell r="K981">
            <v>7</v>
          </cell>
          <cell r="L981" t="str">
            <v>SAVE10</v>
          </cell>
          <cell r="M981" t="str">
            <v>Facebook</v>
          </cell>
          <cell r="N981">
            <v>2007.1799999999998</v>
          </cell>
        </row>
        <row r="982">
          <cell r="A982" t="str">
            <v>ORD200980</v>
          </cell>
          <cell r="B982">
            <v>45213</v>
          </cell>
          <cell r="C982" t="str">
            <v>C84320</v>
          </cell>
          <cell r="D982" t="str">
            <v>Chair</v>
          </cell>
          <cell r="E982">
            <v>3</v>
          </cell>
          <cell r="F982">
            <v>69.650000000000006</v>
          </cell>
          <cell r="G982" t="str">
            <v>107 Main St</v>
          </cell>
          <cell r="H982" t="str">
            <v>Cash</v>
          </cell>
          <cell r="I982" t="str">
            <v>Delivered</v>
          </cell>
          <cell r="J982" t="str">
            <v>TRK81093218</v>
          </cell>
          <cell r="K982">
            <v>7</v>
          </cell>
          <cell r="L982" t="str">
            <v>WINTER15</v>
          </cell>
          <cell r="M982" t="str">
            <v>Instagram</v>
          </cell>
          <cell r="N982">
            <v>208.95000000000002</v>
          </cell>
        </row>
        <row r="983">
          <cell r="A983" t="str">
            <v>ORD200981</v>
          </cell>
          <cell r="B983">
            <v>45256</v>
          </cell>
          <cell r="C983" t="str">
            <v>C12609</v>
          </cell>
          <cell r="D983" t="str">
            <v>Phone</v>
          </cell>
          <cell r="E983">
            <v>4</v>
          </cell>
          <cell r="F983">
            <v>136.83000000000001</v>
          </cell>
          <cell r="G983" t="str">
            <v>490 Main St</v>
          </cell>
          <cell r="H983" t="str">
            <v>Debit Card</v>
          </cell>
          <cell r="I983" t="str">
            <v>Pending</v>
          </cell>
          <cell r="J983" t="str">
            <v>TRK56379337</v>
          </cell>
          <cell r="K983">
            <v>8</v>
          </cell>
          <cell r="L983" t="str">
            <v>SAVE10</v>
          </cell>
          <cell r="M983" t="str">
            <v>Email</v>
          </cell>
          <cell r="N983">
            <v>547.32000000000005</v>
          </cell>
        </row>
        <row r="984">
          <cell r="A984" t="str">
            <v>ORD200982</v>
          </cell>
          <cell r="B984">
            <v>45541</v>
          </cell>
          <cell r="C984" t="str">
            <v>C64935</v>
          </cell>
          <cell r="D984" t="str">
            <v>Monitor</v>
          </cell>
          <cell r="E984">
            <v>1</v>
          </cell>
          <cell r="F984">
            <v>304.11</v>
          </cell>
          <cell r="G984" t="str">
            <v>707 Main St</v>
          </cell>
          <cell r="H984" t="str">
            <v>Gift Card</v>
          </cell>
          <cell r="I984" t="str">
            <v>Shipped</v>
          </cell>
          <cell r="J984" t="str">
            <v>TRK42969065</v>
          </cell>
          <cell r="K984">
            <v>2</v>
          </cell>
          <cell r="L984" t="str">
            <v>SAVE10</v>
          </cell>
          <cell r="M984" t="str">
            <v>Referral</v>
          </cell>
          <cell r="N984">
            <v>304.11</v>
          </cell>
        </row>
        <row r="985">
          <cell r="A985" t="str">
            <v>ORD200983</v>
          </cell>
          <cell r="B985">
            <v>45620</v>
          </cell>
          <cell r="C985" t="str">
            <v>C67528</v>
          </cell>
          <cell r="D985" t="str">
            <v>Monitor</v>
          </cell>
          <cell r="E985">
            <v>4</v>
          </cell>
          <cell r="F985">
            <v>296.27999999999997</v>
          </cell>
          <cell r="G985" t="str">
            <v>110 Main St</v>
          </cell>
          <cell r="H985" t="str">
            <v>Gift Card</v>
          </cell>
          <cell r="I985" t="str">
            <v>Shipped</v>
          </cell>
          <cell r="J985" t="str">
            <v>TRK60865210</v>
          </cell>
          <cell r="K985">
            <v>5</v>
          </cell>
          <cell r="L985" t="str">
            <v>SAVE10</v>
          </cell>
          <cell r="M985" t="str">
            <v>Email</v>
          </cell>
          <cell r="N985">
            <v>1185.1199999999999</v>
          </cell>
        </row>
        <row r="986">
          <cell r="A986" t="str">
            <v>ORD200984</v>
          </cell>
          <cell r="B986">
            <v>45716</v>
          </cell>
          <cell r="C986" t="str">
            <v>C44176</v>
          </cell>
          <cell r="D986" t="str">
            <v>Desk</v>
          </cell>
          <cell r="E986">
            <v>1</v>
          </cell>
          <cell r="F986">
            <v>77.64</v>
          </cell>
          <cell r="G986" t="str">
            <v>706 Main St</v>
          </cell>
          <cell r="H986" t="str">
            <v>Credit Card</v>
          </cell>
          <cell r="I986" t="str">
            <v>Shipped</v>
          </cell>
          <cell r="J986" t="str">
            <v>TRK68704764</v>
          </cell>
          <cell r="K986">
            <v>1</v>
          </cell>
          <cell r="L986" t="str">
            <v>FREESHIP</v>
          </cell>
          <cell r="M986" t="str">
            <v>Facebook</v>
          </cell>
          <cell r="N986">
            <v>77.64</v>
          </cell>
        </row>
        <row r="987">
          <cell r="A987" t="str">
            <v>ORD200985</v>
          </cell>
          <cell r="B987">
            <v>45493</v>
          </cell>
          <cell r="C987" t="str">
            <v>C92788</v>
          </cell>
          <cell r="D987" t="str">
            <v>Desk</v>
          </cell>
          <cell r="E987">
            <v>1</v>
          </cell>
          <cell r="F987">
            <v>243.71</v>
          </cell>
          <cell r="G987" t="str">
            <v>948 Main St</v>
          </cell>
          <cell r="H987" t="str">
            <v>Gift Card</v>
          </cell>
          <cell r="I987" t="str">
            <v>Delivered</v>
          </cell>
          <cell r="J987" t="str">
            <v>TRK83835361</v>
          </cell>
          <cell r="K987">
            <v>6</v>
          </cell>
          <cell r="L987" t="str">
            <v>SAVE10</v>
          </cell>
          <cell r="M987" t="str">
            <v>Google</v>
          </cell>
          <cell r="N987">
            <v>243.71</v>
          </cell>
        </row>
        <row r="988">
          <cell r="A988" t="str">
            <v>ORD200986</v>
          </cell>
          <cell r="B988">
            <v>45542</v>
          </cell>
          <cell r="C988" t="str">
            <v>C69213</v>
          </cell>
          <cell r="D988" t="str">
            <v>Laptop</v>
          </cell>
          <cell r="E988">
            <v>4</v>
          </cell>
          <cell r="F988">
            <v>644.96</v>
          </cell>
          <cell r="G988" t="str">
            <v>533 Main St</v>
          </cell>
          <cell r="H988" t="str">
            <v>Credit Card</v>
          </cell>
          <cell r="I988" t="str">
            <v>Pending</v>
          </cell>
          <cell r="J988" t="str">
            <v>TRK67837331</v>
          </cell>
          <cell r="K988">
            <v>7</v>
          </cell>
          <cell r="L988" t="str">
            <v>FREESHIP</v>
          </cell>
          <cell r="M988" t="str">
            <v>Email</v>
          </cell>
          <cell r="N988">
            <v>2579.84</v>
          </cell>
        </row>
        <row r="989">
          <cell r="A989" t="str">
            <v>ORD200987</v>
          </cell>
          <cell r="B989">
            <v>45813</v>
          </cell>
          <cell r="C989" t="str">
            <v>C67387</v>
          </cell>
          <cell r="D989" t="str">
            <v>Phone</v>
          </cell>
          <cell r="E989">
            <v>5</v>
          </cell>
          <cell r="F989">
            <v>283.73</v>
          </cell>
          <cell r="G989" t="str">
            <v>436 Main St</v>
          </cell>
          <cell r="H989" t="str">
            <v>Gift Card</v>
          </cell>
          <cell r="I989" t="str">
            <v>Pending</v>
          </cell>
          <cell r="J989" t="str">
            <v>TRK54120003</v>
          </cell>
          <cell r="K989">
            <v>8</v>
          </cell>
          <cell r="L989" t="str">
            <v>FREESHIP</v>
          </cell>
          <cell r="M989" t="str">
            <v>Instagram</v>
          </cell>
          <cell r="N989">
            <v>1418.65</v>
          </cell>
        </row>
        <row r="990">
          <cell r="A990" t="str">
            <v>ORD200988</v>
          </cell>
          <cell r="B990">
            <v>45692</v>
          </cell>
          <cell r="C990" t="str">
            <v>C90318</v>
          </cell>
          <cell r="D990" t="str">
            <v>Desk</v>
          </cell>
          <cell r="E990">
            <v>2</v>
          </cell>
          <cell r="F990">
            <v>629.55999999999995</v>
          </cell>
          <cell r="G990" t="str">
            <v>818 Main St</v>
          </cell>
          <cell r="H990" t="str">
            <v>Gift Card</v>
          </cell>
          <cell r="I990" t="str">
            <v>Cancelled</v>
          </cell>
          <cell r="J990" t="str">
            <v>TRK52765043</v>
          </cell>
          <cell r="K990">
            <v>5</v>
          </cell>
          <cell r="L990" t="str">
            <v>WINTER15</v>
          </cell>
          <cell r="M990" t="str">
            <v>Instagram</v>
          </cell>
          <cell r="N990">
            <v>1259.1199999999999</v>
          </cell>
        </row>
        <row r="991">
          <cell r="A991" t="str">
            <v>ORD200989</v>
          </cell>
          <cell r="B991">
            <v>45008</v>
          </cell>
          <cell r="C991" t="str">
            <v>C49995</v>
          </cell>
          <cell r="D991" t="str">
            <v>Laptop</v>
          </cell>
          <cell r="E991">
            <v>4</v>
          </cell>
          <cell r="F991">
            <v>246.11</v>
          </cell>
          <cell r="G991" t="str">
            <v>559 Main St</v>
          </cell>
          <cell r="H991" t="str">
            <v>Credit Card</v>
          </cell>
          <cell r="I991" t="str">
            <v>Pending</v>
          </cell>
          <cell r="J991" t="str">
            <v>TRK33212013</v>
          </cell>
          <cell r="K991">
            <v>4</v>
          </cell>
          <cell r="L991" t="str">
            <v>SAVE10</v>
          </cell>
          <cell r="M991" t="str">
            <v>Instagram</v>
          </cell>
          <cell r="N991">
            <v>984.44</v>
          </cell>
        </row>
        <row r="992">
          <cell r="A992" t="str">
            <v>ORD200990</v>
          </cell>
          <cell r="B992">
            <v>45249</v>
          </cell>
          <cell r="C992" t="str">
            <v>C52313</v>
          </cell>
          <cell r="D992" t="str">
            <v>Phone</v>
          </cell>
          <cell r="E992">
            <v>2</v>
          </cell>
          <cell r="F992">
            <v>418.26</v>
          </cell>
          <cell r="G992" t="str">
            <v>913 Main St</v>
          </cell>
          <cell r="H992" t="str">
            <v>Debit Card</v>
          </cell>
          <cell r="I992" t="str">
            <v>Pending</v>
          </cell>
          <cell r="J992" t="str">
            <v>TRK67368559</v>
          </cell>
          <cell r="K992">
            <v>2</v>
          </cell>
          <cell r="L992" t="str">
            <v>SAVE10</v>
          </cell>
          <cell r="M992" t="str">
            <v>Google</v>
          </cell>
          <cell r="N992">
            <v>836.52</v>
          </cell>
        </row>
        <row r="993">
          <cell r="A993" t="str">
            <v>ORD200991</v>
          </cell>
          <cell r="B993">
            <v>45421</v>
          </cell>
          <cell r="C993" t="str">
            <v>C10211</v>
          </cell>
          <cell r="D993" t="str">
            <v>Desk</v>
          </cell>
          <cell r="E993">
            <v>5</v>
          </cell>
          <cell r="F993">
            <v>127.18</v>
          </cell>
          <cell r="G993" t="str">
            <v>598 Main St</v>
          </cell>
          <cell r="H993" t="str">
            <v>Debit Card</v>
          </cell>
          <cell r="I993" t="str">
            <v>Cancelled</v>
          </cell>
          <cell r="J993" t="str">
            <v>TRK68938335</v>
          </cell>
          <cell r="K993">
            <v>10</v>
          </cell>
          <cell r="L993" t="str">
            <v>FREESHIP</v>
          </cell>
          <cell r="M993" t="str">
            <v>Google</v>
          </cell>
          <cell r="N993">
            <v>635.90000000000009</v>
          </cell>
        </row>
        <row r="994">
          <cell r="A994" t="str">
            <v>ORD200992</v>
          </cell>
          <cell r="B994">
            <v>45531</v>
          </cell>
          <cell r="C994" t="str">
            <v>C97907</v>
          </cell>
          <cell r="D994" t="str">
            <v>Printer</v>
          </cell>
          <cell r="E994">
            <v>3</v>
          </cell>
          <cell r="F994">
            <v>586.21</v>
          </cell>
          <cell r="G994" t="str">
            <v>933 Main St</v>
          </cell>
          <cell r="H994" t="str">
            <v>Gift Card</v>
          </cell>
          <cell r="I994" t="str">
            <v>Pending</v>
          </cell>
          <cell r="J994" t="str">
            <v>TRK89637569</v>
          </cell>
          <cell r="K994">
            <v>4</v>
          </cell>
          <cell r="L994" t="str">
            <v>WINTER15</v>
          </cell>
          <cell r="M994" t="str">
            <v>Referral</v>
          </cell>
          <cell r="N994">
            <v>1758.63</v>
          </cell>
        </row>
        <row r="995">
          <cell r="A995" t="str">
            <v>ORD200993</v>
          </cell>
          <cell r="B995">
            <v>45388</v>
          </cell>
          <cell r="C995" t="str">
            <v>C61384</v>
          </cell>
          <cell r="D995" t="str">
            <v>Monitor</v>
          </cell>
          <cell r="E995">
            <v>3</v>
          </cell>
          <cell r="F995">
            <v>267.45</v>
          </cell>
          <cell r="G995" t="str">
            <v>576 Main St</v>
          </cell>
          <cell r="H995" t="str">
            <v>Gift Card</v>
          </cell>
          <cell r="I995" t="str">
            <v>Delivered</v>
          </cell>
          <cell r="J995" t="str">
            <v>TRK33323210</v>
          </cell>
          <cell r="K995">
            <v>5</v>
          </cell>
          <cell r="L995" t="str">
            <v>WINTER15</v>
          </cell>
          <cell r="M995" t="str">
            <v>Instagram</v>
          </cell>
          <cell r="N995">
            <v>802.34999999999991</v>
          </cell>
        </row>
        <row r="996">
          <cell r="A996" t="str">
            <v>ORD200994</v>
          </cell>
          <cell r="B996">
            <v>45470</v>
          </cell>
          <cell r="C996" t="str">
            <v>C27613</v>
          </cell>
          <cell r="D996" t="str">
            <v>Tablet</v>
          </cell>
          <cell r="E996">
            <v>4</v>
          </cell>
          <cell r="F996">
            <v>615.65</v>
          </cell>
          <cell r="G996" t="str">
            <v>971 Main St</v>
          </cell>
          <cell r="H996" t="str">
            <v>Debit Card</v>
          </cell>
          <cell r="I996" t="str">
            <v>Delivered</v>
          </cell>
          <cell r="J996" t="str">
            <v>TRK63701318</v>
          </cell>
          <cell r="K996">
            <v>9</v>
          </cell>
          <cell r="L996" t="str">
            <v>WINTER15</v>
          </cell>
          <cell r="M996" t="str">
            <v>Google</v>
          </cell>
          <cell r="N996">
            <v>2462.6</v>
          </cell>
        </row>
        <row r="997">
          <cell r="A997" t="str">
            <v>ORD200995</v>
          </cell>
          <cell r="B997">
            <v>45248</v>
          </cell>
          <cell r="C997" t="str">
            <v>C99271</v>
          </cell>
          <cell r="D997" t="str">
            <v>Monitor</v>
          </cell>
          <cell r="E997">
            <v>2</v>
          </cell>
          <cell r="F997">
            <v>113.29</v>
          </cell>
          <cell r="G997" t="str">
            <v>959 Main St</v>
          </cell>
          <cell r="H997" t="str">
            <v>Cash</v>
          </cell>
          <cell r="I997" t="str">
            <v>Pending</v>
          </cell>
          <cell r="J997" t="str">
            <v>TRK87832736</v>
          </cell>
          <cell r="K997">
            <v>5</v>
          </cell>
          <cell r="L997" t="str">
            <v>SAVE10</v>
          </cell>
          <cell r="M997" t="str">
            <v>Facebook</v>
          </cell>
          <cell r="N997">
            <v>226.58</v>
          </cell>
        </row>
        <row r="998">
          <cell r="A998" t="str">
            <v>ORD200996</v>
          </cell>
          <cell r="B998">
            <v>45410</v>
          </cell>
          <cell r="C998" t="str">
            <v>C28648</v>
          </cell>
          <cell r="D998" t="str">
            <v>Monitor</v>
          </cell>
          <cell r="E998">
            <v>4</v>
          </cell>
          <cell r="F998">
            <v>473.86</v>
          </cell>
          <cell r="G998" t="str">
            <v>101 Main St</v>
          </cell>
          <cell r="H998" t="str">
            <v>Debit Card</v>
          </cell>
          <cell r="I998" t="str">
            <v>Delivered</v>
          </cell>
          <cell r="J998" t="str">
            <v>TRK92240846</v>
          </cell>
          <cell r="K998">
            <v>7</v>
          </cell>
          <cell r="L998" t="str">
            <v>SAVE10</v>
          </cell>
          <cell r="M998" t="str">
            <v>Facebook</v>
          </cell>
          <cell r="N998">
            <v>1895.44</v>
          </cell>
        </row>
        <row r="999">
          <cell r="A999" t="str">
            <v>ORD200997</v>
          </cell>
          <cell r="B999">
            <v>45257</v>
          </cell>
          <cell r="C999" t="str">
            <v>C26210</v>
          </cell>
          <cell r="D999" t="str">
            <v>Laptop</v>
          </cell>
          <cell r="E999">
            <v>3</v>
          </cell>
          <cell r="F999">
            <v>444.75</v>
          </cell>
          <cell r="G999" t="str">
            <v>805 Main St</v>
          </cell>
          <cell r="H999" t="str">
            <v>Cash</v>
          </cell>
          <cell r="I999" t="str">
            <v>Delivered</v>
          </cell>
          <cell r="J999" t="str">
            <v>TRK40616861</v>
          </cell>
          <cell r="K999">
            <v>6</v>
          </cell>
          <cell r="L999" t="str">
            <v>SAVE10</v>
          </cell>
          <cell r="M999" t="str">
            <v>Facebook</v>
          </cell>
          <cell r="N999">
            <v>1334.25</v>
          </cell>
        </row>
        <row r="1000">
          <cell r="A1000" t="str">
            <v>ORD200998</v>
          </cell>
          <cell r="B1000">
            <v>45065</v>
          </cell>
          <cell r="C1000" t="str">
            <v>C90350</v>
          </cell>
          <cell r="D1000" t="str">
            <v>Phone</v>
          </cell>
          <cell r="E1000">
            <v>2</v>
          </cell>
          <cell r="F1000">
            <v>183.67</v>
          </cell>
          <cell r="G1000" t="str">
            <v>783 Main St</v>
          </cell>
          <cell r="H1000" t="str">
            <v>Debit Card</v>
          </cell>
          <cell r="I1000" t="str">
            <v>Cancelled</v>
          </cell>
          <cell r="J1000" t="str">
            <v>TRK22824230</v>
          </cell>
          <cell r="K1000">
            <v>6</v>
          </cell>
          <cell r="L1000" t="str">
            <v>SAVE10</v>
          </cell>
          <cell r="M1000" t="str">
            <v>Google</v>
          </cell>
          <cell r="N1000">
            <v>367.34</v>
          </cell>
        </row>
        <row r="1001">
          <cell r="A1001" t="str">
            <v>ORD200999</v>
          </cell>
          <cell r="B1001">
            <v>45284</v>
          </cell>
          <cell r="C1001" t="str">
            <v>C61957</v>
          </cell>
          <cell r="D1001" t="str">
            <v>Printer</v>
          </cell>
          <cell r="E1001">
            <v>1</v>
          </cell>
          <cell r="F1001">
            <v>483.38</v>
          </cell>
          <cell r="G1001" t="str">
            <v>652 Main St</v>
          </cell>
          <cell r="H1001" t="str">
            <v>Cash</v>
          </cell>
          <cell r="I1001" t="str">
            <v>Pending</v>
          </cell>
          <cell r="J1001" t="str">
            <v>TRK43983841</v>
          </cell>
          <cell r="K1001">
            <v>6</v>
          </cell>
          <cell r="L1001" t="str">
            <v>FREESHIP</v>
          </cell>
          <cell r="M1001" t="str">
            <v>Google</v>
          </cell>
          <cell r="N1001">
            <v>483.38</v>
          </cell>
        </row>
        <row r="1002">
          <cell r="A1002" t="str">
            <v>ORD201000</v>
          </cell>
          <cell r="B1002">
            <v>45098</v>
          </cell>
          <cell r="C1002" t="str">
            <v>C90132</v>
          </cell>
          <cell r="D1002" t="str">
            <v>Printer</v>
          </cell>
          <cell r="E1002">
            <v>5</v>
          </cell>
          <cell r="F1002">
            <v>260.93</v>
          </cell>
          <cell r="G1002" t="str">
            <v>582 Main St</v>
          </cell>
          <cell r="H1002" t="str">
            <v>Online</v>
          </cell>
          <cell r="I1002" t="str">
            <v>Delivered</v>
          </cell>
          <cell r="J1002" t="str">
            <v>TRK52664903</v>
          </cell>
          <cell r="K1002">
            <v>9</v>
          </cell>
          <cell r="L1002" t="str">
            <v>SAVE10</v>
          </cell>
          <cell r="M1002" t="str">
            <v>Email</v>
          </cell>
          <cell r="N1002">
            <v>1304.6500000000001</v>
          </cell>
        </row>
        <row r="1003">
          <cell r="A1003" t="str">
            <v>ORD201001</v>
          </cell>
          <cell r="B1003">
            <v>45268</v>
          </cell>
          <cell r="C1003" t="str">
            <v>C31371</v>
          </cell>
          <cell r="D1003" t="str">
            <v>Printer</v>
          </cell>
          <cell r="E1003">
            <v>2</v>
          </cell>
          <cell r="F1003">
            <v>253.68</v>
          </cell>
          <cell r="G1003" t="str">
            <v>122 Main St</v>
          </cell>
          <cell r="H1003" t="str">
            <v>Gift Card</v>
          </cell>
          <cell r="I1003" t="str">
            <v>Shipped</v>
          </cell>
          <cell r="J1003" t="str">
            <v>TRK19554327</v>
          </cell>
          <cell r="K1003">
            <v>6</v>
          </cell>
          <cell r="L1003" t="str">
            <v>No Coupon</v>
          </cell>
          <cell r="M1003" t="str">
            <v>Referral</v>
          </cell>
          <cell r="N1003">
            <v>507.36</v>
          </cell>
        </row>
        <row r="1004">
          <cell r="A1004" t="str">
            <v>ORD201002</v>
          </cell>
          <cell r="B1004">
            <v>45827</v>
          </cell>
          <cell r="C1004" t="str">
            <v>C83911</v>
          </cell>
          <cell r="D1004" t="str">
            <v>Tablet</v>
          </cell>
          <cell r="E1004">
            <v>4</v>
          </cell>
          <cell r="F1004">
            <v>699.88</v>
          </cell>
          <cell r="G1004" t="str">
            <v>944 Main St</v>
          </cell>
          <cell r="H1004" t="str">
            <v>Cash</v>
          </cell>
          <cell r="I1004" t="str">
            <v>Pending</v>
          </cell>
          <cell r="J1004" t="str">
            <v>TRK33188106</v>
          </cell>
          <cell r="K1004">
            <v>5</v>
          </cell>
          <cell r="L1004" t="str">
            <v>WINTER15</v>
          </cell>
          <cell r="M1004" t="str">
            <v>Referral</v>
          </cell>
          <cell r="N1004">
            <v>2799.52</v>
          </cell>
        </row>
        <row r="1005">
          <cell r="A1005" t="str">
            <v>ORD201003</v>
          </cell>
          <cell r="B1005">
            <v>44937</v>
          </cell>
          <cell r="C1005" t="str">
            <v>C84700</v>
          </cell>
          <cell r="D1005" t="str">
            <v>Printer</v>
          </cell>
          <cell r="E1005">
            <v>5</v>
          </cell>
          <cell r="F1005">
            <v>319.97000000000003</v>
          </cell>
          <cell r="G1005" t="str">
            <v>582 Main St</v>
          </cell>
          <cell r="H1005" t="str">
            <v>Cash</v>
          </cell>
          <cell r="I1005" t="str">
            <v>Shipped</v>
          </cell>
          <cell r="J1005" t="str">
            <v>TRK14706969</v>
          </cell>
          <cell r="K1005">
            <v>7</v>
          </cell>
          <cell r="L1005" t="str">
            <v>SAVE10</v>
          </cell>
          <cell r="M1005" t="str">
            <v>Google</v>
          </cell>
          <cell r="N1005">
            <v>1599.8500000000001</v>
          </cell>
        </row>
        <row r="1006">
          <cell r="A1006" t="str">
            <v>ORD201004</v>
          </cell>
          <cell r="B1006">
            <v>45817</v>
          </cell>
          <cell r="C1006" t="str">
            <v>C87529</v>
          </cell>
          <cell r="D1006" t="str">
            <v>Chair</v>
          </cell>
          <cell r="E1006">
            <v>4</v>
          </cell>
          <cell r="F1006">
            <v>246.91</v>
          </cell>
          <cell r="G1006" t="str">
            <v>296 Main St</v>
          </cell>
          <cell r="H1006" t="str">
            <v>Online</v>
          </cell>
          <cell r="I1006" t="str">
            <v>Pending</v>
          </cell>
          <cell r="J1006" t="str">
            <v>TRK15739505</v>
          </cell>
          <cell r="K1006">
            <v>8</v>
          </cell>
          <cell r="L1006" t="str">
            <v>SAVE10</v>
          </cell>
          <cell r="M1006" t="str">
            <v>Referral</v>
          </cell>
          <cell r="N1006">
            <v>987.64</v>
          </cell>
        </row>
        <row r="1007">
          <cell r="A1007" t="str">
            <v>ORD201005</v>
          </cell>
          <cell r="B1007">
            <v>44987</v>
          </cell>
          <cell r="C1007" t="str">
            <v>C38065</v>
          </cell>
          <cell r="D1007" t="str">
            <v>Printer</v>
          </cell>
          <cell r="E1007">
            <v>3</v>
          </cell>
          <cell r="F1007">
            <v>392.85</v>
          </cell>
          <cell r="G1007" t="str">
            <v>426 Main St</v>
          </cell>
          <cell r="H1007" t="str">
            <v>Credit Card</v>
          </cell>
          <cell r="I1007" t="str">
            <v>Returned</v>
          </cell>
          <cell r="J1007" t="str">
            <v>TRK11448295</v>
          </cell>
          <cell r="K1007">
            <v>6</v>
          </cell>
          <cell r="L1007" t="str">
            <v>No Coupon</v>
          </cell>
          <cell r="M1007" t="str">
            <v>Google</v>
          </cell>
          <cell r="N1007">
            <v>1178.5500000000002</v>
          </cell>
        </row>
        <row r="1008">
          <cell r="A1008" t="str">
            <v>ORD201006</v>
          </cell>
          <cell r="B1008">
            <v>45439</v>
          </cell>
          <cell r="C1008" t="str">
            <v>C27435</v>
          </cell>
          <cell r="D1008" t="str">
            <v>Tablet</v>
          </cell>
          <cell r="E1008">
            <v>5</v>
          </cell>
          <cell r="F1008">
            <v>420.98</v>
          </cell>
          <cell r="G1008" t="str">
            <v>860 Main St</v>
          </cell>
          <cell r="H1008" t="str">
            <v>Cash</v>
          </cell>
          <cell r="I1008" t="str">
            <v>Delivered</v>
          </cell>
          <cell r="J1008" t="str">
            <v>TRK91458233</v>
          </cell>
          <cell r="K1008">
            <v>7</v>
          </cell>
          <cell r="L1008" t="str">
            <v>SAVE10</v>
          </cell>
          <cell r="M1008" t="str">
            <v>Facebook</v>
          </cell>
          <cell r="N1008">
            <v>2104.9</v>
          </cell>
        </row>
        <row r="1009">
          <cell r="A1009" t="str">
            <v>ORD201007</v>
          </cell>
          <cell r="B1009">
            <v>45371</v>
          </cell>
          <cell r="C1009" t="str">
            <v>C46651</v>
          </cell>
          <cell r="D1009" t="str">
            <v>Monitor</v>
          </cell>
          <cell r="E1009">
            <v>2</v>
          </cell>
          <cell r="F1009">
            <v>73.260000000000005</v>
          </cell>
          <cell r="G1009" t="str">
            <v>839 Main St</v>
          </cell>
          <cell r="H1009" t="str">
            <v>Cash</v>
          </cell>
          <cell r="I1009" t="str">
            <v>Pending</v>
          </cell>
          <cell r="J1009" t="str">
            <v>TRK60444502</v>
          </cell>
          <cell r="K1009">
            <v>4</v>
          </cell>
          <cell r="L1009" t="str">
            <v>WINTER15</v>
          </cell>
          <cell r="M1009" t="str">
            <v>Facebook</v>
          </cell>
          <cell r="N1009">
            <v>146.52000000000001</v>
          </cell>
        </row>
        <row r="1010">
          <cell r="A1010" t="str">
            <v>ORD201008</v>
          </cell>
          <cell r="B1010">
            <v>44939</v>
          </cell>
          <cell r="C1010" t="str">
            <v>C62557</v>
          </cell>
          <cell r="D1010" t="str">
            <v>Monitor</v>
          </cell>
          <cell r="E1010">
            <v>3</v>
          </cell>
          <cell r="F1010">
            <v>410.88</v>
          </cell>
          <cell r="G1010" t="str">
            <v>257 Main St</v>
          </cell>
          <cell r="H1010" t="str">
            <v>Cash</v>
          </cell>
          <cell r="I1010" t="str">
            <v>Delivered</v>
          </cell>
          <cell r="J1010" t="str">
            <v>TRK12742366</v>
          </cell>
          <cell r="K1010">
            <v>8</v>
          </cell>
          <cell r="L1010" t="str">
            <v>FREESHIP</v>
          </cell>
          <cell r="M1010" t="str">
            <v>Instagram</v>
          </cell>
          <cell r="N1010">
            <v>1232.6399999999999</v>
          </cell>
        </row>
        <row r="1011">
          <cell r="A1011" t="str">
            <v>ORD201009</v>
          </cell>
          <cell r="B1011">
            <v>45171</v>
          </cell>
          <cell r="C1011" t="str">
            <v>C54494</v>
          </cell>
          <cell r="D1011" t="str">
            <v>Tablet</v>
          </cell>
          <cell r="E1011">
            <v>2</v>
          </cell>
          <cell r="F1011">
            <v>176.46</v>
          </cell>
          <cell r="G1011" t="str">
            <v>696 Main St</v>
          </cell>
          <cell r="H1011" t="str">
            <v>Credit Card</v>
          </cell>
          <cell r="I1011" t="str">
            <v>Delivered</v>
          </cell>
          <cell r="J1011" t="str">
            <v>TRK95958645</v>
          </cell>
          <cell r="K1011">
            <v>2</v>
          </cell>
          <cell r="L1011" t="str">
            <v>FREESHIP</v>
          </cell>
          <cell r="M1011" t="str">
            <v>Email</v>
          </cell>
          <cell r="N1011">
            <v>352.92</v>
          </cell>
        </row>
        <row r="1012">
          <cell r="A1012" t="str">
            <v>ORD201010</v>
          </cell>
          <cell r="B1012">
            <v>45016</v>
          </cell>
          <cell r="C1012" t="str">
            <v>C33729</v>
          </cell>
          <cell r="D1012" t="str">
            <v>Monitor</v>
          </cell>
          <cell r="E1012">
            <v>3</v>
          </cell>
          <cell r="F1012">
            <v>659.57</v>
          </cell>
          <cell r="G1012" t="str">
            <v>533 Main St</v>
          </cell>
          <cell r="H1012" t="str">
            <v>Credit Card</v>
          </cell>
          <cell r="I1012" t="str">
            <v>Cancelled</v>
          </cell>
          <cell r="J1012" t="str">
            <v>TRK35649833</v>
          </cell>
          <cell r="K1012">
            <v>6</v>
          </cell>
          <cell r="L1012" t="str">
            <v>SAVE10</v>
          </cell>
          <cell r="M1012" t="str">
            <v>Email</v>
          </cell>
          <cell r="N1012">
            <v>1978.71</v>
          </cell>
        </row>
        <row r="1013">
          <cell r="A1013" t="str">
            <v>ORD201011</v>
          </cell>
          <cell r="B1013">
            <v>45629</v>
          </cell>
          <cell r="C1013" t="str">
            <v>C47823</v>
          </cell>
          <cell r="D1013" t="str">
            <v>Phone</v>
          </cell>
          <cell r="E1013">
            <v>2</v>
          </cell>
          <cell r="F1013">
            <v>478.36</v>
          </cell>
          <cell r="G1013" t="str">
            <v>654 Main St</v>
          </cell>
          <cell r="H1013" t="str">
            <v>Online</v>
          </cell>
          <cell r="I1013" t="str">
            <v>Shipped</v>
          </cell>
          <cell r="J1013" t="str">
            <v>TRK22271097</v>
          </cell>
          <cell r="K1013">
            <v>3</v>
          </cell>
          <cell r="L1013" t="str">
            <v>No Coupon</v>
          </cell>
          <cell r="M1013" t="str">
            <v>Google</v>
          </cell>
          <cell r="N1013">
            <v>956.72</v>
          </cell>
        </row>
        <row r="1014">
          <cell r="A1014" t="str">
            <v>ORD201012</v>
          </cell>
          <cell r="B1014">
            <v>45629</v>
          </cell>
          <cell r="C1014" t="str">
            <v>C84570</v>
          </cell>
          <cell r="D1014" t="str">
            <v>Printer</v>
          </cell>
          <cell r="E1014">
            <v>4</v>
          </cell>
          <cell r="F1014">
            <v>30.05</v>
          </cell>
          <cell r="G1014" t="str">
            <v>301 Main St</v>
          </cell>
          <cell r="H1014" t="str">
            <v>Online</v>
          </cell>
          <cell r="I1014" t="str">
            <v>Returned</v>
          </cell>
          <cell r="J1014" t="str">
            <v>TRK12551882</v>
          </cell>
          <cell r="K1014">
            <v>6</v>
          </cell>
          <cell r="L1014" t="str">
            <v>No Coupon</v>
          </cell>
          <cell r="M1014" t="str">
            <v>Facebook</v>
          </cell>
          <cell r="N1014">
            <v>120.2</v>
          </cell>
        </row>
        <row r="1015">
          <cell r="A1015" t="str">
            <v>ORD201013</v>
          </cell>
          <cell r="B1015">
            <v>45773</v>
          </cell>
          <cell r="C1015" t="str">
            <v>C91123</v>
          </cell>
          <cell r="D1015" t="str">
            <v>Laptop</v>
          </cell>
          <cell r="E1015">
            <v>4</v>
          </cell>
          <cell r="F1015">
            <v>300.56</v>
          </cell>
          <cell r="G1015" t="str">
            <v>842 Main St</v>
          </cell>
          <cell r="H1015" t="str">
            <v>Cash</v>
          </cell>
          <cell r="I1015" t="str">
            <v>Cancelled</v>
          </cell>
          <cell r="J1015" t="str">
            <v>TRK49568409</v>
          </cell>
          <cell r="K1015">
            <v>9</v>
          </cell>
          <cell r="L1015" t="str">
            <v>FREESHIP</v>
          </cell>
          <cell r="M1015" t="str">
            <v>Facebook</v>
          </cell>
          <cell r="N1015">
            <v>1202.24</v>
          </cell>
        </row>
        <row r="1016">
          <cell r="A1016" t="str">
            <v>ORD201014</v>
          </cell>
          <cell r="B1016">
            <v>45326</v>
          </cell>
          <cell r="C1016" t="str">
            <v>C92548</v>
          </cell>
          <cell r="D1016" t="str">
            <v>Tablet</v>
          </cell>
          <cell r="E1016">
            <v>5</v>
          </cell>
          <cell r="F1016">
            <v>226.45</v>
          </cell>
          <cell r="G1016" t="str">
            <v>160 Main St</v>
          </cell>
          <cell r="H1016" t="str">
            <v>Debit Card</v>
          </cell>
          <cell r="I1016" t="str">
            <v>Returned</v>
          </cell>
          <cell r="J1016" t="str">
            <v>TRK21682892</v>
          </cell>
          <cell r="K1016">
            <v>6</v>
          </cell>
          <cell r="L1016" t="str">
            <v>FREESHIP</v>
          </cell>
          <cell r="M1016" t="str">
            <v>Email</v>
          </cell>
          <cell r="N1016">
            <v>1132.25</v>
          </cell>
        </row>
        <row r="1017">
          <cell r="A1017" t="str">
            <v>ORD201015</v>
          </cell>
          <cell r="B1017">
            <v>45317</v>
          </cell>
          <cell r="C1017" t="str">
            <v>C97454</v>
          </cell>
          <cell r="D1017" t="str">
            <v>Printer</v>
          </cell>
          <cell r="E1017">
            <v>2</v>
          </cell>
          <cell r="F1017">
            <v>349.4</v>
          </cell>
          <cell r="G1017" t="str">
            <v>892 Main St</v>
          </cell>
          <cell r="H1017" t="str">
            <v>Online</v>
          </cell>
          <cell r="I1017" t="str">
            <v>Shipped</v>
          </cell>
          <cell r="J1017" t="str">
            <v>TRK73249329</v>
          </cell>
          <cell r="K1017">
            <v>2</v>
          </cell>
          <cell r="L1017" t="str">
            <v>SAVE10</v>
          </cell>
          <cell r="M1017" t="str">
            <v>Instagram</v>
          </cell>
          <cell r="N1017">
            <v>698.8</v>
          </cell>
        </row>
        <row r="1018">
          <cell r="A1018" t="str">
            <v>ORD201016</v>
          </cell>
          <cell r="B1018">
            <v>45289</v>
          </cell>
          <cell r="C1018" t="str">
            <v>C20257</v>
          </cell>
          <cell r="D1018" t="str">
            <v>Tablet</v>
          </cell>
          <cell r="E1018">
            <v>5</v>
          </cell>
          <cell r="F1018">
            <v>268.77999999999997</v>
          </cell>
          <cell r="G1018" t="str">
            <v>669 Main St</v>
          </cell>
          <cell r="H1018" t="str">
            <v>Debit Card</v>
          </cell>
          <cell r="I1018" t="str">
            <v>Delivered</v>
          </cell>
          <cell r="J1018" t="str">
            <v>TRK62135578</v>
          </cell>
          <cell r="K1018">
            <v>7</v>
          </cell>
          <cell r="L1018" t="str">
            <v>WINTER15</v>
          </cell>
          <cell r="M1018" t="str">
            <v>Email</v>
          </cell>
          <cell r="N1018">
            <v>1343.8999999999999</v>
          </cell>
        </row>
        <row r="1019">
          <cell r="A1019" t="str">
            <v>ORD201017</v>
          </cell>
          <cell r="B1019">
            <v>45529</v>
          </cell>
          <cell r="C1019" t="str">
            <v>C51694</v>
          </cell>
          <cell r="D1019" t="str">
            <v>Chair</v>
          </cell>
          <cell r="E1019">
            <v>2</v>
          </cell>
          <cell r="F1019">
            <v>680.85</v>
          </cell>
          <cell r="G1019" t="str">
            <v>953 Main St</v>
          </cell>
          <cell r="H1019" t="str">
            <v>Gift Card</v>
          </cell>
          <cell r="I1019" t="str">
            <v>Delivered</v>
          </cell>
          <cell r="J1019" t="str">
            <v>TRK83122112</v>
          </cell>
          <cell r="K1019">
            <v>6</v>
          </cell>
          <cell r="L1019" t="str">
            <v>FREESHIP</v>
          </cell>
          <cell r="M1019" t="str">
            <v>Referral</v>
          </cell>
          <cell r="N1019">
            <v>1361.7</v>
          </cell>
        </row>
        <row r="1020">
          <cell r="A1020" t="str">
            <v>ORD201018</v>
          </cell>
          <cell r="B1020">
            <v>45115</v>
          </cell>
          <cell r="C1020" t="str">
            <v>C77499</v>
          </cell>
          <cell r="D1020" t="str">
            <v>Laptop</v>
          </cell>
          <cell r="E1020">
            <v>3</v>
          </cell>
          <cell r="F1020">
            <v>182.48</v>
          </cell>
          <cell r="G1020" t="str">
            <v>209 Main St</v>
          </cell>
          <cell r="H1020" t="str">
            <v>Cash</v>
          </cell>
          <cell r="I1020" t="str">
            <v>Delivered</v>
          </cell>
          <cell r="J1020" t="str">
            <v>TRK20703086</v>
          </cell>
          <cell r="K1020">
            <v>3</v>
          </cell>
          <cell r="L1020" t="str">
            <v>No Coupon</v>
          </cell>
          <cell r="M1020" t="str">
            <v>Instagram</v>
          </cell>
          <cell r="N1020">
            <v>547.43999999999994</v>
          </cell>
        </row>
        <row r="1021">
          <cell r="A1021" t="str">
            <v>ORD201019</v>
          </cell>
          <cell r="B1021">
            <v>45388</v>
          </cell>
          <cell r="C1021" t="str">
            <v>C28386</v>
          </cell>
          <cell r="D1021" t="str">
            <v>Desk</v>
          </cell>
          <cell r="E1021">
            <v>1</v>
          </cell>
          <cell r="F1021">
            <v>277.08999999999997</v>
          </cell>
          <cell r="G1021" t="str">
            <v>293 Main St</v>
          </cell>
          <cell r="H1021" t="str">
            <v>Cash</v>
          </cell>
          <cell r="I1021" t="str">
            <v>Returned</v>
          </cell>
          <cell r="J1021" t="str">
            <v>TRK32954229</v>
          </cell>
          <cell r="K1021">
            <v>2</v>
          </cell>
          <cell r="L1021" t="str">
            <v>SAVE10</v>
          </cell>
          <cell r="M1021" t="str">
            <v>Referral</v>
          </cell>
          <cell r="N1021">
            <v>277.08999999999997</v>
          </cell>
        </row>
        <row r="1022">
          <cell r="A1022" t="str">
            <v>ORD201020</v>
          </cell>
          <cell r="B1022">
            <v>45404</v>
          </cell>
          <cell r="C1022" t="str">
            <v>C50211</v>
          </cell>
          <cell r="D1022" t="str">
            <v>Tablet</v>
          </cell>
          <cell r="E1022">
            <v>2</v>
          </cell>
          <cell r="F1022">
            <v>26.5</v>
          </cell>
          <cell r="G1022" t="str">
            <v>312 Main St</v>
          </cell>
          <cell r="H1022" t="str">
            <v>Online</v>
          </cell>
          <cell r="I1022" t="str">
            <v>Delivered</v>
          </cell>
          <cell r="J1022" t="str">
            <v>TRK47787981</v>
          </cell>
          <cell r="K1022">
            <v>3</v>
          </cell>
          <cell r="L1022" t="str">
            <v>SAVE10</v>
          </cell>
          <cell r="M1022" t="str">
            <v>Instagram</v>
          </cell>
          <cell r="N1022">
            <v>53</v>
          </cell>
        </row>
        <row r="1023">
          <cell r="A1023" t="str">
            <v>ORD201021</v>
          </cell>
          <cell r="B1023">
            <v>45222</v>
          </cell>
          <cell r="C1023" t="str">
            <v>C74519</v>
          </cell>
          <cell r="D1023" t="str">
            <v>Phone</v>
          </cell>
          <cell r="E1023">
            <v>3</v>
          </cell>
          <cell r="F1023">
            <v>315.27</v>
          </cell>
          <cell r="G1023" t="str">
            <v>309 Main St</v>
          </cell>
          <cell r="H1023" t="str">
            <v>Credit Card</v>
          </cell>
          <cell r="I1023" t="str">
            <v>Cancelled</v>
          </cell>
          <cell r="J1023" t="str">
            <v>TRK97351945</v>
          </cell>
          <cell r="K1023">
            <v>4</v>
          </cell>
          <cell r="L1023" t="str">
            <v>SAVE10</v>
          </cell>
          <cell r="M1023" t="str">
            <v>Email</v>
          </cell>
          <cell r="N1023">
            <v>945.81</v>
          </cell>
        </row>
        <row r="1024">
          <cell r="A1024" t="str">
            <v>ORD201022</v>
          </cell>
          <cell r="B1024">
            <v>45712</v>
          </cell>
          <cell r="C1024" t="str">
            <v>C19071</v>
          </cell>
          <cell r="D1024" t="str">
            <v>Tablet</v>
          </cell>
          <cell r="E1024">
            <v>3</v>
          </cell>
          <cell r="F1024">
            <v>450.98</v>
          </cell>
          <cell r="G1024" t="str">
            <v>396 Main St</v>
          </cell>
          <cell r="H1024" t="str">
            <v>Credit Card</v>
          </cell>
          <cell r="I1024" t="str">
            <v>Shipped</v>
          </cell>
          <cell r="J1024" t="str">
            <v>TRK66537096</v>
          </cell>
          <cell r="K1024">
            <v>8</v>
          </cell>
          <cell r="L1024" t="str">
            <v>SAVE10</v>
          </cell>
          <cell r="M1024" t="str">
            <v>Referral</v>
          </cell>
          <cell r="N1024">
            <v>1352.94</v>
          </cell>
        </row>
        <row r="1025">
          <cell r="A1025" t="str">
            <v>ORD201023</v>
          </cell>
          <cell r="B1025">
            <v>45558</v>
          </cell>
          <cell r="C1025" t="str">
            <v>C65251</v>
          </cell>
          <cell r="D1025" t="str">
            <v>Laptop</v>
          </cell>
          <cell r="E1025">
            <v>5</v>
          </cell>
          <cell r="F1025">
            <v>233.67</v>
          </cell>
          <cell r="G1025" t="str">
            <v>291 Main St</v>
          </cell>
          <cell r="H1025" t="str">
            <v>Cash</v>
          </cell>
          <cell r="I1025" t="str">
            <v>Shipped</v>
          </cell>
          <cell r="J1025" t="str">
            <v>TRK32059025</v>
          </cell>
          <cell r="K1025">
            <v>10</v>
          </cell>
          <cell r="L1025" t="str">
            <v>No Coupon</v>
          </cell>
          <cell r="M1025" t="str">
            <v>Referral</v>
          </cell>
          <cell r="N1025">
            <v>1168.3499999999999</v>
          </cell>
        </row>
        <row r="1026">
          <cell r="A1026" t="str">
            <v>ORD201024</v>
          </cell>
          <cell r="B1026">
            <v>45320</v>
          </cell>
          <cell r="C1026" t="str">
            <v>C90612</v>
          </cell>
          <cell r="D1026" t="str">
            <v>Chair</v>
          </cell>
          <cell r="E1026">
            <v>3</v>
          </cell>
          <cell r="F1026">
            <v>367.75</v>
          </cell>
          <cell r="G1026" t="str">
            <v>731 Main St</v>
          </cell>
          <cell r="H1026" t="str">
            <v>Cash</v>
          </cell>
          <cell r="I1026" t="str">
            <v>Pending</v>
          </cell>
          <cell r="J1026" t="str">
            <v>TRK93022878</v>
          </cell>
          <cell r="K1026">
            <v>7</v>
          </cell>
          <cell r="L1026" t="str">
            <v>FREESHIP</v>
          </cell>
          <cell r="M1026" t="str">
            <v>Facebook</v>
          </cell>
          <cell r="N1026">
            <v>1103.25</v>
          </cell>
        </row>
        <row r="1027">
          <cell r="A1027" t="str">
            <v>ORD201025</v>
          </cell>
          <cell r="B1027">
            <v>45794</v>
          </cell>
          <cell r="C1027" t="str">
            <v>C28406</v>
          </cell>
          <cell r="D1027" t="str">
            <v>Chair</v>
          </cell>
          <cell r="E1027">
            <v>1</v>
          </cell>
          <cell r="F1027">
            <v>23.53</v>
          </cell>
          <cell r="G1027" t="str">
            <v>174 Main St</v>
          </cell>
          <cell r="H1027" t="str">
            <v>Gift Card</v>
          </cell>
          <cell r="I1027" t="str">
            <v>Delivered</v>
          </cell>
          <cell r="J1027" t="str">
            <v>TRK98841457</v>
          </cell>
          <cell r="K1027">
            <v>2</v>
          </cell>
          <cell r="L1027" t="str">
            <v>FREESHIP</v>
          </cell>
          <cell r="M1027" t="str">
            <v>Instagram</v>
          </cell>
          <cell r="N1027">
            <v>23.53</v>
          </cell>
        </row>
        <row r="1028">
          <cell r="A1028" t="str">
            <v>ORD201026</v>
          </cell>
          <cell r="B1028">
            <v>45047</v>
          </cell>
          <cell r="C1028" t="str">
            <v>C55454</v>
          </cell>
          <cell r="D1028" t="str">
            <v>Monitor</v>
          </cell>
          <cell r="E1028">
            <v>1</v>
          </cell>
          <cell r="F1028">
            <v>677.48</v>
          </cell>
          <cell r="G1028" t="str">
            <v>807 Main St</v>
          </cell>
          <cell r="H1028" t="str">
            <v>Online</v>
          </cell>
          <cell r="I1028" t="str">
            <v>Delivered</v>
          </cell>
          <cell r="J1028" t="str">
            <v>TRK13281370</v>
          </cell>
          <cell r="K1028">
            <v>1</v>
          </cell>
          <cell r="L1028" t="str">
            <v>WINTER15</v>
          </cell>
          <cell r="M1028" t="str">
            <v>Facebook</v>
          </cell>
          <cell r="N1028">
            <v>677.48</v>
          </cell>
        </row>
        <row r="1029">
          <cell r="A1029" t="str">
            <v>ORD201027</v>
          </cell>
          <cell r="B1029">
            <v>45433</v>
          </cell>
          <cell r="C1029" t="str">
            <v>C93467</v>
          </cell>
          <cell r="D1029" t="str">
            <v>Laptop</v>
          </cell>
          <cell r="E1029">
            <v>4</v>
          </cell>
          <cell r="F1029">
            <v>554.83000000000004</v>
          </cell>
          <cell r="G1029" t="str">
            <v>983 Main St</v>
          </cell>
          <cell r="H1029" t="str">
            <v>Cash</v>
          </cell>
          <cell r="I1029" t="str">
            <v>Returned</v>
          </cell>
          <cell r="J1029" t="str">
            <v>TRK77377373</v>
          </cell>
          <cell r="K1029">
            <v>6</v>
          </cell>
          <cell r="L1029" t="str">
            <v>No Coupon</v>
          </cell>
          <cell r="M1029" t="str">
            <v>Google</v>
          </cell>
          <cell r="N1029">
            <v>2219.3200000000002</v>
          </cell>
        </row>
        <row r="1030">
          <cell r="A1030" t="str">
            <v>ORD201028</v>
          </cell>
          <cell r="B1030">
            <v>44974</v>
          </cell>
          <cell r="C1030" t="str">
            <v>C60042</v>
          </cell>
          <cell r="D1030" t="str">
            <v>Desk</v>
          </cell>
          <cell r="E1030">
            <v>4</v>
          </cell>
          <cell r="F1030">
            <v>440.31</v>
          </cell>
          <cell r="G1030" t="str">
            <v>610 Main St</v>
          </cell>
          <cell r="H1030" t="str">
            <v>Cash</v>
          </cell>
          <cell r="I1030" t="str">
            <v>Cancelled</v>
          </cell>
          <cell r="J1030" t="str">
            <v>TRK84651559</v>
          </cell>
          <cell r="K1030">
            <v>6</v>
          </cell>
          <cell r="L1030" t="str">
            <v>No Coupon</v>
          </cell>
          <cell r="M1030" t="str">
            <v>Instagram</v>
          </cell>
          <cell r="N1030">
            <v>1761.24</v>
          </cell>
        </row>
        <row r="1031">
          <cell r="A1031" t="str">
            <v>ORD201029</v>
          </cell>
          <cell r="B1031">
            <v>45717</v>
          </cell>
          <cell r="C1031" t="str">
            <v>C44733</v>
          </cell>
          <cell r="D1031" t="str">
            <v>Desk</v>
          </cell>
          <cell r="E1031">
            <v>1</v>
          </cell>
          <cell r="F1031">
            <v>87.06</v>
          </cell>
          <cell r="G1031" t="str">
            <v>851 Main St</v>
          </cell>
          <cell r="H1031" t="str">
            <v>Credit Card</v>
          </cell>
          <cell r="I1031" t="str">
            <v>Shipped</v>
          </cell>
          <cell r="J1031" t="str">
            <v>TRK41500198</v>
          </cell>
          <cell r="K1031">
            <v>4</v>
          </cell>
          <cell r="L1031" t="str">
            <v>FREESHIP</v>
          </cell>
          <cell r="M1031" t="str">
            <v>Email</v>
          </cell>
          <cell r="N1031">
            <v>87.06</v>
          </cell>
        </row>
        <row r="1032">
          <cell r="A1032" t="str">
            <v>ORD201030</v>
          </cell>
          <cell r="B1032">
            <v>45201</v>
          </cell>
          <cell r="C1032" t="str">
            <v>C61773</v>
          </cell>
          <cell r="D1032" t="str">
            <v>Phone</v>
          </cell>
          <cell r="E1032">
            <v>4</v>
          </cell>
          <cell r="F1032">
            <v>245.28</v>
          </cell>
          <cell r="G1032" t="str">
            <v>176 Main St</v>
          </cell>
          <cell r="H1032" t="str">
            <v>Credit Card</v>
          </cell>
          <cell r="I1032" t="str">
            <v>Delivered</v>
          </cell>
          <cell r="J1032" t="str">
            <v>TRK12936357</v>
          </cell>
          <cell r="K1032">
            <v>6</v>
          </cell>
          <cell r="L1032" t="str">
            <v>WINTER15</v>
          </cell>
          <cell r="M1032" t="str">
            <v>Email</v>
          </cell>
          <cell r="N1032">
            <v>981.12</v>
          </cell>
        </row>
        <row r="1033">
          <cell r="A1033" t="str">
            <v>ORD201031</v>
          </cell>
          <cell r="B1033">
            <v>44985</v>
          </cell>
          <cell r="C1033" t="str">
            <v>C59183</v>
          </cell>
          <cell r="D1033" t="str">
            <v>Phone</v>
          </cell>
          <cell r="E1033">
            <v>5</v>
          </cell>
          <cell r="F1033">
            <v>664.51</v>
          </cell>
          <cell r="G1033" t="str">
            <v>136 Main St</v>
          </cell>
          <cell r="H1033" t="str">
            <v>Debit Card</v>
          </cell>
          <cell r="I1033" t="str">
            <v>Pending</v>
          </cell>
          <cell r="J1033" t="str">
            <v>TRK18129706</v>
          </cell>
          <cell r="K1033">
            <v>8</v>
          </cell>
          <cell r="L1033" t="str">
            <v>SAVE10</v>
          </cell>
          <cell r="M1033" t="str">
            <v>Email</v>
          </cell>
          <cell r="N1033">
            <v>3322.55</v>
          </cell>
        </row>
        <row r="1034">
          <cell r="A1034" t="str">
            <v>ORD201032</v>
          </cell>
          <cell r="B1034">
            <v>45036</v>
          </cell>
          <cell r="C1034" t="str">
            <v>C26188</v>
          </cell>
          <cell r="D1034" t="str">
            <v>Chair</v>
          </cell>
          <cell r="E1034">
            <v>1</v>
          </cell>
          <cell r="F1034">
            <v>618.67999999999995</v>
          </cell>
          <cell r="G1034" t="str">
            <v>990 Main St</v>
          </cell>
          <cell r="H1034" t="str">
            <v>Online</v>
          </cell>
          <cell r="I1034" t="str">
            <v>Delivered</v>
          </cell>
          <cell r="J1034" t="str">
            <v>TRK61634201</v>
          </cell>
          <cell r="K1034">
            <v>6</v>
          </cell>
          <cell r="L1034" t="str">
            <v>WINTER15</v>
          </cell>
          <cell r="M1034" t="str">
            <v>Referral</v>
          </cell>
          <cell r="N1034">
            <v>618.67999999999995</v>
          </cell>
        </row>
        <row r="1035">
          <cell r="A1035" t="str">
            <v>ORD201033</v>
          </cell>
          <cell r="B1035">
            <v>45650</v>
          </cell>
          <cell r="C1035" t="str">
            <v>C20338</v>
          </cell>
          <cell r="D1035" t="str">
            <v>Monitor</v>
          </cell>
          <cell r="E1035">
            <v>1</v>
          </cell>
          <cell r="F1035">
            <v>370.85</v>
          </cell>
          <cell r="G1035" t="str">
            <v>331 Main St</v>
          </cell>
          <cell r="H1035" t="str">
            <v>Gift Card</v>
          </cell>
          <cell r="I1035" t="str">
            <v>Delivered</v>
          </cell>
          <cell r="J1035" t="str">
            <v>TRK30654048</v>
          </cell>
          <cell r="K1035">
            <v>2</v>
          </cell>
          <cell r="L1035" t="str">
            <v>FREESHIP</v>
          </cell>
          <cell r="M1035" t="str">
            <v>Referral</v>
          </cell>
          <cell r="N1035">
            <v>370.85</v>
          </cell>
        </row>
        <row r="1036">
          <cell r="A1036" t="str">
            <v>ORD201034</v>
          </cell>
          <cell r="B1036">
            <v>45459</v>
          </cell>
          <cell r="C1036" t="str">
            <v>C84524</v>
          </cell>
          <cell r="D1036" t="str">
            <v>Printer</v>
          </cell>
          <cell r="E1036">
            <v>4</v>
          </cell>
          <cell r="F1036">
            <v>517.98</v>
          </cell>
          <cell r="G1036" t="str">
            <v>766 Main St</v>
          </cell>
          <cell r="H1036" t="str">
            <v>Cash</v>
          </cell>
          <cell r="I1036" t="str">
            <v>Cancelled</v>
          </cell>
          <cell r="J1036" t="str">
            <v>TRK76751888</v>
          </cell>
          <cell r="K1036">
            <v>8</v>
          </cell>
          <cell r="L1036" t="str">
            <v>FREESHIP</v>
          </cell>
          <cell r="M1036" t="str">
            <v>Facebook</v>
          </cell>
          <cell r="N1036">
            <v>2071.92</v>
          </cell>
        </row>
        <row r="1037">
          <cell r="A1037" t="str">
            <v>ORD201035</v>
          </cell>
          <cell r="B1037">
            <v>45242</v>
          </cell>
          <cell r="C1037" t="str">
            <v>C70315</v>
          </cell>
          <cell r="D1037" t="str">
            <v>Laptop</v>
          </cell>
          <cell r="E1037">
            <v>4</v>
          </cell>
          <cell r="F1037">
            <v>506.11</v>
          </cell>
          <cell r="G1037" t="str">
            <v>911 Main St</v>
          </cell>
          <cell r="H1037" t="str">
            <v>Cash</v>
          </cell>
          <cell r="I1037" t="str">
            <v>Cancelled</v>
          </cell>
          <cell r="J1037" t="str">
            <v>TRK97732085</v>
          </cell>
          <cell r="K1037">
            <v>5</v>
          </cell>
          <cell r="L1037" t="str">
            <v>No Coupon</v>
          </cell>
          <cell r="M1037" t="str">
            <v>Referral</v>
          </cell>
          <cell r="N1037">
            <v>2024.44</v>
          </cell>
        </row>
        <row r="1038">
          <cell r="A1038" t="str">
            <v>ORD201036</v>
          </cell>
          <cell r="B1038">
            <v>45443</v>
          </cell>
          <cell r="C1038" t="str">
            <v>C98278</v>
          </cell>
          <cell r="D1038" t="str">
            <v>Phone</v>
          </cell>
          <cell r="E1038">
            <v>3</v>
          </cell>
          <cell r="F1038">
            <v>413.83</v>
          </cell>
          <cell r="G1038" t="str">
            <v>552 Main St</v>
          </cell>
          <cell r="H1038" t="str">
            <v>Gift Card</v>
          </cell>
          <cell r="I1038" t="str">
            <v>Shipped</v>
          </cell>
          <cell r="J1038" t="str">
            <v>TRK49684737</v>
          </cell>
          <cell r="K1038">
            <v>8</v>
          </cell>
          <cell r="L1038" t="str">
            <v>SAVE10</v>
          </cell>
          <cell r="M1038" t="str">
            <v>Facebook</v>
          </cell>
          <cell r="N1038">
            <v>1241.49</v>
          </cell>
        </row>
        <row r="1039">
          <cell r="A1039" t="str">
            <v>ORD201037</v>
          </cell>
          <cell r="B1039">
            <v>45273</v>
          </cell>
          <cell r="C1039" t="str">
            <v>C32347</v>
          </cell>
          <cell r="D1039" t="str">
            <v>Printer</v>
          </cell>
          <cell r="E1039">
            <v>1</v>
          </cell>
          <cell r="F1039">
            <v>249.81</v>
          </cell>
          <cell r="G1039" t="str">
            <v>408 Main St</v>
          </cell>
          <cell r="H1039" t="str">
            <v>Cash</v>
          </cell>
          <cell r="I1039" t="str">
            <v>Pending</v>
          </cell>
          <cell r="J1039" t="str">
            <v>TRK54073964</v>
          </cell>
          <cell r="K1039">
            <v>1</v>
          </cell>
          <cell r="L1039" t="str">
            <v>SAVE10</v>
          </cell>
          <cell r="M1039" t="str">
            <v>Google</v>
          </cell>
          <cell r="N1039">
            <v>249.81</v>
          </cell>
        </row>
        <row r="1040">
          <cell r="A1040" t="str">
            <v>ORD201038</v>
          </cell>
          <cell r="B1040">
            <v>45731</v>
          </cell>
          <cell r="C1040" t="str">
            <v>C77961</v>
          </cell>
          <cell r="D1040" t="str">
            <v>Tablet</v>
          </cell>
          <cell r="E1040">
            <v>3</v>
          </cell>
          <cell r="F1040">
            <v>362.53</v>
          </cell>
          <cell r="G1040" t="str">
            <v>422 Main St</v>
          </cell>
          <cell r="H1040" t="str">
            <v>Debit Card</v>
          </cell>
          <cell r="I1040" t="str">
            <v>Returned</v>
          </cell>
          <cell r="J1040" t="str">
            <v>TRK28969024</v>
          </cell>
          <cell r="K1040">
            <v>5</v>
          </cell>
          <cell r="L1040" t="str">
            <v>No Coupon</v>
          </cell>
          <cell r="M1040" t="str">
            <v>Facebook</v>
          </cell>
          <cell r="N1040">
            <v>1087.5899999999999</v>
          </cell>
        </row>
        <row r="1041">
          <cell r="A1041" t="str">
            <v>ORD201039</v>
          </cell>
          <cell r="B1041">
            <v>45836</v>
          </cell>
          <cell r="C1041" t="str">
            <v>C49137</v>
          </cell>
          <cell r="D1041" t="str">
            <v>Desk</v>
          </cell>
          <cell r="E1041">
            <v>2</v>
          </cell>
          <cell r="F1041">
            <v>299.23</v>
          </cell>
          <cell r="G1041" t="str">
            <v>177 Main St</v>
          </cell>
          <cell r="H1041" t="str">
            <v>Credit Card</v>
          </cell>
          <cell r="I1041" t="str">
            <v>Cancelled</v>
          </cell>
          <cell r="J1041" t="str">
            <v>TRK79362428</v>
          </cell>
          <cell r="K1041">
            <v>2</v>
          </cell>
          <cell r="L1041" t="str">
            <v>WINTER15</v>
          </cell>
          <cell r="M1041" t="str">
            <v>Instagram</v>
          </cell>
          <cell r="N1041">
            <v>598.46</v>
          </cell>
        </row>
        <row r="1042">
          <cell r="A1042" t="str">
            <v>ORD201040</v>
          </cell>
          <cell r="B1042">
            <v>45245</v>
          </cell>
          <cell r="C1042" t="str">
            <v>C13169</v>
          </cell>
          <cell r="D1042" t="str">
            <v>Tablet</v>
          </cell>
          <cell r="E1042">
            <v>1</v>
          </cell>
          <cell r="F1042">
            <v>536.07000000000005</v>
          </cell>
          <cell r="G1042" t="str">
            <v>932 Main St</v>
          </cell>
          <cell r="H1042" t="str">
            <v>Debit Card</v>
          </cell>
          <cell r="I1042" t="str">
            <v>Delivered</v>
          </cell>
          <cell r="J1042" t="str">
            <v>TRK66288666</v>
          </cell>
          <cell r="K1042">
            <v>5</v>
          </cell>
          <cell r="L1042" t="str">
            <v>FREESHIP</v>
          </cell>
          <cell r="M1042" t="str">
            <v>Google</v>
          </cell>
          <cell r="N1042">
            <v>536.07000000000005</v>
          </cell>
        </row>
        <row r="1043">
          <cell r="A1043" t="str">
            <v>ORD201041</v>
          </cell>
          <cell r="B1043">
            <v>44968</v>
          </cell>
          <cell r="C1043" t="str">
            <v>C21167</v>
          </cell>
          <cell r="D1043" t="str">
            <v>Monitor</v>
          </cell>
          <cell r="E1043">
            <v>4</v>
          </cell>
          <cell r="F1043">
            <v>558.9</v>
          </cell>
          <cell r="G1043" t="str">
            <v>948 Main St</v>
          </cell>
          <cell r="H1043" t="str">
            <v>Gift Card</v>
          </cell>
          <cell r="I1043" t="str">
            <v>Shipped</v>
          </cell>
          <cell r="J1043" t="str">
            <v>TRK97737564</v>
          </cell>
          <cell r="K1043">
            <v>9</v>
          </cell>
          <cell r="L1043" t="str">
            <v>WINTER15</v>
          </cell>
          <cell r="M1043" t="str">
            <v>Google</v>
          </cell>
          <cell r="N1043">
            <v>2235.6</v>
          </cell>
        </row>
        <row r="1044">
          <cell r="A1044" t="str">
            <v>ORD201042</v>
          </cell>
          <cell r="B1044">
            <v>45635</v>
          </cell>
          <cell r="C1044" t="str">
            <v>C59724</v>
          </cell>
          <cell r="D1044" t="str">
            <v>Tablet</v>
          </cell>
          <cell r="E1044">
            <v>2</v>
          </cell>
          <cell r="F1044">
            <v>409.75</v>
          </cell>
          <cell r="G1044" t="str">
            <v>414 Main St</v>
          </cell>
          <cell r="H1044" t="str">
            <v>Debit Card</v>
          </cell>
          <cell r="I1044" t="str">
            <v>Shipped</v>
          </cell>
          <cell r="J1044" t="str">
            <v>TRK67878272</v>
          </cell>
          <cell r="K1044">
            <v>2</v>
          </cell>
          <cell r="L1044" t="str">
            <v>WINTER15</v>
          </cell>
          <cell r="M1044" t="str">
            <v>Facebook</v>
          </cell>
          <cell r="N1044">
            <v>819.5</v>
          </cell>
        </row>
        <row r="1045">
          <cell r="A1045" t="str">
            <v>ORD201043</v>
          </cell>
          <cell r="B1045">
            <v>45668</v>
          </cell>
          <cell r="C1045" t="str">
            <v>C43965</v>
          </cell>
          <cell r="D1045" t="str">
            <v>Tablet</v>
          </cell>
          <cell r="E1045">
            <v>2</v>
          </cell>
          <cell r="F1045">
            <v>179.96</v>
          </cell>
          <cell r="G1045" t="str">
            <v>675 Main St</v>
          </cell>
          <cell r="H1045" t="str">
            <v>Gift Card</v>
          </cell>
          <cell r="I1045" t="str">
            <v>Shipped</v>
          </cell>
          <cell r="J1045" t="str">
            <v>TRK94346739</v>
          </cell>
          <cell r="K1045">
            <v>5</v>
          </cell>
          <cell r="L1045" t="str">
            <v>No Coupon</v>
          </cell>
          <cell r="M1045" t="str">
            <v>Instagram</v>
          </cell>
          <cell r="N1045">
            <v>359.92</v>
          </cell>
        </row>
        <row r="1046">
          <cell r="A1046" t="str">
            <v>ORD201044</v>
          </cell>
          <cell r="B1046">
            <v>45830</v>
          </cell>
          <cell r="C1046" t="str">
            <v>C63018</v>
          </cell>
          <cell r="D1046" t="str">
            <v>Printer</v>
          </cell>
          <cell r="E1046">
            <v>1</v>
          </cell>
          <cell r="F1046">
            <v>38.49</v>
          </cell>
          <cell r="G1046" t="str">
            <v>215 Main St</v>
          </cell>
          <cell r="H1046" t="str">
            <v>Credit Card</v>
          </cell>
          <cell r="I1046" t="str">
            <v>Delivered</v>
          </cell>
          <cell r="J1046" t="str">
            <v>TRK52335337</v>
          </cell>
          <cell r="K1046">
            <v>4</v>
          </cell>
          <cell r="L1046" t="str">
            <v>FREESHIP</v>
          </cell>
          <cell r="M1046" t="str">
            <v>Referral</v>
          </cell>
          <cell r="N1046">
            <v>38.49</v>
          </cell>
        </row>
        <row r="1047">
          <cell r="A1047" t="str">
            <v>ORD201045</v>
          </cell>
          <cell r="B1047">
            <v>45555</v>
          </cell>
          <cell r="C1047" t="str">
            <v>C11893</v>
          </cell>
          <cell r="D1047" t="str">
            <v>Laptop</v>
          </cell>
          <cell r="E1047">
            <v>5</v>
          </cell>
          <cell r="F1047">
            <v>316.39999999999998</v>
          </cell>
          <cell r="G1047" t="str">
            <v>671 Main St</v>
          </cell>
          <cell r="H1047" t="str">
            <v>Gift Card</v>
          </cell>
          <cell r="I1047" t="str">
            <v>Returned</v>
          </cell>
          <cell r="J1047" t="str">
            <v>TRK72012758</v>
          </cell>
          <cell r="K1047">
            <v>7</v>
          </cell>
          <cell r="L1047" t="str">
            <v>No Coupon</v>
          </cell>
          <cell r="M1047" t="str">
            <v>Email</v>
          </cell>
          <cell r="N1047">
            <v>1582</v>
          </cell>
        </row>
        <row r="1048">
          <cell r="A1048" t="str">
            <v>ORD201046</v>
          </cell>
          <cell r="B1048">
            <v>45572</v>
          </cell>
          <cell r="C1048" t="str">
            <v>C85421</v>
          </cell>
          <cell r="D1048" t="str">
            <v>Tablet</v>
          </cell>
          <cell r="E1048">
            <v>3</v>
          </cell>
          <cell r="F1048">
            <v>547.15</v>
          </cell>
          <cell r="G1048" t="str">
            <v>466 Main St</v>
          </cell>
          <cell r="H1048" t="str">
            <v>Online</v>
          </cell>
          <cell r="I1048" t="str">
            <v>Shipped</v>
          </cell>
          <cell r="J1048" t="str">
            <v>TRK16524006</v>
          </cell>
          <cell r="K1048">
            <v>4</v>
          </cell>
          <cell r="L1048" t="str">
            <v>WINTER15</v>
          </cell>
          <cell r="M1048" t="str">
            <v>Instagram</v>
          </cell>
          <cell r="N1048">
            <v>1641.4499999999998</v>
          </cell>
        </row>
        <row r="1049">
          <cell r="A1049" t="str">
            <v>ORD201047</v>
          </cell>
          <cell r="B1049">
            <v>45100</v>
          </cell>
          <cell r="C1049" t="str">
            <v>C81726</v>
          </cell>
          <cell r="D1049" t="str">
            <v>Chair</v>
          </cell>
          <cell r="E1049">
            <v>4</v>
          </cell>
          <cell r="F1049">
            <v>540.34</v>
          </cell>
          <cell r="G1049" t="str">
            <v>394 Main St</v>
          </cell>
          <cell r="H1049" t="str">
            <v>Gift Card</v>
          </cell>
          <cell r="I1049" t="str">
            <v>Shipped</v>
          </cell>
          <cell r="J1049" t="str">
            <v>TRK69872994</v>
          </cell>
          <cell r="K1049">
            <v>6</v>
          </cell>
          <cell r="L1049" t="str">
            <v>WINTER15</v>
          </cell>
          <cell r="M1049" t="str">
            <v>Referral</v>
          </cell>
          <cell r="N1049">
            <v>2161.36</v>
          </cell>
        </row>
        <row r="1050">
          <cell r="A1050" t="str">
            <v>ORD201048</v>
          </cell>
          <cell r="B1050">
            <v>45544</v>
          </cell>
          <cell r="C1050" t="str">
            <v>C57601</v>
          </cell>
          <cell r="D1050" t="str">
            <v>Monitor</v>
          </cell>
          <cell r="E1050">
            <v>4</v>
          </cell>
          <cell r="F1050">
            <v>73.650000000000006</v>
          </cell>
          <cell r="G1050" t="str">
            <v>889 Main St</v>
          </cell>
          <cell r="H1050" t="str">
            <v>Debit Card</v>
          </cell>
          <cell r="I1050" t="str">
            <v>Shipped</v>
          </cell>
          <cell r="J1050" t="str">
            <v>TRK21153699</v>
          </cell>
          <cell r="K1050">
            <v>9</v>
          </cell>
          <cell r="L1050" t="str">
            <v>No Coupon</v>
          </cell>
          <cell r="M1050" t="str">
            <v>Google</v>
          </cell>
          <cell r="N1050">
            <v>294.60000000000002</v>
          </cell>
        </row>
        <row r="1051">
          <cell r="A1051" t="str">
            <v>ORD201049</v>
          </cell>
          <cell r="B1051">
            <v>45491</v>
          </cell>
          <cell r="C1051" t="str">
            <v>C60575</v>
          </cell>
          <cell r="D1051" t="str">
            <v>Desk</v>
          </cell>
          <cell r="E1051">
            <v>5</v>
          </cell>
          <cell r="F1051">
            <v>391.86</v>
          </cell>
          <cell r="G1051" t="str">
            <v>587 Main St</v>
          </cell>
          <cell r="H1051" t="str">
            <v>Credit Card</v>
          </cell>
          <cell r="I1051" t="str">
            <v>Shipped</v>
          </cell>
          <cell r="J1051" t="str">
            <v>TRK44468232</v>
          </cell>
          <cell r="K1051">
            <v>6</v>
          </cell>
          <cell r="L1051" t="str">
            <v>No Coupon</v>
          </cell>
          <cell r="M1051" t="str">
            <v>Instagram</v>
          </cell>
          <cell r="N1051">
            <v>1959.3000000000002</v>
          </cell>
        </row>
        <row r="1052">
          <cell r="A1052" t="str">
            <v>ORD201050</v>
          </cell>
          <cell r="B1052">
            <v>45158</v>
          </cell>
          <cell r="C1052" t="str">
            <v>C70659</v>
          </cell>
          <cell r="D1052" t="str">
            <v>Laptop</v>
          </cell>
          <cell r="E1052">
            <v>5</v>
          </cell>
          <cell r="F1052">
            <v>69.7</v>
          </cell>
          <cell r="G1052" t="str">
            <v>722 Main St</v>
          </cell>
          <cell r="H1052" t="str">
            <v>Online</v>
          </cell>
          <cell r="I1052" t="str">
            <v>Returned</v>
          </cell>
          <cell r="J1052" t="str">
            <v>TRK49663597</v>
          </cell>
          <cell r="K1052">
            <v>9</v>
          </cell>
          <cell r="L1052" t="str">
            <v>No Coupon</v>
          </cell>
          <cell r="M1052" t="str">
            <v>Instagram</v>
          </cell>
          <cell r="N1052">
            <v>348.5</v>
          </cell>
        </row>
        <row r="1053">
          <cell r="A1053" t="str">
            <v>ORD201051</v>
          </cell>
          <cell r="B1053">
            <v>45721</v>
          </cell>
          <cell r="C1053" t="str">
            <v>C35043</v>
          </cell>
          <cell r="D1053" t="str">
            <v>Monitor</v>
          </cell>
          <cell r="E1053">
            <v>5</v>
          </cell>
          <cell r="F1053">
            <v>26.43</v>
          </cell>
          <cell r="G1053" t="str">
            <v>820 Main St</v>
          </cell>
          <cell r="H1053" t="str">
            <v>Gift Card</v>
          </cell>
          <cell r="I1053" t="str">
            <v>Shipped</v>
          </cell>
          <cell r="J1053" t="str">
            <v>TRK65097450</v>
          </cell>
          <cell r="K1053">
            <v>5</v>
          </cell>
          <cell r="L1053" t="str">
            <v>FREESHIP</v>
          </cell>
          <cell r="M1053" t="str">
            <v>Facebook</v>
          </cell>
          <cell r="N1053">
            <v>132.15</v>
          </cell>
        </row>
        <row r="1054">
          <cell r="A1054" t="str">
            <v>ORD201052</v>
          </cell>
          <cell r="B1054">
            <v>45180</v>
          </cell>
          <cell r="C1054" t="str">
            <v>C12301</v>
          </cell>
          <cell r="D1054" t="str">
            <v>Tablet</v>
          </cell>
          <cell r="E1054">
            <v>1</v>
          </cell>
          <cell r="F1054">
            <v>531.74</v>
          </cell>
          <cell r="G1054" t="str">
            <v>493 Main St</v>
          </cell>
          <cell r="H1054" t="str">
            <v>Online</v>
          </cell>
          <cell r="I1054" t="str">
            <v>Shipped</v>
          </cell>
          <cell r="J1054" t="str">
            <v>TRK25145796</v>
          </cell>
          <cell r="K1054">
            <v>1</v>
          </cell>
          <cell r="L1054" t="str">
            <v>WINTER15</v>
          </cell>
          <cell r="M1054" t="str">
            <v>Google</v>
          </cell>
          <cell r="N1054">
            <v>531.74</v>
          </cell>
        </row>
        <row r="1055">
          <cell r="A1055" t="str">
            <v>ORD201053</v>
          </cell>
          <cell r="B1055">
            <v>45550</v>
          </cell>
          <cell r="C1055" t="str">
            <v>C32798</v>
          </cell>
          <cell r="D1055" t="str">
            <v>Phone</v>
          </cell>
          <cell r="E1055">
            <v>2</v>
          </cell>
          <cell r="F1055">
            <v>496.62</v>
          </cell>
          <cell r="G1055" t="str">
            <v>679 Main St</v>
          </cell>
          <cell r="H1055" t="str">
            <v>Online</v>
          </cell>
          <cell r="I1055" t="str">
            <v>Pending</v>
          </cell>
          <cell r="J1055" t="str">
            <v>TRK37375451</v>
          </cell>
          <cell r="K1055">
            <v>2</v>
          </cell>
          <cell r="L1055" t="str">
            <v>SAVE10</v>
          </cell>
          <cell r="M1055" t="str">
            <v>Instagram</v>
          </cell>
          <cell r="N1055">
            <v>993.24</v>
          </cell>
        </row>
        <row r="1056">
          <cell r="A1056" t="str">
            <v>ORD201054</v>
          </cell>
          <cell r="B1056">
            <v>45259</v>
          </cell>
          <cell r="C1056" t="str">
            <v>C42949</v>
          </cell>
          <cell r="D1056" t="str">
            <v>Printer</v>
          </cell>
          <cell r="E1056">
            <v>1</v>
          </cell>
          <cell r="F1056">
            <v>660.66</v>
          </cell>
          <cell r="G1056" t="str">
            <v>447 Main St</v>
          </cell>
          <cell r="H1056" t="str">
            <v>Debit Card</v>
          </cell>
          <cell r="I1056" t="str">
            <v>Delivered</v>
          </cell>
          <cell r="J1056" t="str">
            <v>TRK46415143</v>
          </cell>
          <cell r="K1056">
            <v>3</v>
          </cell>
          <cell r="L1056" t="str">
            <v>WINTER15</v>
          </cell>
          <cell r="M1056" t="str">
            <v>Instagram</v>
          </cell>
          <cell r="N1056">
            <v>660.66</v>
          </cell>
        </row>
        <row r="1057">
          <cell r="A1057" t="str">
            <v>ORD201055</v>
          </cell>
          <cell r="B1057">
            <v>45222</v>
          </cell>
          <cell r="C1057" t="str">
            <v>C10787</v>
          </cell>
          <cell r="D1057" t="str">
            <v>Monitor</v>
          </cell>
          <cell r="E1057">
            <v>4</v>
          </cell>
          <cell r="F1057">
            <v>274.82</v>
          </cell>
          <cell r="G1057" t="str">
            <v>932 Main St</v>
          </cell>
          <cell r="H1057" t="str">
            <v>Debit Card</v>
          </cell>
          <cell r="I1057" t="str">
            <v>Delivered</v>
          </cell>
          <cell r="J1057" t="str">
            <v>TRK91512567</v>
          </cell>
          <cell r="K1057">
            <v>9</v>
          </cell>
          <cell r="L1057" t="str">
            <v>WINTER15</v>
          </cell>
          <cell r="M1057" t="str">
            <v>Email</v>
          </cell>
          <cell r="N1057">
            <v>1099.28</v>
          </cell>
        </row>
        <row r="1058">
          <cell r="A1058" t="str">
            <v>ORD201056</v>
          </cell>
          <cell r="B1058">
            <v>45457</v>
          </cell>
          <cell r="C1058" t="str">
            <v>C26152</v>
          </cell>
          <cell r="D1058" t="str">
            <v>Phone</v>
          </cell>
          <cell r="E1058">
            <v>2</v>
          </cell>
          <cell r="F1058">
            <v>486.35</v>
          </cell>
          <cell r="G1058" t="str">
            <v>790 Main St</v>
          </cell>
          <cell r="H1058" t="str">
            <v>Online</v>
          </cell>
          <cell r="I1058" t="str">
            <v>Pending</v>
          </cell>
          <cell r="J1058" t="str">
            <v>TRK49382455</v>
          </cell>
          <cell r="K1058">
            <v>6</v>
          </cell>
          <cell r="L1058" t="str">
            <v>SAVE10</v>
          </cell>
          <cell r="M1058" t="str">
            <v>Referral</v>
          </cell>
          <cell r="N1058">
            <v>972.7</v>
          </cell>
        </row>
        <row r="1059">
          <cell r="A1059" t="str">
            <v>ORD201057</v>
          </cell>
          <cell r="B1059">
            <v>45559</v>
          </cell>
          <cell r="C1059" t="str">
            <v>C46210</v>
          </cell>
          <cell r="D1059" t="str">
            <v>Laptop</v>
          </cell>
          <cell r="E1059">
            <v>3</v>
          </cell>
          <cell r="F1059">
            <v>428.88</v>
          </cell>
          <cell r="G1059" t="str">
            <v>535 Main St</v>
          </cell>
          <cell r="H1059" t="str">
            <v>Debit Card</v>
          </cell>
          <cell r="I1059" t="str">
            <v>Shipped</v>
          </cell>
          <cell r="J1059" t="str">
            <v>TRK81611937</v>
          </cell>
          <cell r="K1059">
            <v>3</v>
          </cell>
          <cell r="L1059" t="str">
            <v>WINTER15</v>
          </cell>
          <cell r="M1059" t="str">
            <v>Facebook</v>
          </cell>
          <cell r="N1059">
            <v>1286.6399999999999</v>
          </cell>
        </row>
        <row r="1060">
          <cell r="A1060" t="str">
            <v>ORD201058</v>
          </cell>
          <cell r="B1060">
            <v>45177</v>
          </cell>
          <cell r="C1060" t="str">
            <v>C32943</v>
          </cell>
          <cell r="D1060" t="str">
            <v>Desk</v>
          </cell>
          <cell r="E1060">
            <v>2</v>
          </cell>
          <cell r="F1060">
            <v>412.14</v>
          </cell>
          <cell r="G1060" t="str">
            <v>127 Main St</v>
          </cell>
          <cell r="H1060" t="str">
            <v>Credit Card</v>
          </cell>
          <cell r="I1060" t="str">
            <v>Returned</v>
          </cell>
          <cell r="J1060" t="str">
            <v>TRK26949106</v>
          </cell>
          <cell r="K1060">
            <v>2</v>
          </cell>
          <cell r="L1060" t="str">
            <v>FREESHIP</v>
          </cell>
          <cell r="M1060" t="str">
            <v>Instagram</v>
          </cell>
          <cell r="N1060">
            <v>824.28</v>
          </cell>
        </row>
        <row r="1061">
          <cell r="A1061" t="str">
            <v>ORD201059</v>
          </cell>
          <cell r="B1061">
            <v>45557</v>
          </cell>
          <cell r="C1061" t="str">
            <v>C73629</v>
          </cell>
          <cell r="D1061" t="str">
            <v>Desk</v>
          </cell>
          <cell r="E1061">
            <v>1</v>
          </cell>
          <cell r="F1061">
            <v>265.64</v>
          </cell>
          <cell r="G1061" t="str">
            <v>601 Main St</v>
          </cell>
          <cell r="H1061" t="str">
            <v>Credit Card</v>
          </cell>
          <cell r="I1061" t="str">
            <v>Returned</v>
          </cell>
          <cell r="J1061" t="str">
            <v>TRK11492924</v>
          </cell>
          <cell r="K1061">
            <v>3</v>
          </cell>
          <cell r="L1061" t="str">
            <v>WINTER15</v>
          </cell>
          <cell r="M1061" t="str">
            <v>Instagram</v>
          </cell>
          <cell r="N1061">
            <v>265.64</v>
          </cell>
        </row>
        <row r="1062">
          <cell r="A1062" t="str">
            <v>ORD201060</v>
          </cell>
          <cell r="B1062">
            <v>45419</v>
          </cell>
          <cell r="C1062" t="str">
            <v>C38024</v>
          </cell>
          <cell r="D1062" t="str">
            <v>Tablet</v>
          </cell>
          <cell r="E1062">
            <v>2</v>
          </cell>
          <cell r="F1062">
            <v>273.43</v>
          </cell>
          <cell r="G1062" t="str">
            <v>824 Main St</v>
          </cell>
          <cell r="H1062" t="str">
            <v>Cash</v>
          </cell>
          <cell r="I1062" t="str">
            <v>Shipped</v>
          </cell>
          <cell r="J1062" t="str">
            <v>TRK93370912</v>
          </cell>
          <cell r="K1062">
            <v>7</v>
          </cell>
          <cell r="L1062" t="str">
            <v>WINTER15</v>
          </cell>
          <cell r="M1062" t="str">
            <v>Referral</v>
          </cell>
          <cell r="N1062">
            <v>546.86</v>
          </cell>
        </row>
        <row r="1063">
          <cell r="A1063" t="str">
            <v>ORD201061</v>
          </cell>
          <cell r="B1063">
            <v>45686</v>
          </cell>
          <cell r="C1063" t="str">
            <v>C25445</v>
          </cell>
          <cell r="D1063" t="str">
            <v>Laptop</v>
          </cell>
          <cell r="E1063">
            <v>5</v>
          </cell>
          <cell r="F1063">
            <v>131.69999999999999</v>
          </cell>
          <cell r="G1063" t="str">
            <v>830 Main St</v>
          </cell>
          <cell r="H1063" t="str">
            <v>Cash</v>
          </cell>
          <cell r="I1063" t="str">
            <v>Shipped</v>
          </cell>
          <cell r="J1063" t="str">
            <v>TRK12402431</v>
          </cell>
          <cell r="K1063">
            <v>8</v>
          </cell>
          <cell r="L1063" t="str">
            <v>FREESHIP</v>
          </cell>
          <cell r="M1063" t="str">
            <v>Google</v>
          </cell>
          <cell r="N1063">
            <v>658.5</v>
          </cell>
        </row>
        <row r="1064">
          <cell r="A1064" t="str">
            <v>ORD201062</v>
          </cell>
          <cell r="B1064">
            <v>45161</v>
          </cell>
          <cell r="C1064" t="str">
            <v>C13501</v>
          </cell>
          <cell r="D1064" t="str">
            <v>Chair</v>
          </cell>
          <cell r="E1064">
            <v>5</v>
          </cell>
          <cell r="F1064">
            <v>85.52</v>
          </cell>
          <cell r="G1064" t="str">
            <v>301 Main St</v>
          </cell>
          <cell r="H1064" t="str">
            <v>Gift Card</v>
          </cell>
          <cell r="I1064" t="str">
            <v>Cancelled</v>
          </cell>
          <cell r="J1064" t="str">
            <v>TRK65149372</v>
          </cell>
          <cell r="K1064">
            <v>5</v>
          </cell>
          <cell r="L1064" t="str">
            <v>No Coupon</v>
          </cell>
          <cell r="M1064" t="str">
            <v>Facebook</v>
          </cell>
          <cell r="N1064">
            <v>427.59999999999997</v>
          </cell>
        </row>
        <row r="1065">
          <cell r="A1065" t="str">
            <v>ORD201063</v>
          </cell>
          <cell r="B1065">
            <v>45462</v>
          </cell>
          <cell r="C1065" t="str">
            <v>C42108</v>
          </cell>
          <cell r="D1065" t="str">
            <v>Desk</v>
          </cell>
          <cell r="E1065">
            <v>2</v>
          </cell>
          <cell r="F1065">
            <v>320.68</v>
          </cell>
          <cell r="G1065" t="str">
            <v>336 Main St</v>
          </cell>
          <cell r="H1065" t="str">
            <v>Credit Card</v>
          </cell>
          <cell r="I1065" t="str">
            <v>Shipped</v>
          </cell>
          <cell r="J1065" t="str">
            <v>TRK58407918</v>
          </cell>
          <cell r="K1065">
            <v>5</v>
          </cell>
          <cell r="L1065" t="str">
            <v>FREESHIP</v>
          </cell>
          <cell r="M1065" t="str">
            <v>Referral</v>
          </cell>
          <cell r="N1065">
            <v>641.36</v>
          </cell>
        </row>
        <row r="1066">
          <cell r="A1066" t="str">
            <v>ORD201064</v>
          </cell>
          <cell r="B1066">
            <v>45700</v>
          </cell>
          <cell r="C1066" t="str">
            <v>C32121</v>
          </cell>
          <cell r="D1066" t="str">
            <v>Laptop</v>
          </cell>
          <cell r="E1066">
            <v>4</v>
          </cell>
          <cell r="F1066">
            <v>198.81</v>
          </cell>
          <cell r="G1066" t="str">
            <v>654 Main St</v>
          </cell>
          <cell r="H1066" t="str">
            <v>Cash</v>
          </cell>
          <cell r="I1066" t="str">
            <v>Returned</v>
          </cell>
          <cell r="J1066" t="str">
            <v>TRK96074264</v>
          </cell>
          <cell r="K1066">
            <v>9</v>
          </cell>
          <cell r="L1066" t="str">
            <v>FREESHIP</v>
          </cell>
          <cell r="M1066" t="str">
            <v>Referral</v>
          </cell>
          <cell r="N1066">
            <v>795.24</v>
          </cell>
        </row>
        <row r="1067">
          <cell r="A1067" t="str">
            <v>ORD201065</v>
          </cell>
          <cell r="B1067">
            <v>45229</v>
          </cell>
          <cell r="C1067" t="str">
            <v>C47778</v>
          </cell>
          <cell r="D1067" t="str">
            <v>Printer</v>
          </cell>
          <cell r="E1067">
            <v>5</v>
          </cell>
          <cell r="F1067">
            <v>666.8</v>
          </cell>
          <cell r="G1067" t="str">
            <v>488 Main St</v>
          </cell>
          <cell r="H1067" t="str">
            <v>Debit Card</v>
          </cell>
          <cell r="I1067" t="str">
            <v>Delivered</v>
          </cell>
          <cell r="J1067" t="str">
            <v>TRK79504329</v>
          </cell>
          <cell r="K1067">
            <v>7</v>
          </cell>
          <cell r="L1067" t="str">
            <v>SAVE10</v>
          </cell>
          <cell r="M1067" t="str">
            <v>Referral</v>
          </cell>
          <cell r="N1067">
            <v>3334</v>
          </cell>
        </row>
        <row r="1068">
          <cell r="A1068" t="str">
            <v>ORD201066</v>
          </cell>
          <cell r="B1068">
            <v>45280</v>
          </cell>
          <cell r="C1068" t="str">
            <v>C10791</v>
          </cell>
          <cell r="D1068" t="str">
            <v>Desk</v>
          </cell>
          <cell r="E1068">
            <v>1</v>
          </cell>
          <cell r="F1068">
            <v>355.09</v>
          </cell>
          <cell r="G1068" t="str">
            <v>674 Main St</v>
          </cell>
          <cell r="H1068" t="str">
            <v>Debit Card</v>
          </cell>
          <cell r="I1068" t="str">
            <v>Cancelled</v>
          </cell>
          <cell r="J1068" t="str">
            <v>TRK20321248</v>
          </cell>
          <cell r="K1068">
            <v>5</v>
          </cell>
          <cell r="L1068" t="str">
            <v>SAVE10</v>
          </cell>
          <cell r="M1068" t="str">
            <v>Instagram</v>
          </cell>
          <cell r="N1068">
            <v>355.09</v>
          </cell>
        </row>
        <row r="1069">
          <cell r="A1069" t="str">
            <v>ORD201067</v>
          </cell>
          <cell r="B1069">
            <v>45083</v>
          </cell>
          <cell r="C1069" t="str">
            <v>C78959</v>
          </cell>
          <cell r="D1069" t="str">
            <v>Phone</v>
          </cell>
          <cell r="E1069">
            <v>2</v>
          </cell>
          <cell r="F1069">
            <v>316.2</v>
          </cell>
          <cell r="G1069" t="str">
            <v>384 Main St</v>
          </cell>
          <cell r="H1069" t="str">
            <v>Online</v>
          </cell>
          <cell r="I1069" t="str">
            <v>Returned</v>
          </cell>
          <cell r="J1069" t="str">
            <v>TRK37426359</v>
          </cell>
          <cell r="K1069">
            <v>2</v>
          </cell>
          <cell r="L1069" t="str">
            <v>No Coupon</v>
          </cell>
          <cell r="M1069" t="str">
            <v>Instagram</v>
          </cell>
          <cell r="N1069">
            <v>632.4</v>
          </cell>
        </row>
        <row r="1070">
          <cell r="A1070" t="str">
            <v>ORD201068</v>
          </cell>
          <cell r="B1070">
            <v>45507</v>
          </cell>
          <cell r="C1070" t="str">
            <v>C29914</v>
          </cell>
          <cell r="D1070" t="str">
            <v>Laptop</v>
          </cell>
          <cell r="E1070">
            <v>1</v>
          </cell>
          <cell r="F1070">
            <v>133.38999999999999</v>
          </cell>
          <cell r="G1070" t="str">
            <v>469 Main St</v>
          </cell>
          <cell r="H1070" t="str">
            <v>Debit Card</v>
          </cell>
          <cell r="I1070" t="str">
            <v>Shipped</v>
          </cell>
          <cell r="J1070" t="str">
            <v>TRK22073506</v>
          </cell>
          <cell r="K1070">
            <v>2</v>
          </cell>
          <cell r="L1070" t="str">
            <v>SAVE10</v>
          </cell>
          <cell r="M1070" t="str">
            <v>Referral</v>
          </cell>
          <cell r="N1070">
            <v>133.38999999999999</v>
          </cell>
        </row>
        <row r="1071">
          <cell r="A1071" t="str">
            <v>ORD201069</v>
          </cell>
          <cell r="B1071">
            <v>44982</v>
          </cell>
          <cell r="C1071" t="str">
            <v>C70506</v>
          </cell>
          <cell r="D1071" t="str">
            <v>Monitor</v>
          </cell>
          <cell r="E1071">
            <v>1</v>
          </cell>
          <cell r="F1071">
            <v>454.23</v>
          </cell>
          <cell r="G1071" t="str">
            <v>255 Main St</v>
          </cell>
          <cell r="H1071" t="str">
            <v>Gift Card</v>
          </cell>
          <cell r="I1071" t="str">
            <v>Returned</v>
          </cell>
          <cell r="J1071" t="str">
            <v>TRK12518384</v>
          </cell>
          <cell r="K1071">
            <v>3</v>
          </cell>
          <cell r="L1071" t="str">
            <v>No Coupon</v>
          </cell>
          <cell r="M1071" t="str">
            <v>Facebook</v>
          </cell>
          <cell r="N1071">
            <v>454.23</v>
          </cell>
        </row>
        <row r="1072">
          <cell r="A1072" t="str">
            <v>ORD201070</v>
          </cell>
          <cell r="B1072">
            <v>45541</v>
          </cell>
          <cell r="C1072" t="str">
            <v>C46873</v>
          </cell>
          <cell r="D1072" t="str">
            <v>Desk</v>
          </cell>
          <cell r="E1072">
            <v>4</v>
          </cell>
          <cell r="F1072">
            <v>491.29</v>
          </cell>
          <cell r="G1072" t="str">
            <v>496 Main St</v>
          </cell>
          <cell r="H1072" t="str">
            <v>Debit Card</v>
          </cell>
          <cell r="I1072" t="str">
            <v>Pending</v>
          </cell>
          <cell r="J1072" t="str">
            <v>TRK10926575</v>
          </cell>
          <cell r="K1072">
            <v>6</v>
          </cell>
          <cell r="L1072" t="str">
            <v>No Coupon</v>
          </cell>
          <cell r="M1072" t="str">
            <v>Email</v>
          </cell>
          <cell r="N1072">
            <v>1965.16</v>
          </cell>
        </row>
        <row r="1073">
          <cell r="A1073" t="str">
            <v>ORD201071</v>
          </cell>
          <cell r="B1073">
            <v>45832</v>
          </cell>
          <cell r="C1073" t="str">
            <v>C94037</v>
          </cell>
          <cell r="D1073" t="str">
            <v>Phone</v>
          </cell>
          <cell r="E1073">
            <v>2</v>
          </cell>
          <cell r="F1073">
            <v>255.14</v>
          </cell>
          <cell r="G1073" t="str">
            <v>216 Main St</v>
          </cell>
          <cell r="H1073" t="str">
            <v>Cash</v>
          </cell>
          <cell r="I1073" t="str">
            <v>Shipped</v>
          </cell>
          <cell r="J1073" t="str">
            <v>TRK47536985</v>
          </cell>
          <cell r="K1073">
            <v>2</v>
          </cell>
          <cell r="L1073" t="str">
            <v>No Coupon</v>
          </cell>
          <cell r="M1073" t="str">
            <v>Google</v>
          </cell>
          <cell r="N1073">
            <v>510.28</v>
          </cell>
        </row>
        <row r="1074">
          <cell r="A1074" t="str">
            <v>ORD201072</v>
          </cell>
          <cell r="B1074">
            <v>44983</v>
          </cell>
          <cell r="C1074" t="str">
            <v>C88644</v>
          </cell>
          <cell r="D1074" t="str">
            <v>Monitor</v>
          </cell>
          <cell r="E1074">
            <v>1</v>
          </cell>
          <cell r="F1074">
            <v>392.61</v>
          </cell>
          <cell r="G1074" t="str">
            <v>977 Main St</v>
          </cell>
          <cell r="H1074" t="str">
            <v>Gift Card</v>
          </cell>
          <cell r="I1074" t="str">
            <v>Cancelled</v>
          </cell>
          <cell r="J1074" t="str">
            <v>TRK14900878</v>
          </cell>
          <cell r="K1074">
            <v>4</v>
          </cell>
          <cell r="L1074" t="str">
            <v>SAVE10</v>
          </cell>
          <cell r="M1074" t="str">
            <v>Referral</v>
          </cell>
          <cell r="N1074">
            <v>392.61</v>
          </cell>
        </row>
        <row r="1075">
          <cell r="A1075" t="str">
            <v>ORD201073</v>
          </cell>
          <cell r="B1075">
            <v>45576</v>
          </cell>
          <cell r="C1075" t="str">
            <v>C69471</v>
          </cell>
          <cell r="D1075" t="str">
            <v>Tablet</v>
          </cell>
          <cell r="E1075">
            <v>4</v>
          </cell>
          <cell r="F1075">
            <v>362.06</v>
          </cell>
          <cell r="G1075" t="str">
            <v>294 Main St</v>
          </cell>
          <cell r="H1075" t="str">
            <v>Debit Card</v>
          </cell>
          <cell r="I1075" t="str">
            <v>Returned</v>
          </cell>
          <cell r="J1075" t="str">
            <v>TRK11107152</v>
          </cell>
          <cell r="K1075">
            <v>4</v>
          </cell>
          <cell r="L1075" t="str">
            <v>No Coupon</v>
          </cell>
          <cell r="M1075" t="str">
            <v>Facebook</v>
          </cell>
          <cell r="N1075">
            <v>1448.24</v>
          </cell>
        </row>
        <row r="1076">
          <cell r="A1076" t="str">
            <v>ORD201074</v>
          </cell>
          <cell r="B1076">
            <v>45422</v>
          </cell>
          <cell r="C1076" t="str">
            <v>C21437</v>
          </cell>
          <cell r="D1076" t="str">
            <v>Phone</v>
          </cell>
          <cell r="E1076">
            <v>1</v>
          </cell>
          <cell r="F1076">
            <v>222.73</v>
          </cell>
          <cell r="G1076" t="str">
            <v>120 Main St</v>
          </cell>
          <cell r="H1076" t="str">
            <v>Online</v>
          </cell>
          <cell r="I1076" t="str">
            <v>Returned</v>
          </cell>
          <cell r="J1076" t="str">
            <v>TRK81624772</v>
          </cell>
          <cell r="K1076">
            <v>4</v>
          </cell>
          <cell r="L1076" t="str">
            <v>No Coupon</v>
          </cell>
          <cell r="M1076" t="str">
            <v>Google</v>
          </cell>
          <cell r="N1076">
            <v>222.73</v>
          </cell>
        </row>
        <row r="1077">
          <cell r="A1077" t="str">
            <v>ORD201075</v>
          </cell>
          <cell r="B1077">
            <v>45535</v>
          </cell>
          <cell r="C1077" t="str">
            <v>C40949</v>
          </cell>
          <cell r="D1077" t="str">
            <v>Monitor</v>
          </cell>
          <cell r="E1077">
            <v>2</v>
          </cell>
          <cell r="F1077">
            <v>552.63</v>
          </cell>
          <cell r="G1077" t="str">
            <v>609 Main St</v>
          </cell>
          <cell r="H1077" t="str">
            <v>Debit Card</v>
          </cell>
          <cell r="I1077" t="str">
            <v>Delivered</v>
          </cell>
          <cell r="J1077" t="str">
            <v>TRK43066749</v>
          </cell>
          <cell r="K1077">
            <v>7</v>
          </cell>
          <cell r="L1077" t="str">
            <v>WINTER15</v>
          </cell>
          <cell r="M1077" t="str">
            <v>Instagram</v>
          </cell>
          <cell r="N1077">
            <v>1105.26</v>
          </cell>
        </row>
        <row r="1078">
          <cell r="A1078" t="str">
            <v>ORD201076</v>
          </cell>
          <cell r="B1078">
            <v>45054</v>
          </cell>
          <cell r="C1078" t="str">
            <v>C99116</v>
          </cell>
          <cell r="D1078" t="str">
            <v>Laptop</v>
          </cell>
          <cell r="E1078">
            <v>4</v>
          </cell>
          <cell r="F1078">
            <v>686.61</v>
          </cell>
          <cell r="G1078" t="str">
            <v>176 Main St</v>
          </cell>
          <cell r="H1078" t="str">
            <v>Cash</v>
          </cell>
          <cell r="I1078" t="str">
            <v>Shipped</v>
          </cell>
          <cell r="J1078" t="str">
            <v>TRK52711973</v>
          </cell>
          <cell r="K1078">
            <v>6</v>
          </cell>
          <cell r="L1078" t="str">
            <v>No Coupon</v>
          </cell>
          <cell r="M1078" t="str">
            <v>Referral</v>
          </cell>
          <cell r="N1078">
            <v>2746.44</v>
          </cell>
        </row>
        <row r="1079">
          <cell r="A1079" t="str">
            <v>ORD201077</v>
          </cell>
          <cell r="B1079">
            <v>45723</v>
          </cell>
          <cell r="C1079" t="str">
            <v>C57861</v>
          </cell>
          <cell r="D1079" t="str">
            <v>Printer</v>
          </cell>
          <cell r="E1079">
            <v>3</v>
          </cell>
          <cell r="F1079">
            <v>305.16000000000003</v>
          </cell>
          <cell r="G1079" t="str">
            <v>115 Main St</v>
          </cell>
          <cell r="H1079" t="str">
            <v>Credit Card</v>
          </cell>
          <cell r="I1079" t="str">
            <v>Cancelled</v>
          </cell>
          <cell r="J1079" t="str">
            <v>TRK47775217</v>
          </cell>
          <cell r="K1079">
            <v>8</v>
          </cell>
          <cell r="L1079" t="str">
            <v>SAVE10</v>
          </cell>
          <cell r="M1079" t="str">
            <v>Referral</v>
          </cell>
          <cell r="N1079">
            <v>915.48</v>
          </cell>
        </row>
        <row r="1080">
          <cell r="A1080" t="str">
            <v>ORD201078</v>
          </cell>
          <cell r="B1080">
            <v>45003</v>
          </cell>
          <cell r="C1080" t="str">
            <v>C62627</v>
          </cell>
          <cell r="D1080" t="str">
            <v>Desk</v>
          </cell>
          <cell r="E1080">
            <v>1</v>
          </cell>
          <cell r="F1080">
            <v>41.09</v>
          </cell>
          <cell r="G1080" t="str">
            <v>881 Main St</v>
          </cell>
          <cell r="H1080" t="str">
            <v>Online</v>
          </cell>
          <cell r="I1080" t="str">
            <v>Returned</v>
          </cell>
          <cell r="J1080" t="str">
            <v>TRK90060232</v>
          </cell>
          <cell r="K1080">
            <v>4</v>
          </cell>
          <cell r="L1080" t="str">
            <v>WINTER15</v>
          </cell>
          <cell r="M1080" t="str">
            <v>Email</v>
          </cell>
          <cell r="N1080">
            <v>41.09</v>
          </cell>
        </row>
        <row r="1081">
          <cell r="A1081" t="str">
            <v>ORD201079</v>
          </cell>
          <cell r="B1081">
            <v>45463</v>
          </cell>
          <cell r="C1081" t="str">
            <v>C89979</v>
          </cell>
          <cell r="D1081" t="str">
            <v>Phone</v>
          </cell>
          <cell r="E1081">
            <v>5</v>
          </cell>
          <cell r="F1081">
            <v>634</v>
          </cell>
          <cell r="G1081" t="str">
            <v>144 Main St</v>
          </cell>
          <cell r="H1081" t="str">
            <v>Gift Card</v>
          </cell>
          <cell r="I1081" t="str">
            <v>Delivered</v>
          </cell>
          <cell r="J1081" t="str">
            <v>TRK99055909</v>
          </cell>
          <cell r="K1081">
            <v>8</v>
          </cell>
          <cell r="L1081" t="str">
            <v>No Coupon</v>
          </cell>
          <cell r="M1081" t="str">
            <v>Email</v>
          </cell>
          <cell r="N1081">
            <v>3170</v>
          </cell>
        </row>
        <row r="1082">
          <cell r="A1082" t="str">
            <v>ORD201080</v>
          </cell>
          <cell r="B1082">
            <v>44946</v>
          </cell>
          <cell r="C1082" t="str">
            <v>C70613</v>
          </cell>
          <cell r="D1082" t="str">
            <v>Laptop</v>
          </cell>
          <cell r="E1082">
            <v>5</v>
          </cell>
          <cell r="F1082">
            <v>464.74</v>
          </cell>
          <cell r="G1082" t="str">
            <v>438 Main St</v>
          </cell>
          <cell r="H1082" t="str">
            <v>Gift Card</v>
          </cell>
          <cell r="I1082" t="str">
            <v>Delivered</v>
          </cell>
          <cell r="J1082" t="str">
            <v>TRK33140293</v>
          </cell>
          <cell r="K1082">
            <v>7</v>
          </cell>
          <cell r="L1082" t="str">
            <v>No Coupon</v>
          </cell>
          <cell r="M1082" t="str">
            <v>Referral</v>
          </cell>
          <cell r="N1082">
            <v>2323.6999999999998</v>
          </cell>
        </row>
        <row r="1083">
          <cell r="A1083" t="str">
            <v>ORD201081</v>
          </cell>
          <cell r="B1083">
            <v>45037</v>
          </cell>
          <cell r="C1083" t="str">
            <v>C55636</v>
          </cell>
          <cell r="D1083" t="str">
            <v>Monitor</v>
          </cell>
          <cell r="E1083">
            <v>4</v>
          </cell>
          <cell r="F1083">
            <v>425.6</v>
          </cell>
          <cell r="G1083" t="str">
            <v>494 Main St</v>
          </cell>
          <cell r="H1083" t="str">
            <v>Credit Card</v>
          </cell>
          <cell r="I1083" t="str">
            <v>Pending</v>
          </cell>
          <cell r="J1083" t="str">
            <v>TRK85897054</v>
          </cell>
          <cell r="K1083">
            <v>5</v>
          </cell>
          <cell r="L1083" t="str">
            <v>FREESHIP</v>
          </cell>
          <cell r="M1083" t="str">
            <v>Google</v>
          </cell>
          <cell r="N1083">
            <v>1702.4</v>
          </cell>
        </row>
        <row r="1084">
          <cell r="A1084" t="str">
            <v>ORD201082</v>
          </cell>
          <cell r="B1084">
            <v>45205</v>
          </cell>
          <cell r="C1084" t="str">
            <v>C96595</v>
          </cell>
          <cell r="D1084" t="str">
            <v>Chair</v>
          </cell>
          <cell r="E1084">
            <v>3</v>
          </cell>
          <cell r="F1084">
            <v>573.22</v>
          </cell>
          <cell r="G1084" t="str">
            <v>177 Main St</v>
          </cell>
          <cell r="H1084" t="str">
            <v>Debit Card</v>
          </cell>
          <cell r="I1084" t="str">
            <v>Pending</v>
          </cell>
          <cell r="J1084" t="str">
            <v>TRK59779174</v>
          </cell>
          <cell r="K1084">
            <v>5</v>
          </cell>
          <cell r="L1084" t="str">
            <v>SAVE10</v>
          </cell>
          <cell r="M1084" t="str">
            <v>Email</v>
          </cell>
          <cell r="N1084">
            <v>1719.66</v>
          </cell>
        </row>
        <row r="1085">
          <cell r="A1085" t="str">
            <v>ORD201083</v>
          </cell>
          <cell r="B1085">
            <v>45482</v>
          </cell>
          <cell r="C1085" t="str">
            <v>C68508</v>
          </cell>
          <cell r="D1085" t="str">
            <v>Chair</v>
          </cell>
          <cell r="E1085">
            <v>1</v>
          </cell>
          <cell r="F1085">
            <v>123.28</v>
          </cell>
          <cell r="G1085" t="str">
            <v>895 Main St</v>
          </cell>
          <cell r="H1085" t="str">
            <v>Credit Card</v>
          </cell>
          <cell r="I1085" t="str">
            <v>Delivered</v>
          </cell>
          <cell r="J1085" t="str">
            <v>TRK98960285</v>
          </cell>
          <cell r="K1085">
            <v>3</v>
          </cell>
          <cell r="L1085" t="str">
            <v>SAVE10</v>
          </cell>
          <cell r="M1085" t="str">
            <v>Email</v>
          </cell>
          <cell r="N1085">
            <v>123.28</v>
          </cell>
        </row>
        <row r="1086">
          <cell r="A1086" t="str">
            <v>ORD201084</v>
          </cell>
          <cell r="B1086">
            <v>44934</v>
          </cell>
          <cell r="C1086" t="str">
            <v>C45175</v>
          </cell>
          <cell r="D1086" t="str">
            <v>Phone</v>
          </cell>
          <cell r="E1086">
            <v>1</v>
          </cell>
          <cell r="F1086">
            <v>70.819999999999993</v>
          </cell>
          <cell r="G1086" t="str">
            <v>128 Main St</v>
          </cell>
          <cell r="H1086" t="str">
            <v>Gift Card</v>
          </cell>
          <cell r="I1086" t="str">
            <v>Pending</v>
          </cell>
          <cell r="J1086" t="str">
            <v>TRK41792296</v>
          </cell>
          <cell r="K1086">
            <v>1</v>
          </cell>
          <cell r="L1086" t="str">
            <v>WINTER15</v>
          </cell>
          <cell r="M1086" t="str">
            <v>Instagram</v>
          </cell>
          <cell r="N1086">
            <v>70.819999999999993</v>
          </cell>
        </row>
        <row r="1087">
          <cell r="A1087" t="str">
            <v>ORD201085</v>
          </cell>
          <cell r="B1087">
            <v>45067</v>
          </cell>
          <cell r="C1087" t="str">
            <v>C28049</v>
          </cell>
          <cell r="D1087" t="str">
            <v>Printer</v>
          </cell>
          <cell r="E1087">
            <v>2</v>
          </cell>
          <cell r="F1087">
            <v>646.69000000000005</v>
          </cell>
          <cell r="G1087" t="str">
            <v>404 Main St</v>
          </cell>
          <cell r="H1087" t="str">
            <v>Debit Card</v>
          </cell>
          <cell r="I1087" t="str">
            <v>Shipped</v>
          </cell>
          <cell r="J1087" t="str">
            <v>TRK91426444</v>
          </cell>
          <cell r="K1087">
            <v>7</v>
          </cell>
          <cell r="L1087" t="str">
            <v>WINTER15</v>
          </cell>
          <cell r="M1087" t="str">
            <v>Instagram</v>
          </cell>
          <cell r="N1087">
            <v>1293.3800000000001</v>
          </cell>
        </row>
        <row r="1088">
          <cell r="A1088" t="str">
            <v>ORD201086</v>
          </cell>
          <cell r="B1088">
            <v>45283</v>
          </cell>
          <cell r="C1088" t="str">
            <v>C46967</v>
          </cell>
          <cell r="D1088" t="str">
            <v>Tablet</v>
          </cell>
          <cell r="E1088">
            <v>2</v>
          </cell>
          <cell r="F1088">
            <v>513.41999999999996</v>
          </cell>
          <cell r="G1088" t="str">
            <v>401 Main St</v>
          </cell>
          <cell r="H1088" t="str">
            <v>Online</v>
          </cell>
          <cell r="I1088" t="str">
            <v>Pending</v>
          </cell>
          <cell r="J1088" t="str">
            <v>TRK91439791</v>
          </cell>
          <cell r="K1088">
            <v>5</v>
          </cell>
          <cell r="L1088" t="str">
            <v>WINTER15</v>
          </cell>
          <cell r="M1088" t="str">
            <v>Instagram</v>
          </cell>
          <cell r="N1088">
            <v>1026.8399999999999</v>
          </cell>
        </row>
        <row r="1089">
          <cell r="A1089" t="str">
            <v>ORD201087</v>
          </cell>
          <cell r="B1089">
            <v>45739</v>
          </cell>
          <cell r="C1089" t="str">
            <v>C84134</v>
          </cell>
          <cell r="D1089" t="str">
            <v>Laptop</v>
          </cell>
          <cell r="E1089">
            <v>4</v>
          </cell>
          <cell r="F1089">
            <v>693.07</v>
          </cell>
          <cell r="G1089" t="str">
            <v>530 Main St</v>
          </cell>
          <cell r="H1089" t="str">
            <v>Online</v>
          </cell>
          <cell r="I1089" t="str">
            <v>Shipped</v>
          </cell>
          <cell r="J1089" t="str">
            <v>TRK48659380</v>
          </cell>
          <cell r="K1089">
            <v>8</v>
          </cell>
          <cell r="L1089" t="str">
            <v>SAVE10</v>
          </cell>
          <cell r="M1089" t="str">
            <v>Instagram</v>
          </cell>
          <cell r="N1089">
            <v>2772.28</v>
          </cell>
        </row>
        <row r="1090">
          <cell r="A1090" t="str">
            <v>ORD201088</v>
          </cell>
          <cell r="B1090">
            <v>45260</v>
          </cell>
          <cell r="C1090" t="str">
            <v>C49831</v>
          </cell>
          <cell r="D1090" t="str">
            <v>Desk</v>
          </cell>
          <cell r="E1090">
            <v>3</v>
          </cell>
          <cell r="F1090">
            <v>491.43</v>
          </cell>
          <cell r="G1090" t="str">
            <v>213 Main St</v>
          </cell>
          <cell r="H1090" t="str">
            <v>Gift Card</v>
          </cell>
          <cell r="I1090" t="str">
            <v>Shipped</v>
          </cell>
          <cell r="J1090" t="str">
            <v>TRK21232601</v>
          </cell>
          <cell r="K1090">
            <v>6</v>
          </cell>
          <cell r="L1090" t="str">
            <v>WINTER15</v>
          </cell>
          <cell r="M1090" t="str">
            <v>Instagram</v>
          </cell>
          <cell r="N1090">
            <v>1474.29</v>
          </cell>
        </row>
        <row r="1091">
          <cell r="A1091" t="str">
            <v>ORD201089</v>
          </cell>
          <cell r="B1091">
            <v>45731</v>
          </cell>
          <cell r="C1091" t="str">
            <v>C13324</v>
          </cell>
          <cell r="D1091" t="str">
            <v>Tablet</v>
          </cell>
          <cell r="E1091">
            <v>2</v>
          </cell>
          <cell r="F1091">
            <v>599.74</v>
          </cell>
          <cell r="G1091" t="str">
            <v>440 Main St</v>
          </cell>
          <cell r="H1091" t="str">
            <v>Gift Card</v>
          </cell>
          <cell r="I1091" t="str">
            <v>Shipped</v>
          </cell>
          <cell r="J1091" t="str">
            <v>TRK66967997</v>
          </cell>
          <cell r="K1091">
            <v>2</v>
          </cell>
          <cell r="L1091" t="str">
            <v>No Coupon</v>
          </cell>
          <cell r="M1091" t="str">
            <v>Instagram</v>
          </cell>
          <cell r="N1091">
            <v>1199.48</v>
          </cell>
        </row>
        <row r="1092">
          <cell r="A1092" t="str">
            <v>ORD201090</v>
          </cell>
          <cell r="B1092">
            <v>44982</v>
          </cell>
          <cell r="C1092" t="str">
            <v>C61225</v>
          </cell>
          <cell r="D1092" t="str">
            <v>Monitor</v>
          </cell>
          <cell r="E1092">
            <v>2</v>
          </cell>
          <cell r="F1092">
            <v>650.25</v>
          </cell>
          <cell r="G1092" t="str">
            <v>996 Main St</v>
          </cell>
          <cell r="H1092" t="str">
            <v>Gift Card</v>
          </cell>
          <cell r="I1092" t="str">
            <v>Returned</v>
          </cell>
          <cell r="J1092" t="str">
            <v>TRK37022954</v>
          </cell>
          <cell r="K1092">
            <v>6</v>
          </cell>
          <cell r="L1092" t="str">
            <v>No Coupon</v>
          </cell>
          <cell r="M1092" t="str">
            <v>Instagram</v>
          </cell>
          <cell r="N1092">
            <v>1300.5</v>
          </cell>
        </row>
        <row r="1093">
          <cell r="A1093" t="str">
            <v>ORD201091</v>
          </cell>
          <cell r="B1093">
            <v>45573</v>
          </cell>
          <cell r="C1093" t="str">
            <v>C16400</v>
          </cell>
          <cell r="D1093" t="str">
            <v>Laptop</v>
          </cell>
          <cell r="E1093">
            <v>3</v>
          </cell>
          <cell r="F1093">
            <v>209.48</v>
          </cell>
          <cell r="G1093" t="str">
            <v>123 Main St</v>
          </cell>
          <cell r="H1093" t="str">
            <v>Debit Card</v>
          </cell>
          <cell r="I1093" t="str">
            <v>Pending</v>
          </cell>
          <cell r="J1093" t="str">
            <v>TRK57771859</v>
          </cell>
          <cell r="K1093">
            <v>4</v>
          </cell>
          <cell r="L1093" t="str">
            <v>No Coupon</v>
          </cell>
          <cell r="M1093" t="str">
            <v>Email</v>
          </cell>
          <cell r="N1093">
            <v>628.43999999999994</v>
          </cell>
        </row>
        <row r="1094">
          <cell r="A1094" t="str">
            <v>ORD201092</v>
          </cell>
          <cell r="B1094">
            <v>45159</v>
          </cell>
          <cell r="C1094" t="str">
            <v>C38642</v>
          </cell>
          <cell r="D1094" t="str">
            <v>Laptop</v>
          </cell>
          <cell r="E1094">
            <v>5</v>
          </cell>
          <cell r="F1094">
            <v>209.2</v>
          </cell>
          <cell r="G1094" t="str">
            <v>930 Main St</v>
          </cell>
          <cell r="H1094" t="str">
            <v>Debit Card</v>
          </cell>
          <cell r="I1094" t="str">
            <v>Delivered</v>
          </cell>
          <cell r="J1094" t="str">
            <v>TRK47744396</v>
          </cell>
          <cell r="K1094">
            <v>6</v>
          </cell>
          <cell r="L1094" t="str">
            <v>WINTER15</v>
          </cell>
          <cell r="M1094" t="str">
            <v>Email</v>
          </cell>
          <cell r="N1094">
            <v>1046</v>
          </cell>
        </row>
        <row r="1095">
          <cell r="A1095" t="str">
            <v>ORD201093</v>
          </cell>
          <cell r="B1095">
            <v>45086</v>
          </cell>
          <cell r="C1095" t="str">
            <v>C86773</v>
          </cell>
          <cell r="D1095" t="str">
            <v>Phone</v>
          </cell>
          <cell r="E1095">
            <v>4</v>
          </cell>
          <cell r="F1095">
            <v>197.36</v>
          </cell>
          <cell r="G1095" t="str">
            <v>557 Main St</v>
          </cell>
          <cell r="H1095" t="str">
            <v>Gift Card</v>
          </cell>
          <cell r="I1095" t="str">
            <v>Returned</v>
          </cell>
          <cell r="J1095" t="str">
            <v>TRK22612240</v>
          </cell>
          <cell r="K1095">
            <v>9</v>
          </cell>
          <cell r="L1095" t="str">
            <v>FREESHIP</v>
          </cell>
          <cell r="M1095" t="str">
            <v>Instagram</v>
          </cell>
          <cell r="N1095">
            <v>789.44</v>
          </cell>
        </row>
        <row r="1096">
          <cell r="A1096" t="str">
            <v>ORD201094</v>
          </cell>
          <cell r="B1096">
            <v>45105</v>
          </cell>
          <cell r="C1096" t="str">
            <v>C66093</v>
          </cell>
          <cell r="D1096" t="str">
            <v>Printer</v>
          </cell>
          <cell r="E1096">
            <v>4</v>
          </cell>
          <cell r="F1096">
            <v>648.91</v>
          </cell>
          <cell r="G1096" t="str">
            <v>615 Main St</v>
          </cell>
          <cell r="H1096" t="str">
            <v>Credit Card</v>
          </cell>
          <cell r="I1096" t="str">
            <v>Shipped</v>
          </cell>
          <cell r="J1096" t="str">
            <v>TRK54950785</v>
          </cell>
          <cell r="K1096">
            <v>6</v>
          </cell>
          <cell r="L1096" t="str">
            <v>SAVE10</v>
          </cell>
          <cell r="M1096" t="str">
            <v>Instagram</v>
          </cell>
          <cell r="N1096">
            <v>2595.64</v>
          </cell>
        </row>
        <row r="1097">
          <cell r="A1097" t="str">
            <v>ORD201095</v>
          </cell>
          <cell r="B1097">
            <v>45405</v>
          </cell>
          <cell r="C1097" t="str">
            <v>C33051</v>
          </cell>
          <cell r="D1097" t="str">
            <v>Phone</v>
          </cell>
          <cell r="E1097">
            <v>2</v>
          </cell>
          <cell r="F1097">
            <v>441.54</v>
          </cell>
          <cell r="G1097" t="str">
            <v>397 Main St</v>
          </cell>
          <cell r="H1097" t="str">
            <v>Online</v>
          </cell>
          <cell r="I1097" t="str">
            <v>Delivered</v>
          </cell>
          <cell r="J1097" t="str">
            <v>TRK92929755</v>
          </cell>
          <cell r="K1097">
            <v>2</v>
          </cell>
          <cell r="L1097" t="str">
            <v>SAVE10</v>
          </cell>
          <cell r="M1097" t="str">
            <v>Email</v>
          </cell>
          <cell r="N1097">
            <v>883.08</v>
          </cell>
        </row>
        <row r="1098">
          <cell r="A1098" t="str">
            <v>ORD201096</v>
          </cell>
          <cell r="B1098">
            <v>45780</v>
          </cell>
          <cell r="C1098" t="str">
            <v>C18169</v>
          </cell>
          <cell r="D1098" t="str">
            <v>Tablet</v>
          </cell>
          <cell r="E1098">
            <v>2</v>
          </cell>
          <cell r="F1098">
            <v>464.92</v>
          </cell>
          <cell r="G1098" t="str">
            <v>782 Main St</v>
          </cell>
          <cell r="H1098" t="str">
            <v>Debit Card</v>
          </cell>
          <cell r="I1098" t="str">
            <v>Returned</v>
          </cell>
          <cell r="J1098" t="str">
            <v>TRK49482923</v>
          </cell>
          <cell r="K1098">
            <v>2</v>
          </cell>
          <cell r="L1098" t="str">
            <v>No Coupon</v>
          </cell>
          <cell r="M1098" t="str">
            <v>Facebook</v>
          </cell>
          <cell r="N1098">
            <v>929.84</v>
          </cell>
        </row>
        <row r="1099">
          <cell r="A1099" t="str">
            <v>ORD201097</v>
          </cell>
          <cell r="B1099">
            <v>45652</v>
          </cell>
          <cell r="C1099" t="str">
            <v>C81370</v>
          </cell>
          <cell r="D1099" t="str">
            <v>Monitor</v>
          </cell>
          <cell r="E1099">
            <v>5</v>
          </cell>
          <cell r="F1099">
            <v>506.45</v>
          </cell>
          <cell r="G1099" t="str">
            <v>344 Main St</v>
          </cell>
          <cell r="H1099" t="str">
            <v>Gift Card</v>
          </cell>
          <cell r="I1099" t="str">
            <v>Shipped</v>
          </cell>
          <cell r="J1099" t="str">
            <v>TRK99682998</v>
          </cell>
          <cell r="K1099">
            <v>7</v>
          </cell>
          <cell r="L1099" t="str">
            <v>WINTER15</v>
          </cell>
          <cell r="M1099" t="str">
            <v>Google</v>
          </cell>
          <cell r="N1099">
            <v>2532.25</v>
          </cell>
        </row>
        <row r="1100">
          <cell r="A1100" t="str">
            <v>ORD201098</v>
          </cell>
          <cell r="B1100">
            <v>45094</v>
          </cell>
          <cell r="C1100" t="str">
            <v>C91103</v>
          </cell>
          <cell r="D1100" t="str">
            <v>Monitor</v>
          </cell>
          <cell r="E1100">
            <v>4</v>
          </cell>
          <cell r="F1100">
            <v>255.86</v>
          </cell>
          <cell r="G1100" t="str">
            <v>155 Main St</v>
          </cell>
          <cell r="H1100" t="str">
            <v>Credit Card</v>
          </cell>
          <cell r="I1100" t="str">
            <v>Delivered</v>
          </cell>
          <cell r="J1100" t="str">
            <v>TRK91653000</v>
          </cell>
          <cell r="K1100">
            <v>7</v>
          </cell>
          <cell r="L1100" t="str">
            <v>No Coupon</v>
          </cell>
          <cell r="M1100" t="str">
            <v>Email</v>
          </cell>
          <cell r="N1100">
            <v>1023.44</v>
          </cell>
        </row>
        <row r="1101">
          <cell r="A1101" t="str">
            <v>ORD201099</v>
          </cell>
          <cell r="B1101">
            <v>45554</v>
          </cell>
          <cell r="C1101" t="str">
            <v>C21953</v>
          </cell>
          <cell r="D1101" t="str">
            <v>Laptop</v>
          </cell>
          <cell r="E1101">
            <v>2</v>
          </cell>
          <cell r="F1101">
            <v>125.23</v>
          </cell>
          <cell r="G1101" t="str">
            <v>272 Main St</v>
          </cell>
          <cell r="H1101" t="str">
            <v>Cash</v>
          </cell>
          <cell r="I1101" t="str">
            <v>Cancelled</v>
          </cell>
          <cell r="J1101" t="str">
            <v>TRK60774796</v>
          </cell>
          <cell r="K1101">
            <v>3</v>
          </cell>
          <cell r="L1101" t="str">
            <v>FREESHIP</v>
          </cell>
          <cell r="M1101" t="str">
            <v>Email</v>
          </cell>
          <cell r="N1101">
            <v>250.46</v>
          </cell>
        </row>
        <row r="1102">
          <cell r="A1102" t="str">
            <v>ORD201100</v>
          </cell>
          <cell r="B1102">
            <v>45155</v>
          </cell>
          <cell r="C1102" t="str">
            <v>C15146</v>
          </cell>
          <cell r="D1102" t="str">
            <v>Laptop</v>
          </cell>
          <cell r="E1102">
            <v>5</v>
          </cell>
          <cell r="F1102">
            <v>38.11</v>
          </cell>
          <cell r="G1102" t="str">
            <v>428 Main St</v>
          </cell>
          <cell r="H1102" t="str">
            <v>Debit Card</v>
          </cell>
          <cell r="I1102" t="str">
            <v>Cancelled</v>
          </cell>
          <cell r="J1102" t="str">
            <v>TRK79790530</v>
          </cell>
          <cell r="K1102">
            <v>6</v>
          </cell>
          <cell r="L1102" t="str">
            <v>WINTER15</v>
          </cell>
          <cell r="M1102" t="str">
            <v>Instagram</v>
          </cell>
          <cell r="N1102">
            <v>190.55</v>
          </cell>
        </row>
        <row r="1103">
          <cell r="A1103" t="str">
            <v>ORD201101</v>
          </cell>
          <cell r="B1103">
            <v>45816</v>
          </cell>
          <cell r="C1103" t="str">
            <v>C43546</v>
          </cell>
          <cell r="D1103" t="str">
            <v>Monitor</v>
          </cell>
          <cell r="E1103">
            <v>3</v>
          </cell>
          <cell r="F1103">
            <v>161.97</v>
          </cell>
          <cell r="G1103" t="str">
            <v>904 Main St</v>
          </cell>
          <cell r="H1103" t="str">
            <v>Cash</v>
          </cell>
          <cell r="I1103" t="str">
            <v>Pending</v>
          </cell>
          <cell r="J1103" t="str">
            <v>TRK85871121</v>
          </cell>
          <cell r="K1103">
            <v>4</v>
          </cell>
          <cell r="L1103" t="str">
            <v>SAVE10</v>
          </cell>
          <cell r="M1103" t="str">
            <v>Email</v>
          </cell>
          <cell r="N1103">
            <v>485.90999999999997</v>
          </cell>
        </row>
        <row r="1104">
          <cell r="A1104" t="str">
            <v>ORD201102</v>
          </cell>
          <cell r="B1104">
            <v>45446</v>
          </cell>
          <cell r="C1104" t="str">
            <v>C98474</v>
          </cell>
          <cell r="D1104" t="str">
            <v>Chair</v>
          </cell>
          <cell r="E1104">
            <v>4</v>
          </cell>
          <cell r="F1104">
            <v>347.17</v>
          </cell>
          <cell r="G1104" t="str">
            <v>997 Main St</v>
          </cell>
          <cell r="H1104" t="str">
            <v>Debit Card</v>
          </cell>
          <cell r="I1104" t="str">
            <v>Shipped</v>
          </cell>
          <cell r="J1104" t="str">
            <v>TRK86192984</v>
          </cell>
          <cell r="K1104">
            <v>8</v>
          </cell>
          <cell r="L1104" t="str">
            <v>No Coupon</v>
          </cell>
          <cell r="M1104" t="str">
            <v>Instagram</v>
          </cell>
          <cell r="N1104">
            <v>1388.68</v>
          </cell>
        </row>
        <row r="1105">
          <cell r="A1105" t="str">
            <v>ORD201103</v>
          </cell>
          <cell r="B1105">
            <v>45040</v>
          </cell>
          <cell r="C1105" t="str">
            <v>C90292</v>
          </cell>
          <cell r="D1105" t="str">
            <v>Laptop</v>
          </cell>
          <cell r="E1105">
            <v>4</v>
          </cell>
          <cell r="F1105">
            <v>276.32</v>
          </cell>
          <cell r="G1105" t="str">
            <v>129 Main St</v>
          </cell>
          <cell r="H1105" t="str">
            <v>Online</v>
          </cell>
          <cell r="I1105" t="str">
            <v>Delivered</v>
          </cell>
          <cell r="J1105" t="str">
            <v>TRK26270357</v>
          </cell>
          <cell r="K1105">
            <v>5</v>
          </cell>
          <cell r="L1105" t="str">
            <v>No Coupon</v>
          </cell>
          <cell r="M1105" t="str">
            <v>Google</v>
          </cell>
          <cell r="N1105">
            <v>1105.28</v>
          </cell>
        </row>
        <row r="1106">
          <cell r="A1106" t="str">
            <v>ORD201104</v>
          </cell>
          <cell r="B1106">
            <v>45498</v>
          </cell>
          <cell r="C1106" t="str">
            <v>C17075</v>
          </cell>
          <cell r="D1106" t="str">
            <v>Tablet</v>
          </cell>
          <cell r="E1106">
            <v>4</v>
          </cell>
          <cell r="F1106">
            <v>314.76</v>
          </cell>
          <cell r="G1106" t="str">
            <v>850 Main St</v>
          </cell>
          <cell r="H1106" t="str">
            <v>Online</v>
          </cell>
          <cell r="I1106" t="str">
            <v>Shipped</v>
          </cell>
          <cell r="J1106" t="str">
            <v>TRK63547510</v>
          </cell>
          <cell r="K1106">
            <v>8</v>
          </cell>
          <cell r="L1106" t="str">
            <v>No Coupon</v>
          </cell>
          <cell r="M1106" t="str">
            <v>Instagram</v>
          </cell>
          <cell r="N1106">
            <v>1259.04</v>
          </cell>
        </row>
        <row r="1107">
          <cell r="A1107" t="str">
            <v>ORD201105</v>
          </cell>
          <cell r="B1107">
            <v>45299</v>
          </cell>
          <cell r="C1107" t="str">
            <v>C12487</v>
          </cell>
          <cell r="D1107" t="str">
            <v>Tablet</v>
          </cell>
          <cell r="E1107">
            <v>3</v>
          </cell>
          <cell r="F1107">
            <v>475.69</v>
          </cell>
          <cell r="G1107" t="str">
            <v>884 Main St</v>
          </cell>
          <cell r="H1107" t="str">
            <v>Gift Card</v>
          </cell>
          <cell r="I1107" t="str">
            <v>Cancelled</v>
          </cell>
          <cell r="J1107" t="str">
            <v>TRK23324770</v>
          </cell>
          <cell r="K1107">
            <v>3</v>
          </cell>
          <cell r="L1107" t="str">
            <v>FREESHIP</v>
          </cell>
          <cell r="M1107" t="str">
            <v>Google</v>
          </cell>
          <cell r="N1107">
            <v>1427.07</v>
          </cell>
        </row>
        <row r="1108">
          <cell r="A1108" t="str">
            <v>ORD201106</v>
          </cell>
          <cell r="B1108">
            <v>44997</v>
          </cell>
          <cell r="C1108" t="str">
            <v>C34555</v>
          </cell>
          <cell r="D1108" t="str">
            <v>Chair</v>
          </cell>
          <cell r="E1108">
            <v>1</v>
          </cell>
          <cell r="F1108">
            <v>372.8</v>
          </cell>
          <cell r="G1108" t="str">
            <v>903 Main St</v>
          </cell>
          <cell r="H1108" t="str">
            <v>Cash</v>
          </cell>
          <cell r="I1108" t="str">
            <v>Cancelled</v>
          </cell>
          <cell r="J1108" t="str">
            <v>TRK72859458</v>
          </cell>
          <cell r="K1108">
            <v>6</v>
          </cell>
          <cell r="L1108" t="str">
            <v>SAVE10</v>
          </cell>
          <cell r="M1108" t="str">
            <v>Facebook</v>
          </cell>
          <cell r="N1108">
            <v>372.8</v>
          </cell>
        </row>
        <row r="1109">
          <cell r="A1109" t="str">
            <v>ORD201107</v>
          </cell>
          <cell r="B1109">
            <v>45838</v>
          </cell>
          <cell r="C1109" t="str">
            <v>C25110</v>
          </cell>
          <cell r="D1109" t="str">
            <v>Tablet</v>
          </cell>
          <cell r="E1109">
            <v>2</v>
          </cell>
          <cell r="F1109">
            <v>63.21</v>
          </cell>
          <cell r="G1109" t="str">
            <v>282 Main St</v>
          </cell>
          <cell r="H1109" t="str">
            <v>Online</v>
          </cell>
          <cell r="I1109" t="str">
            <v>Cancelled</v>
          </cell>
          <cell r="J1109" t="str">
            <v>TRK80963328</v>
          </cell>
          <cell r="K1109">
            <v>4</v>
          </cell>
          <cell r="L1109" t="str">
            <v>SAVE10</v>
          </cell>
          <cell r="M1109" t="str">
            <v>Google</v>
          </cell>
          <cell r="N1109">
            <v>126.42</v>
          </cell>
        </row>
        <row r="1110">
          <cell r="A1110" t="str">
            <v>ORD201108</v>
          </cell>
          <cell r="B1110">
            <v>45005</v>
          </cell>
          <cell r="C1110" t="str">
            <v>C35136</v>
          </cell>
          <cell r="D1110" t="str">
            <v>Laptop</v>
          </cell>
          <cell r="E1110">
            <v>1</v>
          </cell>
          <cell r="F1110">
            <v>634.94000000000005</v>
          </cell>
          <cell r="G1110" t="str">
            <v>462 Main St</v>
          </cell>
          <cell r="H1110" t="str">
            <v>Online</v>
          </cell>
          <cell r="I1110" t="str">
            <v>Cancelled</v>
          </cell>
          <cell r="J1110" t="str">
            <v>TRK49753703</v>
          </cell>
          <cell r="K1110">
            <v>5</v>
          </cell>
          <cell r="L1110" t="str">
            <v>WINTER15</v>
          </cell>
          <cell r="M1110" t="str">
            <v>Instagram</v>
          </cell>
          <cell r="N1110">
            <v>634.94000000000005</v>
          </cell>
        </row>
        <row r="1111">
          <cell r="A1111" t="str">
            <v>ORD201109</v>
          </cell>
          <cell r="B1111">
            <v>45390</v>
          </cell>
          <cell r="C1111" t="str">
            <v>C62277</v>
          </cell>
          <cell r="D1111" t="str">
            <v>Printer</v>
          </cell>
          <cell r="E1111">
            <v>4</v>
          </cell>
          <cell r="F1111">
            <v>77.47</v>
          </cell>
          <cell r="G1111" t="str">
            <v>474 Main St</v>
          </cell>
          <cell r="H1111" t="str">
            <v>Gift Card</v>
          </cell>
          <cell r="I1111" t="str">
            <v>Returned</v>
          </cell>
          <cell r="J1111" t="str">
            <v>TRK32026174</v>
          </cell>
          <cell r="K1111">
            <v>7</v>
          </cell>
          <cell r="L1111" t="str">
            <v>SAVE10</v>
          </cell>
          <cell r="M1111" t="str">
            <v>Instagram</v>
          </cell>
          <cell r="N1111">
            <v>309.88</v>
          </cell>
        </row>
        <row r="1112">
          <cell r="A1112" t="str">
            <v>ORD201110</v>
          </cell>
          <cell r="B1112">
            <v>45347</v>
          </cell>
          <cell r="C1112" t="str">
            <v>C12472</v>
          </cell>
          <cell r="D1112" t="str">
            <v>Chair</v>
          </cell>
          <cell r="E1112">
            <v>3</v>
          </cell>
          <cell r="F1112">
            <v>84.31</v>
          </cell>
          <cell r="G1112" t="str">
            <v>912 Main St</v>
          </cell>
          <cell r="H1112" t="str">
            <v>Credit Card</v>
          </cell>
          <cell r="I1112" t="str">
            <v>Shipped</v>
          </cell>
          <cell r="J1112" t="str">
            <v>TRK36103184</v>
          </cell>
          <cell r="K1112">
            <v>3</v>
          </cell>
          <cell r="L1112" t="str">
            <v>SAVE10</v>
          </cell>
          <cell r="M1112" t="str">
            <v>Email</v>
          </cell>
          <cell r="N1112">
            <v>252.93</v>
          </cell>
        </row>
        <row r="1113">
          <cell r="A1113" t="str">
            <v>ORD201111</v>
          </cell>
          <cell r="B1113">
            <v>45052</v>
          </cell>
          <cell r="C1113" t="str">
            <v>C24047</v>
          </cell>
          <cell r="D1113" t="str">
            <v>Monitor</v>
          </cell>
          <cell r="E1113">
            <v>4</v>
          </cell>
          <cell r="F1113">
            <v>234.45</v>
          </cell>
          <cell r="G1113" t="str">
            <v>362 Main St</v>
          </cell>
          <cell r="H1113" t="str">
            <v>Online</v>
          </cell>
          <cell r="I1113" t="str">
            <v>Cancelled</v>
          </cell>
          <cell r="J1113" t="str">
            <v>TRK91338580</v>
          </cell>
          <cell r="K1113">
            <v>9</v>
          </cell>
          <cell r="L1113" t="str">
            <v>FREESHIP</v>
          </cell>
          <cell r="M1113" t="str">
            <v>Instagram</v>
          </cell>
          <cell r="N1113">
            <v>937.8</v>
          </cell>
        </row>
        <row r="1114">
          <cell r="A1114" t="str">
            <v>ORD201112</v>
          </cell>
          <cell r="B1114">
            <v>45212</v>
          </cell>
          <cell r="C1114" t="str">
            <v>C76929</v>
          </cell>
          <cell r="D1114" t="str">
            <v>Desk</v>
          </cell>
          <cell r="E1114">
            <v>1</v>
          </cell>
          <cell r="F1114">
            <v>356.81</v>
          </cell>
          <cell r="G1114" t="str">
            <v>563 Main St</v>
          </cell>
          <cell r="H1114" t="str">
            <v>Online</v>
          </cell>
          <cell r="I1114" t="str">
            <v>Delivered</v>
          </cell>
          <cell r="J1114" t="str">
            <v>TRK80694400</v>
          </cell>
          <cell r="K1114">
            <v>1</v>
          </cell>
          <cell r="L1114" t="str">
            <v>WINTER15</v>
          </cell>
          <cell r="M1114" t="str">
            <v>Instagram</v>
          </cell>
          <cell r="N1114">
            <v>356.81</v>
          </cell>
        </row>
        <row r="1115">
          <cell r="A1115" t="str">
            <v>ORD201113</v>
          </cell>
          <cell r="B1115">
            <v>45004</v>
          </cell>
          <cell r="C1115" t="str">
            <v>C52914</v>
          </cell>
          <cell r="D1115" t="str">
            <v>Desk</v>
          </cell>
          <cell r="E1115">
            <v>4</v>
          </cell>
          <cell r="F1115">
            <v>209.99</v>
          </cell>
          <cell r="G1115" t="str">
            <v>168 Main St</v>
          </cell>
          <cell r="H1115" t="str">
            <v>Cash</v>
          </cell>
          <cell r="I1115" t="str">
            <v>Delivered</v>
          </cell>
          <cell r="J1115" t="str">
            <v>TRK80819053</v>
          </cell>
          <cell r="K1115">
            <v>8</v>
          </cell>
          <cell r="L1115" t="str">
            <v>No Coupon</v>
          </cell>
          <cell r="M1115" t="str">
            <v>Google</v>
          </cell>
          <cell r="N1115">
            <v>839.96</v>
          </cell>
        </row>
        <row r="1116">
          <cell r="A1116" t="str">
            <v>ORD201114</v>
          </cell>
          <cell r="B1116">
            <v>45001</v>
          </cell>
          <cell r="C1116" t="str">
            <v>C55164</v>
          </cell>
          <cell r="D1116" t="str">
            <v>Tablet</v>
          </cell>
          <cell r="E1116">
            <v>3</v>
          </cell>
          <cell r="F1116">
            <v>659.88</v>
          </cell>
          <cell r="G1116" t="str">
            <v>609 Main St</v>
          </cell>
          <cell r="H1116" t="str">
            <v>Gift Card</v>
          </cell>
          <cell r="I1116" t="str">
            <v>Cancelled</v>
          </cell>
          <cell r="J1116" t="str">
            <v>TRK79610967</v>
          </cell>
          <cell r="K1116">
            <v>3</v>
          </cell>
          <cell r="L1116" t="str">
            <v>No Coupon</v>
          </cell>
          <cell r="M1116" t="str">
            <v>Google</v>
          </cell>
          <cell r="N1116">
            <v>1979.6399999999999</v>
          </cell>
        </row>
        <row r="1117">
          <cell r="A1117" t="str">
            <v>ORD201115</v>
          </cell>
          <cell r="B1117">
            <v>45828</v>
          </cell>
          <cell r="C1117" t="str">
            <v>C70426</v>
          </cell>
          <cell r="D1117" t="str">
            <v>Laptop</v>
          </cell>
          <cell r="E1117">
            <v>2</v>
          </cell>
          <cell r="F1117">
            <v>336.32</v>
          </cell>
          <cell r="G1117" t="str">
            <v>562 Main St</v>
          </cell>
          <cell r="H1117" t="str">
            <v>Online</v>
          </cell>
          <cell r="I1117" t="str">
            <v>Returned</v>
          </cell>
          <cell r="J1117" t="str">
            <v>TRK89687816</v>
          </cell>
          <cell r="K1117">
            <v>3</v>
          </cell>
          <cell r="L1117" t="str">
            <v>No Coupon</v>
          </cell>
          <cell r="M1117" t="str">
            <v>Google</v>
          </cell>
          <cell r="N1117">
            <v>672.64</v>
          </cell>
        </row>
        <row r="1118">
          <cell r="A1118" t="str">
            <v>ORD201116</v>
          </cell>
          <cell r="B1118">
            <v>45213</v>
          </cell>
          <cell r="C1118" t="str">
            <v>C69149</v>
          </cell>
          <cell r="D1118" t="str">
            <v>Printer</v>
          </cell>
          <cell r="E1118">
            <v>2</v>
          </cell>
          <cell r="F1118">
            <v>531.49</v>
          </cell>
          <cell r="G1118" t="str">
            <v>562 Main St</v>
          </cell>
          <cell r="H1118" t="str">
            <v>Credit Card</v>
          </cell>
          <cell r="I1118" t="str">
            <v>Delivered</v>
          </cell>
          <cell r="J1118" t="str">
            <v>TRK61265132</v>
          </cell>
          <cell r="K1118">
            <v>7</v>
          </cell>
          <cell r="L1118" t="str">
            <v>WINTER15</v>
          </cell>
          <cell r="M1118" t="str">
            <v>Facebook</v>
          </cell>
          <cell r="N1118">
            <v>1062.98</v>
          </cell>
        </row>
        <row r="1119">
          <cell r="A1119" t="str">
            <v>ORD201117</v>
          </cell>
          <cell r="B1119">
            <v>45432</v>
          </cell>
          <cell r="C1119" t="str">
            <v>C78684</v>
          </cell>
          <cell r="D1119" t="str">
            <v>Chair</v>
          </cell>
          <cell r="E1119">
            <v>3</v>
          </cell>
          <cell r="F1119">
            <v>588.44000000000005</v>
          </cell>
          <cell r="G1119" t="str">
            <v>858 Main St</v>
          </cell>
          <cell r="H1119" t="str">
            <v>Gift Card</v>
          </cell>
          <cell r="I1119" t="str">
            <v>Shipped</v>
          </cell>
          <cell r="J1119" t="str">
            <v>TRK95779073</v>
          </cell>
          <cell r="K1119">
            <v>8</v>
          </cell>
          <cell r="L1119" t="str">
            <v>WINTER15</v>
          </cell>
          <cell r="M1119" t="str">
            <v>Google</v>
          </cell>
          <cell r="N1119">
            <v>1765.3200000000002</v>
          </cell>
        </row>
        <row r="1120">
          <cell r="A1120" t="str">
            <v>ORD201118</v>
          </cell>
          <cell r="B1120">
            <v>45436</v>
          </cell>
          <cell r="C1120" t="str">
            <v>C58168</v>
          </cell>
          <cell r="D1120" t="str">
            <v>Phone</v>
          </cell>
          <cell r="E1120">
            <v>3</v>
          </cell>
          <cell r="F1120">
            <v>251.48</v>
          </cell>
          <cell r="G1120" t="str">
            <v>359 Main St</v>
          </cell>
          <cell r="H1120" t="str">
            <v>Credit Card</v>
          </cell>
          <cell r="I1120" t="str">
            <v>Returned</v>
          </cell>
          <cell r="J1120" t="str">
            <v>TRK99102265</v>
          </cell>
          <cell r="K1120">
            <v>4</v>
          </cell>
          <cell r="L1120" t="str">
            <v>No Coupon</v>
          </cell>
          <cell r="M1120" t="str">
            <v>Email</v>
          </cell>
          <cell r="N1120">
            <v>754.43999999999994</v>
          </cell>
        </row>
        <row r="1121">
          <cell r="A1121" t="str">
            <v>ORD201119</v>
          </cell>
          <cell r="B1121">
            <v>45620</v>
          </cell>
          <cell r="C1121" t="str">
            <v>C99024</v>
          </cell>
          <cell r="D1121" t="str">
            <v>Laptop</v>
          </cell>
          <cell r="E1121">
            <v>1</v>
          </cell>
          <cell r="F1121">
            <v>684.65</v>
          </cell>
          <cell r="G1121" t="str">
            <v>250 Main St</v>
          </cell>
          <cell r="H1121" t="str">
            <v>Credit Card</v>
          </cell>
          <cell r="I1121" t="str">
            <v>Delivered</v>
          </cell>
          <cell r="J1121" t="str">
            <v>TRK24675988</v>
          </cell>
          <cell r="K1121">
            <v>1</v>
          </cell>
          <cell r="L1121" t="str">
            <v>FREESHIP</v>
          </cell>
          <cell r="M1121" t="str">
            <v>Email</v>
          </cell>
          <cell r="N1121">
            <v>684.65</v>
          </cell>
        </row>
        <row r="1122">
          <cell r="A1122" t="str">
            <v>ORD201120</v>
          </cell>
          <cell r="B1122">
            <v>45787</v>
          </cell>
          <cell r="C1122" t="str">
            <v>C22919</v>
          </cell>
          <cell r="D1122" t="str">
            <v>Tablet</v>
          </cell>
          <cell r="E1122">
            <v>1</v>
          </cell>
          <cell r="F1122">
            <v>195.86</v>
          </cell>
          <cell r="G1122" t="str">
            <v>267 Main St</v>
          </cell>
          <cell r="H1122" t="str">
            <v>Online</v>
          </cell>
          <cell r="I1122" t="str">
            <v>Pending</v>
          </cell>
          <cell r="J1122" t="str">
            <v>TRK82416295</v>
          </cell>
          <cell r="K1122">
            <v>3</v>
          </cell>
          <cell r="L1122" t="str">
            <v>No Coupon</v>
          </cell>
          <cell r="M1122" t="str">
            <v>Facebook</v>
          </cell>
          <cell r="N1122">
            <v>195.86</v>
          </cell>
        </row>
        <row r="1123">
          <cell r="A1123" t="str">
            <v>ORD201121</v>
          </cell>
          <cell r="B1123">
            <v>45074</v>
          </cell>
          <cell r="C1123" t="str">
            <v>C98354</v>
          </cell>
          <cell r="D1123" t="str">
            <v>Phone</v>
          </cell>
          <cell r="E1123">
            <v>3</v>
          </cell>
          <cell r="F1123">
            <v>50.34</v>
          </cell>
          <cell r="G1123" t="str">
            <v>393 Main St</v>
          </cell>
          <cell r="H1123" t="str">
            <v>Gift Card</v>
          </cell>
          <cell r="I1123" t="str">
            <v>Returned</v>
          </cell>
          <cell r="J1123" t="str">
            <v>TRK43070888</v>
          </cell>
          <cell r="K1123">
            <v>3</v>
          </cell>
          <cell r="L1123" t="str">
            <v>FREESHIP</v>
          </cell>
          <cell r="M1123" t="str">
            <v>Instagram</v>
          </cell>
          <cell r="N1123">
            <v>151.02000000000001</v>
          </cell>
        </row>
        <row r="1124">
          <cell r="A1124" t="str">
            <v>ORD201122</v>
          </cell>
          <cell r="B1124">
            <v>45084</v>
          </cell>
          <cell r="C1124" t="str">
            <v>C38840</v>
          </cell>
          <cell r="D1124" t="str">
            <v>Monitor</v>
          </cell>
          <cell r="E1124">
            <v>5</v>
          </cell>
          <cell r="F1124">
            <v>678.19</v>
          </cell>
          <cell r="G1124" t="str">
            <v>766 Main St</v>
          </cell>
          <cell r="H1124" t="str">
            <v>Online</v>
          </cell>
          <cell r="I1124" t="str">
            <v>Returned</v>
          </cell>
          <cell r="J1124" t="str">
            <v>TRK32496970</v>
          </cell>
          <cell r="K1124">
            <v>8</v>
          </cell>
          <cell r="L1124" t="str">
            <v>No Coupon</v>
          </cell>
          <cell r="M1124" t="str">
            <v>Facebook</v>
          </cell>
          <cell r="N1124">
            <v>3390.9500000000003</v>
          </cell>
        </row>
        <row r="1125">
          <cell r="A1125" t="str">
            <v>ORD201123</v>
          </cell>
          <cell r="B1125">
            <v>45030</v>
          </cell>
          <cell r="C1125" t="str">
            <v>C68936</v>
          </cell>
          <cell r="D1125" t="str">
            <v>Tablet</v>
          </cell>
          <cell r="E1125">
            <v>3</v>
          </cell>
          <cell r="F1125">
            <v>554.25</v>
          </cell>
          <cell r="G1125" t="str">
            <v>843 Main St</v>
          </cell>
          <cell r="H1125" t="str">
            <v>Debit Card</v>
          </cell>
          <cell r="I1125" t="str">
            <v>Shipped</v>
          </cell>
          <cell r="J1125" t="str">
            <v>TRK73163634</v>
          </cell>
          <cell r="K1125">
            <v>6</v>
          </cell>
          <cell r="L1125" t="str">
            <v>WINTER15</v>
          </cell>
          <cell r="M1125" t="str">
            <v>Referral</v>
          </cell>
          <cell r="N1125">
            <v>1662.75</v>
          </cell>
        </row>
        <row r="1126">
          <cell r="A1126" t="str">
            <v>ORD201124</v>
          </cell>
          <cell r="B1126">
            <v>45055</v>
          </cell>
          <cell r="C1126" t="str">
            <v>C33744</v>
          </cell>
          <cell r="D1126" t="str">
            <v>Chair</v>
          </cell>
          <cell r="E1126">
            <v>4</v>
          </cell>
          <cell r="F1126">
            <v>576.87</v>
          </cell>
          <cell r="G1126" t="str">
            <v>888 Main St</v>
          </cell>
          <cell r="H1126" t="str">
            <v>Gift Card</v>
          </cell>
          <cell r="I1126" t="str">
            <v>Returned</v>
          </cell>
          <cell r="J1126" t="str">
            <v>TRK40245983</v>
          </cell>
          <cell r="K1126">
            <v>5</v>
          </cell>
          <cell r="L1126" t="str">
            <v>No Coupon</v>
          </cell>
          <cell r="M1126" t="str">
            <v>Instagram</v>
          </cell>
          <cell r="N1126">
            <v>2307.48</v>
          </cell>
        </row>
        <row r="1127">
          <cell r="A1127" t="str">
            <v>ORD201125</v>
          </cell>
          <cell r="B1127">
            <v>45215</v>
          </cell>
          <cell r="C1127" t="str">
            <v>C23555</v>
          </cell>
          <cell r="D1127" t="str">
            <v>Desk</v>
          </cell>
          <cell r="E1127">
            <v>4</v>
          </cell>
          <cell r="F1127">
            <v>408.36</v>
          </cell>
          <cell r="G1127" t="str">
            <v>156 Main St</v>
          </cell>
          <cell r="H1127" t="str">
            <v>Gift Card</v>
          </cell>
          <cell r="I1127" t="str">
            <v>Cancelled</v>
          </cell>
          <cell r="J1127" t="str">
            <v>TRK67210247</v>
          </cell>
          <cell r="K1127">
            <v>4</v>
          </cell>
          <cell r="L1127" t="str">
            <v>FREESHIP</v>
          </cell>
          <cell r="M1127" t="str">
            <v>Referral</v>
          </cell>
          <cell r="N1127">
            <v>1633.44</v>
          </cell>
        </row>
        <row r="1128">
          <cell r="A1128" t="str">
            <v>ORD201126</v>
          </cell>
          <cell r="B1128">
            <v>45495</v>
          </cell>
          <cell r="C1128" t="str">
            <v>C34337</v>
          </cell>
          <cell r="D1128" t="str">
            <v>Phone</v>
          </cell>
          <cell r="E1128">
            <v>5</v>
          </cell>
          <cell r="F1128">
            <v>190.11</v>
          </cell>
          <cell r="G1128" t="str">
            <v>325 Main St</v>
          </cell>
          <cell r="H1128" t="str">
            <v>Cash</v>
          </cell>
          <cell r="I1128" t="str">
            <v>Delivered</v>
          </cell>
          <cell r="J1128" t="str">
            <v>TRK36195559</v>
          </cell>
          <cell r="K1128">
            <v>7</v>
          </cell>
          <cell r="L1128" t="str">
            <v>SAVE10</v>
          </cell>
          <cell r="M1128" t="str">
            <v>Google</v>
          </cell>
          <cell r="N1128">
            <v>950.55000000000007</v>
          </cell>
        </row>
        <row r="1129">
          <cell r="A1129" t="str">
            <v>ORD201127</v>
          </cell>
          <cell r="B1129">
            <v>45731</v>
          </cell>
          <cell r="C1129" t="str">
            <v>C69396</v>
          </cell>
          <cell r="D1129" t="str">
            <v>Printer</v>
          </cell>
          <cell r="E1129">
            <v>3</v>
          </cell>
          <cell r="F1129">
            <v>602.75</v>
          </cell>
          <cell r="G1129" t="str">
            <v>920 Main St</v>
          </cell>
          <cell r="H1129" t="str">
            <v>Credit Card</v>
          </cell>
          <cell r="I1129" t="str">
            <v>Shipped</v>
          </cell>
          <cell r="J1129" t="str">
            <v>TRK33155049</v>
          </cell>
          <cell r="K1129">
            <v>6</v>
          </cell>
          <cell r="L1129" t="str">
            <v>SAVE10</v>
          </cell>
          <cell r="M1129" t="str">
            <v>Email</v>
          </cell>
          <cell r="N1129">
            <v>1808.25</v>
          </cell>
        </row>
        <row r="1130">
          <cell r="A1130" t="str">
            <v>ORD201128</v>
          </cell>
          <cell r="B1130">
            <v>45155</v>
          </cell>
          <cell r="C1130" t="str">
            <v>C49198</v>
          </cell>
          <cell r="D1130" t="str">
            <v>Monitor</v>
          </cell>
          <cell r="E1130">
            <v>3</v>
          </cell>
          <cell r="F1130">
            <v>646.79</v>
          </cell>
          <cell r="G1130" t="str">
            <v>447 Main St</v>
          </cell>
          <cell r="H1130" t="str">
            <v>Cash</v>
          </cell>
          <cell r="I1130" t="str">
            <v>Cancelled</v>
          </cell>
          <cell r="J1130" t="str">
            <v>TRK10883354</v>
          </cell>
          <cell r="K1130">
            <v>5</v>
          </cell>
          <cell r="L1130" t="str">
            <v>WINTER15</v>
          </cell>
          <cell r="M1130" t="str">
            <v>Google</v>
          </cell>
          <cell r="N1130">
            <v>1940.37</v>
          </cell>
        </row>
        <row r="1131">
          <cell r="A1131" t="str">
            <v>ORD201129</v>
          </cell>
          <cell r="B1131">
            <v>45088</v>
          </cell>
          <cell r="C1131" t="str">
            <v>C43911</v>
          </cell>
          <cell r="D1131" t="str">
            <v>Chair</v>
          </cell>
          <cell r="E1131">
            <v>4</v>
          </cell>
          <cell r="F1131">
            <v>418.71</v>
          </cell>
          <cell r="G1131" t="str">
            <v>239 Main St</v>
          </cell>
          <cell r="H1131" t="str">
            <v>Cash</v>
          </cell>
          <cell r="I1131" t="str">
            <v>Pending</v>
          </cell>
          <cell r="J1131" t="str">
            <v>TRK37495481</v>
          </cell>
          <cell r="K1131">
            <v>8</v>
          </cell>
          <cell r="L1131" t="str">
            <v>FREESHIP</v>
          </cell>
          <cell r="M1131" t="str">
            <v>Instagram</v>
          </cell>
          <cell r="N1131">
            <v>1674.84</v>
          </cell>
        </row>
        <row r="1132">
          <cell r="A1132" t="str">
            <v>ORD201130</v>
          </cell>
          <cell r="B1132">
            <v>45704</v>
          </cell>
          <cell r="C1132" t="str">
            <v>C24347</v>
          </cell>
          <cell r="D1132" t="str">
            <v>Laptop</v>
          </cell>
          <cell r="E1132">
            <v>2</v>
          </cell>
          <cell r="F1132">
            <v>323.45</v>
          </cell>
          <cell r="G1132" t="str">
            <v>533 Main St</v>
          </cell>
          <cell r="H1132" t="str">
            <v>Credit Card</v>
          </cell>
          <cell r="I1132" t="str">
            <v>Returned</v>
          </cell>
          <cell r="J1132" t="str">
            <v>TRK27233265</v>
          </cell>
          <cell r="K1132">
            <v>5</v>
          </cell>
          <cell r="L1132" t="str">
            <v>FREESHIP</v>
          </cell>
          <cell r="M1132" t="str">
            <v>Instagram</v>
          </cell>
          <cell r="N1132">
            <v>646.9</v>
          </cell>
        </row>
        <row r="1133">
          <cell r="A1133" t="str">
            <v>ORD201131</v>
          </cell>
          <cell r="B1133">
            <v>45491</v>
          </cell>
          <cell r="C1133" t="str">
            <v>C21043</v>
          </cell>
          <cell r="D1133" t="str">
            <v>Phone</v>
          </cell>
          <cell r="E1133">
            <v>1</v>
          </cell>
          <cell r="F1133">
            <v>694.5</v>
          </cell>
          <cell r="G1133" t="str">
            <v>195 Main St</v>
          </cell>
          <cell r="H1133" t="str">
            <v>Credit Card</v>
          </cell>
          <cell r="I1133" t="str">
            <v>Pending</v>
          </cell>
          <cell r="J1133" t="str">
            <v>TRK41691086</v>
          </cell>
          <cell r="K1133">
            <v>3</v>
          </cell>
          <cell r="L1133" t="str">
            <v>WINTER15</v>
          </cell>
          <cell r="M1133" t="str">
            <v>Facebook</v>
          </cell>
          <cell r="N1133">
            <v>694.5</v>
          </cell>
        </row>
        <row r="1134">
          <cell r="A1134" t="str">
            <v>ORD201132</v>
          </cell>
          <cell r="B1134">
            <v>45628</v>
          </cell>
          <cell r="C1134" t="str">
            <v>C58858</v>
          </cell>
          <cell r="D1134" t="str">
            <v>Chair</v>
          </cell>
          <cell r="E1134">
            <v>2</v>
          </cell>
          <cell r="F1134">
            <v>337.32</v>
          </cell>
          <cell r="G1134" t="str">
            <v>948 Main St</v>
          </cell>
          <cell r="H1134" t="str">
            <v>Credit Card</v>
          </cell>
          <cell r="I1134" t="str">
            <v>Cancelled</v>
          </cell>
          <cell r="J1134" t="str">
            <v>TRK30406357</v>
          </cell>
          <cell r="K1134">
            <v>4</v>
          </cell>
          <cell r="L1134" t="str">
            <v>SAVE10</v>
          </cell>
          <cell r="M1134" t="str">
            <v>Email</v>
          </cell>
          <cell r="N1134">
            <v>674.64</v>
          </cell>
        </row>
        <row r="1135">
          <cell r="A1135" t="str">
            <v>ORD201133</v>
          </cell>
          <cell r="B1135">
            <v>45391</v>
          </cell>
          <cell r="C1135" t="str">
            <v>C20670</v>
          </cell>
          <cell r="D1135" t="str">
            <v>Printer</v>
          </cell>
          <cell r="E1135">
            <v>2</v>
          </cell>
          <cell r="F1135">
            <v>467.91</v>
          </cell>
          <cell r="G1135" t="str">
            <v>432 Main St</v>
          </cell>
          <cell r="H1135" t="str">
            <v>Gift Card</v>
          </cell>
          <cell r="I1135" t="str">
            <v>Returned</v>
          </cell>
          <cell r="J1135" t="str">
            <v>TRK76731303</v>
          </cell>
          <cell r="K1135">
            <v>5</v>
          </cell>
          <cell r="L1135" t="str">
            <v>WINTER15</v>
          </cell>
          <cell r="M1135" t="str">
            <v>Facebook</v>
          </cell>
          <cell r="N1135">
            <v>935.82</v>
          </cell>
        </row>
        <row r="1136">
          <cell r="A1136" t="str">
            <v>ORD201134</v>
          </cell>
          <cell r="B1136">
            <v>45451</v>
          </cell>
          <cell r="C1136" t="str">
            <v>C90993</v>
          </cell>
          <cell r="D1136" t="str">
            <v>Desk</v>
          </cell>
          <cell r="E1136">
            <v>4</v>
          </cell>
          <cell r="F1136">
            <v>38.28</v>
          </cell>
          <cell r="G1136" t="str">
            <v>950 Main St</v>
          </cell>
          <cell r="H1136" t="str">
            <v>Debit Card</v>
          </cell>
          <cell r="I1136" t="str">
            <v>Cancelled</v>
          </cell>
          <cell r="J1136" t="str">
            <v>TRK53964711</v>
          </cell>
          <cell r="K1136">
            <v>4</v>
          </cell>
          <cell r="L1136" t="str">
            <v>WINTER15</v>
          </cell>
          <cell r="M1136" t="str">
            <v>Facebook</v>
          </cell>
          <cell r="N1136">
            <v>153.12</v>
          </cell>
        </row>
        <row r="1137">
          <cell r="A1137" t="str">
            <v>ORD201135</v>
          </cell>
          <cell r="B1137">
            <v>45288</v>
          </cell>
          <cell r="C1137" t="str">
            <v>C11473</v>
          </cell>
          <cell r="D1137" t="str">
            <v>Printer</v>
          </cell>
          <cell r="E1137">
            <v>2</v>
          </cell>
          <cell r="F1137">
            <v>73.41</v>
          </cell>
          <cell r="G1137" t="str">
            <v>562 Main St</v>
          </cell>
          <cell r="H1137" t="str">
            <v>Online</v>
          </cell>
          <cell r="I1137" t="str">
            <v>Shipped</v>
          </cell>
          <cell r="J1137" t="str">
            <v>TRK97793275</v>
          </cell>
          <cell r="K1137">
            <v>2</v>
          </cell>
          <cell r="L1137" t="str">
            <v>SAVE10</v>
          </cell>
          <cell r="M1137" t="str">
            <v>Google</v>
          </cell>
          <cell r="N1137">
            <v>146.82</v>
          </cell>
        </row>
        <row r="1138">
          <cell r="A1138" t="str">
            <v>ORD201136</v>
          </cell>
          <cell r="B1138">
            <v>45193</v>
          </cell>
          <cell r="C1138" t="str">
            <v>C71899</v>
          </cell>
          <cell r="D1138" t="str">
            <v>Tablet</v>
          </cell>
          <cell r="E1138">
            <v>3</v>
          </cell>
          <cell r="F1138">
            <v>668.33</v>
          </cell>
          <cell r="G1138" t="str">
            <v>799 Main St</v>
          </cell>
          <cell r="H1138" t="str">
            <v>Gift Card</v>
          </cell>
          <cell r="I1138" t="str">
            <v>Pending</v>
          </cell>
          <cell r="J1138" t="str">
            <v>TRK34856025</v>
          </cell>
          <cell r="K1138">
            <v>4</v>
          </cell>
          <cell r="L1138" t="str">
            <v>WINTER15</v>
          </cell>
          <cell r="M1138" t="str">
            <v>Facebook</v>
          </cell>
          <cell r="N1138">
            <v>2004.9900000000002</v>
          </cell>
        </row>
        <row r="1139">
          <cell r="A1139" t="str">
            <v>ORD201137</v>
          </cell>
          <cell r="B1139">
            <v>45502</v>
          </cell>
          <cell r="C1139" t="str">
            <v>C48577</v>
          </cell>
          <cell r="D1139" t="str">
            <v>Printer</v>
          </cell>
          <cell r="E1139">
            <v>4</v>
          </cell>
          <cell r="F1139">
            <v>410.21</v>
          </cell>
          <cell r="G1139" t="str">
            <v>841 Main St</v>
          </cell>
          <cell r="H1139" t="str">
            <v>Cash</v>
          </cell>
          <cell r="I1139" t="str">
            <v>Pending</v>
          </cell>
          <cell r="J1139" t="str">
            <v>TRK59911645</v>
          </cell>
          <cell r="K1139">
            <v>5</v>
          </cell>
          <cell r="L1139" t="str">
            <v>WINTER15</v>
          </cell>
          <cell r="M1139" t="str">
            <v>Instagram</v>
          </cell>
          <cell r="N1139">
            <v>1640.84</v>
          </cell>
        </row>
        <row r="1140">
          <cell r="A1140" t="str">
            <v>ORD201138</v>
          </cell>
          <cell r="B1140">
            <v>45278</v>
          </cell>
          <cell r="C1140" t="str">
            <v>C13100</v>
          </cell>
          <cell r="D1140" t="str">
            <v>Desk</v>
          </cell>
          <cell r="E1140">
            <v>4</v>
          </cell>
          <cell r="F1140">
            <v>294.41000000000003</v>
          </cell>
          <cell r="G1140" t="str">
            <v>188 Main St</v>
          </cell>
          <cell r="H1140" t="str">
            <v>Debit Card</v>
          </cell>
          <cell r="I1140" t="str">
            <v>Pending</v>
          </cell>
          <cell r="J1140" t="str">
            <v>TRK55565668</v>
          </cell>
          <cell r="K1140">
            <v>4</v>
          </cell>
          <cell r="L1140" t="str">
            <v>No Coupon</v>
          </cell>
          <cell r="M1140" t="str">
            <v>Instagram</v>
          </cell>
          <cell r="N1140">
            <v>1177.6400000000001</v>
          </cell>
        </row>
        <row r="1141">
          <cell r="A1141" t="str">
            <v>ORD201139</v>
          </cell>
          <cell r="B1141">
            <v>45717</v>
          </cell>
          <cell r="C1141" t="str">
            <v>C70659</v>
          </cell>
          <cell r="D1141" t="str">
            <v>Chair</v>
          </cell>
          <cell r="E1141">
            <v>3</v>
          </cell>
          <cell r="F1141">
            <v>501.82</v>
          </cell>
          <cell r="G1141" t="str">
            <v>568 Main St</v>
          </cell>
          <cell r="H1141" t="str">
            <v>Gift Card</v>
          </cell>
          <cell r="I1141" t="str">
            <v>Cancelled</v>
          </cell>
          <cell r="J1141" t="str">
            <v>TRK28290825</v>
          </cell>
          <cell r="K1141">
            <v>4</v>
          </cell>
          <cell r="L1141" t="str">
            <v>FREESHIP</v>
          </cell>
          <cell r="M1141" t="str">
            <v>Email</v>
          </cell>
          <cell r="N1141">
            <v>1505.46</v>
          </cell>
        </row>
        <row r="1142">
          <cell r="A1142" t="str">
            <v>ORD201140</v>
          </cell>
          <cell r="B1142">
            <v>45467</v>
          </cell>
          <cell r="C1142" t="str">
            <v>C49838</v>
          </cell>
          <cell r="D1142" t="str">
            <v>Printer</v>
          </cell>
          <cell r="E1142">
            <v>2</v>
          </cell>
          <cell r="F1142">
            <v>552.83000000000004</v>
          </cell>
          <cell r="G1142" t="str">
            <v>904 Main St</v>
          </cell>
          <cell r="H1142" t="str">
            <v>Credit Card</v>
          </cell>
          <cell r="I1142" t="str">
            <v>Cancelled</v>
          </cell>
          <cell r="J1142" t="str">
            <v>TRK38297718</v>
          </cell>
          <cell r="K1142">
            <v>3</v>
          </cell>
          <cell r="L1142" t="str">
            <v>No Coupon</v>
          </cell>
          <cell r="M1142" t="str">
            <v>Referral</v>
          </cell>
          <cell r="N1142">
            <v>1105.6600000000001</v>
          </cell>
        </row>
        <row r="1143">
          <cell r="A1143" t="str">
            <v>ORD201141</v>
          </cell>
          <cell r="B1143">
            <v>45704</v>
          </cell>
          <cell r="C1143" t="str">
            <v>C11998</v>
          </cell>
          <cell r="D1143" t="str">
            <v>Chair</v>
          </cell>
          <cell r="E1143">
            <v>3</v>
          </cell>
          <cell r="F1143">
            <v>498.66</v>
          </cell>
          <cell r="G1143" t="str">
            <v>382 Main St</v>
          </cell>
          <cell r="H1143" t="str">
            <v>Cash</v>
          </cell>
          <cell r="I1143" t="str">
            <v>Cancelled</v>
          </cell>
          <cell r="J1143" t="str">
            <v>TRK26707221</v>
          </cell>
          <cell r="K1143">
            <v>6</v>
          </cell>
          <cell r="L1143" t="str">
            <v>No Coupon</v>
          </cell>
          <cell r="M1143" t="str">
            <v>Email</v>
          </cell>
          <cell r="N1143">
            <v>1495.98</v>
          </cell>
        </row>
        <row r="1144">
          <cell r="A1144" t="str">
            <v>ORD201142</v>
          </cell>
          <cell r="B1144">
            <v>45527</v>
          </cell>
          <cell r="C1144" t="str">
            <v>C23405</v>
          </cell>
          <cell r="D1144" t="str">
            <v>Phone</v>
          </cell>
          <cell r="E1144">
            <v>4</v>
          </cell>
          <cell r="F1144">
            <v>695.1</v>
          </cell>
          <cell r="G1144" t="str">
            <v>484 Main St</v>
          </cell>
          <cell r="H1144" t="str">
            <v>Debit Card</v>
          </cell>
          <cell r="I1144" t="str">
            <v>Returned</v>
          </cell>
          <cell r="J1144" t="str">
            <v>TRK83678708</v>
          </cell>
          <cell r="K1144">
            <v>8</v>
          </cell>
          <cell r="L1144" t="str">
            <v>No Coupon</v>
          </cell>
          <cell r="M1144" t="str">
            <v>Email</v>
          </cell>
          <cell r="N1144">
            <v>2780.4</v>
          </cell>
        </row>
        <row r="1145">
          <cell r="A1145" t="str">
            <v>ORD201143</v>
          </cell>
          <cell r="B1145">
            <v>45019</v>
          </cell>
          <cell r="C1145" t="str">
            <v>C41132</v>
          </cell>
          <cell r="D1145" t="str">
            <v>Chair</v>
          </cell>
          <cell r="E1145">
            <v>1</v>
          </cell>
          <cell r="F1145">
            <v>381.61</v>
          </cell>
          <cell r="G1145" t="str">
            <v>114 Main St</v>
          </cell>
          <cell r="H1145" t="str">
            <v>Debit Card</v>
          </cell>
          <cell r="I1145" t="str">
            <v>Pending</v>
          </cell>
          <cell r="J1145" t="str">
            <v>TRK51040137</v>
          </cell>
          <cell r="K1145">
            <v>5</v>
          </cell>
          <cell r="L1145" t="str">
            <v>No Coupon</v>
          </cell>
          <cell r="M1145" t="str">
            <v>Email</v>
          </cell>
          <cell r="N1145">
            <v>381.61</v>
          </cell>
        </row>
        <row r="1146">
          <cell r="A1146" t="str">
            <v>ORD201144</v>
          </cell>
          <cell r="B1146">
            <v>44973</v>
          </cell>
          <cell r="C1146" t="str">
            <v>C88463</v>
          </cell>
          <cell r="D1146" t="str">
            <v>Desk</v>
          </cell>
          <cell r="E1146">
            <v>5</v>
          </cell>
          <cell r="F1146">
            <v>507.94</v>
          </cell>
          <cell r="G1146" t="str">
            <v>292 Main St</v>
          </cell>
          <cell r="H1146" t="str">
            <v>Online</v>
          </cell>
          <cell r="I1146" t="str">
            <v>Cancelled</v>
          </cell>
          <cell r="J1146" t="str">
            <v>TRK88749996</v>
          </cell>
          <cell r="K1146">
            <v>9</v>
          </cell>
          <cell r="L1146" t="str">
            <v>No Coupon</v>
          </cell>
          <cell r="M1146" t="str">
            <v>Facebook</v>
          </cell>
          <cell r="N1146">
            <v>2539.6999999999998</v>
          </cell>
        </row>
        <row r="1147">
          <cell r="A1147" t="str">
            <v>ORD201145</v>
          </cell>
          <cell r="B1147">
            <v>45789</v>
          </cell>
          <cell r="C1147" t="str">
            <v>C28152</v>
          </cell>
          <cell r="D1147" t="str">
            <v>Desk</v>
          </cell>
          <cell r="E1147">
            <v>3</v>
          </cell>
          <cell r="F1147">
            <v>571.53</v>
          </cell>
          <cell r="G1147" t="str">
            <v>821 Main St</v>
          </cell>
          <cell r="H1147" t="str">
            <v>Debit Card</v>
          </cell>
          <cell r="I1147" t="str">
            <v>Delivered</v>
          </cell>
          <cell r="J1147" t="str">
            <v>TRK59642814</v>
          </cell>
          <cell r="K1147">
            <v>6</v>
          </cell>
          <cell r="L1147" t="str">
            <v>FREESHIP</v>
          </cell>
          <cell r="M1147" t="str">
            <v>Facebook</v>
          </cell>
          <cell r="N1147">
            <v>1714.59</v>
          </cell>
        </row>
        <row r="1148">
          <cell r="A1148" t="str">
            <v>ORD201146</v>
          </cell>
          <cell r="B1148">
            <v>45568</v>
          </cell>
          <cell r="C1148" t="str">
            <v>C36383</v>
          </cell>
          <cell r="D1148" t="str">
            <v>Monitor</v>
          </cell>
          <cell r="E1148">
            <v>5</v>
          </cell>
          <cell r="F1148">
            <v>421.44</v>
          </cell>
          <cell r="G1148" t="str">
            <v>286 Main St</v>
          </cell>
          <cell r="H1148" t="str">
            <v>Cash</v>
          </cell>
          <cell r="I1148" t="str">
            <v>Pending</v>
          </cell>
          <cell r="J1148" t="str">
            <v>TRK93336357</v>
          </cell>
          <cell r="K1148">
            <v>5</v>
          </cell>
          <cell r="L1148" t="str">
            <v>SAVE10</v>
          </cell>
          <cell r="M1148" t="str">
            <v>Instagram</v>
          </cell>
          <cell r="N1148">
            <v>2107.1999999999998</v>
          </cell>
        </row>
        <row r="1149">
          <cell r="A1149" t="str">
            <v>ORD201147</v>
          </cell>
          <cell r="B1149">
            <v>45659</v>
          </cell>
          <cell r="C1149" t="str">
            <v>C19759</v>
          </cell>
          <cell r="D1149" t="str">
            <v>Chair</v>
          </cell>
          <cell r="E1149">
            <v>2</v>
          </cell>
          <cell r="F1149">
            <v>588.29999999999995</v>
          </cell>
          <cell r="G1149" t="str">
            <v>234 Main St</v>
          </cell>
          <cell r="H1149" t="str">
            <v>Online</v>
          </cell>
          <cell r="I1149" t="str">
            <v>Pending</v>
          </cell>
          <cell r="J1149" t="str">
            <v>TRK22515454</v>
          </cell>
          <cell r="K1149">
            <v>2</v>
          </cell>
          <cell r="L1149" t="str">
            <v>FREESHIP</v>
          </cell>
          <cell r="M1149" t="str">
            <v>Email</v>
          </cell>
          <cell r="N1149">
            <v>1176.5999999999999</v>
          </cell>
        </row>
        <row r="1150">
          <cell r="A1150" t="str">
            <v>ORD201148</v>
          </cell>
          <cell r="B1150">
            <v>45468</v>
          </cell>
          <cell r="C1150" t="str">
            <v>C54886</v>
          </cell>
          <cell r="D1150" t="str">
            <v>Phone</v>
          </cell>
          <cell r="E1150">
            <v>1</v>
          </cell>
          <cell r="F1150">
            <v>355.15</v>
          </cell>
          <cell r="G1150" t="str">
            <v>442 Main St</v>
          </cell>
          <cell r="H1150" t="str">
            <v>Cash</v>
          </cell>
          <cell r="I1150" t="str">
            <v>Returned</v>
          </cell>
          <cell r="J1150" t="str">
            <v>TRK66241930</v>
          </cell>
          <cell r="K1150">
            <v>2</v>
          </cell>
          <cell r="L1150" t="str">
            <v>SAVE10</v>
          </cell>
          <cell r="M1150" t="str">
            <v>Email</v>
          </cell>
          <cell r="N1150">
            <v>355.15</v>
          </cell>
        </row>
        <row r="1151">
          <cell r="A1151" t="str">
            <v>ORD201149</v>
          </cell>
          <cell r="B1151">
            <v>45498</v>
          </cell>
          <cell r="C1151" t="str">
            <v>C27305</v>
          </cell>
          <cell r="D1151" t="str">
            <v>Chair</v>
          </cell>
          <cell r="E1151">
            <v>2</v>
          </cell>
          <cell r="F1151">
            <v>695.29</v>
          </cell>
          <cell r="G1151" t="str">
            <v>957 Main St</v>
          </cell>
          <cell r="H1151" t="str">
            <v>Credit Card</v>
          </cell>
          <cell r="I1151" t="str">
            <v>Pending</v>
          </cell>
          <cell r="J1151" t="str">
            <v>TRK28789916</v>
          </cell>
          <cell r="K1151">
            <v>6</v>
          </cell>
          <cell r="L1151" t="str">
            <v>FREESHIP</v>
          </cell>
          <cell r="M1151" t="str">
            <v>Instagram</v>
          </cell>
          <cell r="N1151">
            <v>1390.58</v>
          </cell>
        </row>
        <row r="1152">
          <cell r="A1152" t="str">
            <v>ORD201150</v>
          </cell>
          <cell r="B1152">
            <v>44977</v>
          </cell>
          <cell r="C1152" t="str">
            <v>C17921</v>
          </cell>
          <cell r="D1152" t="str">
            <v>Desk</v>
          </cell>
          <cell r="E1152">
            <v>4</v>
          </cell>
          <cell r="F1152">
            <v>302.64999999999998</v>
          </cell>
          <cell r="G1152" t="str">
            <v>119 Main St</v>
          </cell>
          <cell r="H1152" t="str">
            <v>Credit Card</v>
          </cell>
          <cell r="I1152" t="str">
            <v>Cancelled</v>
          </cell>
          <cell r="J1152" t="str">
            <v>TRK79291524</v>
          </cell>
          <cell r="K1152">
            <v>8</v>
          </cell>
          <cell r="L1152" t="str">
            <v>SAVE10</v>
          </cell>
          <cell r="M1152" t="str">
            <v>Referral</v>
          </cell>
          <cell r="N1152">
            <v>1210.5999999999999</v>
          </cell>
        </row>
        <row r="1153">
          <cell r="A1153" t="str">
            <v>ORD201151</v>
          </cell>
          <cell r="B1153">
            <v>44955</v>
          </cell>
          <cell r="C1153" t="str">
            <v>C94381</v>
          </cell>
          <cell r="D1153" t="str">
            <v>Chair</v>
          </cell>
          <cell r="E1153">
            <v>2</v>
          </cell>
          <cell r="F1153">
            <v>608.04</v>
          </cell>
          <cell r="G1153" t="str">
            <v>962 Main St</v>
          </cell>
          <cell r="H1153" t="str">
            <v>Cash</v>
          </cell>
          <cell r="I1153" t="str">
            <v>Cancelled</v>
          </cell>
          <cell r="J1153" t="str">
            <v>TRK69804304</v>
          </cell>
          <cell r="K1153">
            <v>4</v>
          </cell>
          <cell r="L1153" t="str">
            <v>No Coupon</v>
          </cell>
          <cell r="M1153" t="str">
            <v>Google</v>
          </cell>
          <cell r="N1153">
            <v>1216.08</v>
          </cell>
        </row>
        <row r="1154">
          <cell r="A1154" t="str">
            <v>ORD201152</v>
          </cell>
          <cell r="B1154">
            <v>45239</v>
          </cell>
          <cell r="C1154" t="str">
            <v>C25162</v>
          </cell>
          <cell r="D1154" t="str">
            <v>Tablet</v>
          </cell>
          <cell r="E1154">
            <v>2</v>
          </cell>
          <cell r="F1154">
            <v>344.18</v>
          </cell>
          <cell r="G1154" t="str">
            <v>533 Main St</v>
          </cell>
          <cell r="H1154" t="str">
            <v>Credit Card</v>
          </cell>
          <cell r="I1154" t="str">
            <v>Shipped</v>
          </cell>
          <cell r="J1154" t="str">
            <v>TRK42183078</v>
          </cell>
          <cell r="K1154">
            <v>7</v>
          </cell>
          <cell r="L1154" t="str">
            <v>No Coupon</v>
          </cell>
          <cell r="M1154" t="str">
            <v>Referral</v>
          </cell>
          <cell r="N1154">
            <v>688.36</v>
          </cell>
        </row>
        <row r="1155">
          <cell r="A1155" t="str">
            <v>ORD201153</v>
          </cell>
          <cell r="B1155">
            <v>45642</v>
          </cell>
          <cell r="C1155" t="str">
            <v>C98317</v>
          </cell>
          <cell r="D1155" t="str">
            <v>Monitor</v>
          </cell>
          <cell r="E1155">
            <v>4</v>
          </cell>
          <cell r="F1155">
            <v>696.71</v>
          </cell>
          <cell r="G1155" t="str">
            <v>276 Main St</v>
          </cell>
          <cell r="H1155" t="str">
            <v>Debit Card</v>
          </cell>
          <cell r="I1155" t="str">
            <v>Shipped</v>
          </cell>
          <cell r="J1155" t="str">
            <v>TRK37172138</v>
          </cell>
          <cell r="K1155">
            <v>4</v>
          </cell>
          <cell r="L1155" t="str">
            <v>No Coupon</v>
          </cell>
          <cell r="M1155" t="str">
            <v>Instagram</v>
          </cell>
          <cell r="N1155">
            <v>2786.84</v>
          </cell>
        </row>
        <row r="1156">
          <cell r="A1156" t="str">
            <v>ORD201154</v>
          </cell>
          <cell r="B1156">
            <v>45819</v>
          </cell>
          <cell r="C1156" t="str">
            <v>C53631</v>
          </cell>
          <cell r="D1156" t="str">
            <v>Monitor</v>
          </cell>
          <cell r="E1156">
            <v>3</v>
          </cell>
          <cell r="F1156">
            <v>198.63</v>
          </cell>
          <cell r="G1156" t="str">
            <v>593 Main St</v>
          </cell>
          <cell r="H1156" t="str">
            <v>Cash</v>
          </cell>
          <cell r="I1156" t="str">
            <v>Pending</v>
          </cell>
          <cell r="J1156" t="str">
            <v>TRK67589167</v>
          </cell>
          <cell r="K1156">
            <v>8</v>
          </cell>
          <cell r="L1156" t="str">
            <v>SAVE10</v>
          </cell>
          <cell r="M1156" t="str">
            <v>Instagram</v>
          </cell>
          <cell r="N1156">
            <v>595.89</v>
          </cell>
        </row>
        <row r="1157">
          <cell r="A1157" t="str">
            <v>ORD201155</v>
          </cell>
          <cell r="B1157">
            <v>45151</v>
          </cell>
          <cell r="C1157" t="str">
            <v>C41478</v>
          </cell>
          <cell r="D1157" t="str">
            <v>Printer</v>
          </cell>
          <cell r="E1157">
            <v>4</v>
          </cell>
          <cell r="F1157">
            <v>534.57000000000005</v>
          </cell>
          <cell r="G1157" t="str">
            <v>667 Main St</v>
          </cell>
          <cell r="H1157" t="str">
            <v>Credit Card</v>
          </cell>
          <cell r="I1157" t="str">
            <v>Delivered</v>
          </cell>
          <cell r="J1157" t="str">
            <v>TRK62068126</v>
          </cell>
          <cell r="K1157">
            <v>6</v>
          </cell>
          <cell r="L1157" t="str">
            <v>FREESHIP</v>
          </cell>
          <cell r="M1157" t="str">
            <v>Facebook</v>
          </cell>
          <cell r="N1157">
            <v>2138.2800000000002</v>
          </cell>
        </row>
        <row r="1158">
          <cell r="A1158" t="str">
            <v>ORD201156</v>
          </cell>
          <cell r="B1158">
            <v>45126</v>
          </cell>
          <cell r="C1158" t="str">
            <v>C20512</v>
          </cell>
          <cell r="D1158" t="str">
            <v>Laptop</v>
          </cell>
          <cell r="E1158">
            <v>4</v>
          </cell>
          <cell r="F1158">
            <v>690.78</v>
          </cell>
          <cell r="G1158" t="str">
            <v>980 Main St</v>
          </cell>
          <cell r="H1158" t="str">
            <v>Credit Card</v>
          </cell>
          <cell r="I1158" t="str">
            <v>Shipped</v>
          </cell>
          <cell r="J1158" t="str">
            <v>TRK98234737</v>
          </cell>
          <cell r="K1158">
            <v>9</v>
          </cell>
          <cell r="L1158" t="str">
            <v>No Coupon</v>
          </cell>
          <cell r="M1158" t="str">
            <v>Referral</v>
          </cell>
          <cell r="N1158">
            <v>2763.12</v>
          </cell>
        </row>
        <row r="1159">
          <cell r="A1159" t="str">
            <v>ORD201157</v>
          </cell>
          <cell r="B1159">
            <v>45441</v>
          </cell>
          <cell r="C1159" t="str">
            <v>C25841</v>
          </cell>
          <cell r="D1159" t="str">
            <v>Monitor</v>
          </cell>
          <cell r="E1159">
            <v>3</v>
          </cell>
          <cell r="F1159">
            <v>301.55</v>
          </cell>
          <cell r="G1159" t="str">
            <v>242 Main St</v>
          </cell>
          <cell r="H1159" t="str">
            <v>Debit Card</v>
          </cell>
          <cell r="I1159" t="str">
            <v>Delivered</v>
          </cell>
          <cell r="J1159" t="str">
            <v>TRK21451375</v>
          </cell>
          <cell r="K1159">
            <v>5</v>
          </cell>
          <cell r="L1159" t="str">
            <v>FREESHIP</v>
          </cell>
          <cell r="M1159" t="str">
            <v>Google</v>
          </cell>
          <cell r="N1159">
            <v>904.65000000000009</v>
          </cell>
        </row>
        <row r="1160">
          <cell r="A1160" t="str">
            <v>ORD201158</v>
          </cell>
          <cell r="B1160">
            <v>45036</v>
          </cell>
          <cell r="C1160" t="str">
            <v>C82781</v>
          </cell>
          <cell r="D1160" t="str">
            <v>Monitor</v>
          </cell>
          <cell r="E1160">
            <v>4</v>
          </cell>
          <cell r="F1160">
            <v>27.42</v>
          </cell>
          <cell r="G1160" t="str">
            <v>661 Main St</v>
          </cell>
          <cell r="H1160" t="str">
            <v>Debit Card</v>
          </cell>
          <cell r="I1160" t="str">
            <v>Pending</v>
          </cell>
          <cell r="J1160" t="str">
            <v>TRK20605418</v>
          </cell>
          <cell r="K1160">
            <v>4</v>
          </cell>
          <cell r="L1160" t="str">
            <v>SAVE10</v>
          </cell>
          <cell r="M1160" t="str">
            <v>Referral</v>
          </cell>
          <cell r="N1160">
            <v>109.68</v>
          </cell>
        </row>
        <row r="1161">
          <cell r="A1161" t="str">
            <v>ORD201159</v>
          </cell>
          <cell r="B1161">
            <v>45345</v>
          </cell>
          <cell r="C1161" t="str">
            <v>C66112</v>
          </cell>
          <cell r="D1161" t="str">
            <v>Desk</v>
          </cell>
          <cell r="E1161">
            <v>4</v>
          </cell>
          <cell r="F1161">
            <v>466.7</v>
          </cell>
          <cell r="G1161" t="str">
            <v>874 Main St</v>
          </cell>
          <cell r="H1161" t="str">
            <v>Debit Card</v>
          </cell>
          <cell r="I1161" t="str">
            <v>Returned</v>
          </cell>
          <cell r="J1161" t="str">
            <v>TRK60955607</v>
          </cell>
          <cell r="K1161">
            <v>8</v>
          </cell>
          <cell r="L1161" t="str">
            <v>No Coupon</v>
          </cell>
          <cell r="M1161" t="str">
            <v>Instagram</v>
          </cell>
          <cell r="N1161">
            <v>1866.8</v>
          </cell>
        </row>
        <row r="1162">
          <cell r="A1162" t="str">
            <v>ORD201160</v>
          </cell>
          <cell r="B1162">
            <v>45539</v>
          </cell>
          <cell r="C1162" t="str">
            <v>C40466</v>
          </cell>
          <cell r="D1162" t="str">
            <v>Desk</v>
          </cell>
          <cell r="E1162">
            <v>1</v>
          </cell>
          <cell r="F1162">
            <v>541.64</v>
          </cell>
          <cell r="G1162" t="str">
            <v>449 Main St</v>
          </cell>
          <cell r="H1162" t="str">
            <v>Debit Card</v>
          </cell>
          <cell r="I1162" t="str">
            <v>Shipped</v>
          </cell>
          <cell r="J1162" t="str">
            <v>TRK70255168</v>
          </cell>
          <cell r="K1162">
            <v>5</v>
          </cell>
          <cell r="L1162" t="str">
            <v>SAVE10</v>
          </cell>
          <cell r="M1162" t="str">
            <v>Email</v>
          </cell>
          <cell r="N1162">
            <v>541.64</v>
          </cell>
        </row>
        <row r="1163">
          <cell r="A1163" t="str">
            <v>ORD201161</v>
          </cell>
          <cell r="B1163">
            <v>45215</v>
          </cell>
          <cell r="C1163" t="str">
            <v>C32570</v>
          </cell>
          <cell r="D1163" t="str">
            <v>Phone</v>
          </cell>
          <cell r="E1163">
            <v>1</v>
          </cell>
          <cell r="F1163">
            <v>11.39</v>
          </cell>
          <cell r="G1163" t="str">
            <v>826 Main St</v>
          </cell>
          <cell r="H1163" t="str">
            <v>Cash</v>
          </cell>
          <cell r="I1163" t="str">
            <v>Cancelled</v>
          </cell>
          <cell r="J1163" t="str">
            <v>TRK35969968</v>
          </cell>
          <cell r="K1163">
            <v>6</v>
          </cell>
          <cell r="L1163" t="str">
            <v>WINTER15</v>
          </cell>
          <cell r="M1163" t="str">
            <v>Email</v>
          </cell>
          <cell r="N1163">
            <v>11.39</v>
          </cell>
        </row>
        <row r="1164">
          <cell r="A1164" t="str">
            <v>ORD201162</v>
          </cell>
          <cell r="B1164">
            <v>45727</v>
          </cell>
          <cell r="C1164" t="str">
            <v>C29405</v>
          </cell>
          <cell r="D1164" t="str">
            <v>Phone</v>
          </cell>
          <cell r="E1164">
            <v>2</v>
          </cell>
          <cell r="F1164">
            <v>224.37</v>
          </cell>
          <cell r="G1164" t="str">
            <v>251 Main St</v>
          </cell>
          <cell r="H1164" t="str">
            <v>Debit Card</v>
          </cell>
          <cell r="I1164" t="str">
            <v>Delivered</v>
          </cell>
          <cell r="J1164" t="str">
            <v>TRK33125798</v>
          </cell>
          <cell r="K1164">
            <v>3</v>
          </cell>
          <cell r="L1164" t="str">
            <v>WINTER15</v>
          </cell>
          <cell r="M1164" t="str">
            <v>Referral</v>
          </cell>
          <cell r="N1164">
            <v>448.74</v>
          </cell>
        </row>
        <row r="1165">
          <cell r="A1165" t="str">
            <v>ORD201163</v>
          </cell>
          <cell r="B1165">
            <v>45454</v>
          </cell>
          <cell r="C1165" t="str">
            <v>C30643</v>
          </cell>
          <cell r="D1165" t="str">
            <v>Laptop</v>
          </cell>
          <cell r="E1165">
            <v>3</v>
          </cell>
          <cell r="F1165">
            <v>306.29000000000002</v>
          </cell>
          <cell r="G1165" t="str">
            <v>966 Main St</v>
          </cell>
          <cell r="H1165" t="str">
            <v>Credit Card</v>
          </cell>
          <cell r="I1165" t="str">
            <v>Returned</v>
          </cell>
          <cell r="J1165" t="str">
            <v>TRK19477485</v>
          </cell>
          <cell r="K1165">
            <v>7</v>
          </cell>
          <cell r="L1165" t="str">
            <v>WINTER15</v>
          </cell>
          <cell r="M1165" t="str">
            <v>Instagram</v>
          </cell>
          <cell r="N1165">
            <v>918.87000000000012</v>
          </cell>
        </row>
        <row r="1166">
          <cell r="A1166" t="str">
            <v>ORD201164</v>
          </cell>
          <cell r="B1166">
            <v>45299</v>
          </cell>
          <cell r="C1166" t="str">
            <v>C65890</v>
          </cell>
          <cell r="D1166" t="str">
            <v>Tablet</v>
          </cell>
          <cell r="E1166">
            <v>5</v>
          </cell>
          <cell r="F1166">
            <v>315.57</v>
          </cell>
          <cell r="G1166" t="str">
            <v>340 Main St</v>
          </cell>
          <cell r="H1166" t="str">
            <v>Debit Card</v>
          </cell>
          <cell r="I1166" t="str">
            <v>Delivered</v>
          </cell>
          <cell r="J1166" t="str">
            <v>TRK64530489</v>
          </cell>
          <cell r="K1166">
            <v>6</v>
          </cell>
          <cell r="L1166" t="str">
            <v>WINTER15</v>
          </cell>
          <cell r="M1166" t="str">
            <v>Email</v>
          </cell>
          <cell r="N1166">
            <v>1577.85</v>
          </cell>
        </row>
        <row r="1167">
          <cell r="A1167" t="str">
            <v>ORD201165</v>
          </cell>
          <cell r="B1167">
            <v>45121</v>
          </cell>
          <cell r="C1167" t="str">
            <v>C36992</v>
          </cell>
          <cell r="D1167" t="str">
            <v>Chair</v>
          </cell>
          <cell r="E1167">
            <v>3</v>
          </cell>
          <cell r="F1167">
            <v>223.79</v>
          </cell>
          <cell r="G1167" t="str">
            <v>617 Main St</v>
          </cell>
          <cell r="H1167" t="str">
            <v>Debit Card</v>
          </cell>
          <cell r="I1167" t="str">
            <v>Pending</v>
          </cell>
          <cell r="J1167" t="str">
            <v>TRK63460217</v>
          </cell>
          <cell r="K1167">
            <v>3</v>
          </cell>
          <cell r="L1167" t="str">
            <v>No Coupon</v>
          </cell>
          <cell r="M1167" t="str">
            <v>Google</v>
          </cell>
          <cell r="N1167">
            <v>671.37</v>
          </cell>
        </row>
        <row r="1168">
          <cell r="A1168" t="str">
            <v>ORD201166</v>
          </cell>
          <cell r="B1168">
            <v>45138</v>
          </cell>
          <cell r="C1168" t="str">
            <v>C95568</v>
          </cell>
          <cell r="D1168" t="str">
            <v>Chair</v>
          </cell>
          <cell r="E1168">
            <v>3</v>
          </cell>
          <cell r="F1168">
            <v>324.47000000000003</v>
          </cell>
          <cell r="G1168" t="str">
            <v>971 Main St</v>
          </cell>
          <cell r="H1168" t="str">
            <v>Cash</v>
          </cell>
          <cell r="I1168" t="str">
            <v>Delivered</v>
          </cell>
          <cell r="J1168" t="str">
            <v>TRK37075292</v>
          </cell>
          <cell r="K1168">
            <v>4</v>
          </cell>
          <cell r="L1168" t="str">
            <v>WINTER15</v>
          </cell>
          <cell r="M1168" t="str">
            <v>Email</v>
          </cell>
          <cell r="N1168">
            <v>973.41000000000008</v>
          </cell>
        </row>
        <row r="1169">
          <cell r="A1169" t="str">
            <v>ORD201167</v>
          </cell>
          <cell r="B1169">
            <v>45216</v>
          </cell>
          <cell r="C1169" t="str">
            <v>C17966</v>
          </cell>
          <cell r="D1169" t="str">
            <v>Printer</v>
          </cell>
          <cell r="E1169">
            <v>2</v>
          </cell>
          <cell r="F1169">
            <v>92.87</v>
          </cell>
          <cell r="G1169" t="str">
            <v>360 Main St</v>
          </cell>
          <cell r="H1169" t="str">
            <v>Credit Card</v>
          </cell>
          <cell r="I1169" t="str">
            <v>Pending</v>
          </cell>
          <cell r="J1169" t="str">
            <v>TRK31169396</v>
          </cell>
          <cell r="K1169">
            <v>5</v>
          </cell>
          <cell r="L1169" t="str">
            <v>FREESHIP</v>
          </cell>
          <cell r="M1169" t="str">
            <v>Facebook</v>
          </cell>
          <cell r="N1169">
            <v>185.74</v>
          </cell>
        </row>
        <row r="1170">
          <cell r="A1170" t="str">
            <v>ORD201168</v>
          </cell>
          <cell r="B1170">
            <v>45024</v>
          </cell>
          <cell r="C1170" t="str">
            <v>C89559</v>
          </cell>
          <cell r="D1170" t="str">
            <v>Laptop</v>
          </cell>
          <cell r="E1170">
            <v>2</v>
          </cell>
          <cell r="F1170">
            <v>331.42</v>
          </cell>
          <cell r="G1170" t="str">
            <v>297 Main St</v>
          </cell>
          <cell r="H1170" t="str">
            <v>Credit Card</v>
          </cell>
          <cell r="I1170" t="str">
            <v>Delivered</v>
          </cell>
          <cell r="J1170" t="str">
            <v>TRK82838108</v>
          </cell>
          <cell r="K1170">
            <v>6</v>
          </cell>
          <cell r="L1170" t="str">
            <v>WINTER15</v>
          </cell>
          <cell r="M1170" t="str">
            <v>Google</v>
          </cell>
          <cell r="N1170">
            <v>662.84</v>
          </cell>
        </row>
        <row r="1171">
          <cell r="A1171" t="str">
            <v>ORD201169</v>
          </cell>
          <cell r="B1171">
            <v>45649</v>
          </cell>
          <cell r="C1171" t="str">
            <v>C15849</v>
          </cell>
          <cell r="D1171" t="str">
            <v>Chair</v>
          </cell>
          <cell r="E1171">
            <v>1</v>
          </cell>
          <cell r="F1171">
            <v>525.42999999999995</v>
          </cell>
          <cell r="G1171" t="str">
            <v>643 Main St</v>
          </cell>
          <cell r="H1171" t="str">
            <v>Cash</v>
          </cell>
          <cell r="I1171" t="str">
            <v>Cancelled</v>
          </cell>
          <cell r="J1171" t="str">
            <v>TRK26794546</v>
          </cell>
          <cell r="K1171">
            <v>2</v>
          </cell>
          <cell r="L1171" t="str">
            <v>SAVE10</v>
          </cell>
          <cell r="M1171" t="str">
            <v>Instagram</v>
          </cell>
          <cell r="N1171">
            <v>525.42999999999995</v>
          </cell>
        </row>
        <row r="1172">
          <cell r="A1172" t="str">
            <v>ORD201170</v>
          </cell>
          <cell r="B1172">
            <v>45141</v>
          </cell>
          <cell r="C1172" t="str">
            <v>C94257</v>
          </cell>
          <cell r="D1172" t="str">
            <v>Printer</v>
          </cell>
          <cell r="E1172">
            <v>2</v>
          </cell>
          <cell r="F1172">
            <v>697.19</v>
          </cell>
          <cell r="G1172" t="str">
            <v>762 Main St</v>
          </cell>
          <cell r="H1172" t="str">
            <v>Cash</v>
          </cell>
          <cell r="I1172" t="str">
            <v>Returned</v>
          </cell>
          <cell r="J1172" t="str">
            <v>TRK40220743</v>
          </cell>
          <cell r="K1172">
            <v>7</v>
          </cell>
          <cell r="L1172" t="str">
            <v>FREESHIP</v>
          </cell>
          <cell r="M1172" t="str">
            <v>Email</v>
          </cell>
          <cell r="N1172">
            <v>1394.38</v>
          </cell>
        </row>
        <row r="1173">
          <cell r="A1173" t="str">
            <v>ORD201171</v>
          </cell>
          <cell r="B1173">
            <v>45166</v>
          </cell>
          <cell r="C1173" t="str">
            <v>C39911</v>
          </cell>
          <cell r="D1173" t="str">
            <v>Phone</v>
          </cell>
          <cell r="E1173">
            <v>4</v>
          </cell>
          <cell r="F1173">
            <v>518.4</v>
          </cell>
          <cell r="G1173" t="str">
            <v>699 Main St</v>
          </cell>
          <cell r="H1173" t="str">
            <v>Credit Card</v>
          </cell>
          <cell r="I1173" t="str">
            <v>Delivered</v>
          </cell>
          <cell r="J1173" t="str">
            <v>TRK80431998</v>
          </cell>
          <cell r="K1173">
            <v>7</v>
          </cell>
          <cell r="L1173" t="str">
            <v>SAVE10</v>
          </cell>
          <cell r="M1173" t="str">
            <v>Facebook</v>
          </cell>
          <cell r="N1173">
            <v>2073.6</v>
          </cell>
        </row>
        <row r="1174">
          <cell r="A1174" t="str">
            <v>ORD201172</v>
          </cell>
          <cell r="B1174">
            <v>45692</v>
          </cell>
          <cell r="C1174" t="str">
            <v>C28828</v>
          </cell>
          <cell r="D1174" t="str">
            <v>Desk</v>
          </cell>
          <cell r="E1174">
            <v>3</v>
          </cell>
          <cell r="F1174">
            <v>131.96</v>
          </cell>
          <cell r="G1174" t="str">
            <v>745 Main St</v>
          </cell>
          <cell r="H1174" t="str">
            <v>Credit Card</v>
          </cell>
          <cell r="I1174" t="str">
            <v>Pending</v>
          </cell>
          <cell r="J1174" t="str">
            <v>TRK32550359</v>
          </cell>
          <cell r="K1174">
            <v>8</v>
          </cell>
          <cell r="L1174" t="str">
            <v>No Coupon</v>
          </cell>
          <cell r="M1174" t="str">
            <v>Instagram</v>
          </cell>
          <cell r="N1174">
            <v>395.88</v>
          </cell>
        </row>
        <row r="1175">
          <cell r="A1175" t="str">
            <v>ORD201173</v>
          </cell>
          <cell r="B1175">
            <v>45569</v>
          </cell>
          <cell r="C1175" t="str">
            <v>C82921</v>
          </cell>
          <cell r="D1175" t="str">
            <v>Monitor</v>
          </cell>
          <cell r="E1175">
            <v>1</v>
          </cell>
          <cell r="F1175">
            <v>208.36</v>
          </cell>
          <cell r="G1175" t="str">
            <v>703 Main St</v>
          </cell>
          <cell r="H1175" t="str">
            <v>Online</v>
          </cell>
          <cell r="I1175" t="str">
            <v>Shipped</v>
          </cell>
          <cell r="J1175" t="str">
            <v>TRK31079911</v>
          </cell>
          <cell r="K1175">
            <v>4</v>
          </cell>
          <cell r="L1175" t="str">
            <v>FREESHIP</v>
          </cell>
          <cell r="M1175" t="str">
            <v>Email</v>
          </cell>
          <cell r="N1175">
            <v>208.36</v>
          </cell>
        </row>
        <row r="1176">
          <cell r="A1176" t="str">
            <v>ORD201174</v>
          </cell>
          <cell r="B1176">
            <v>45257</v>
          </cell>
          <cell r="C1176" t="str">
            <v>C50159</v>
          </cell>
          <cell r="D1176" t="str">
            <v>Printer</v>
          </cell>
          <cell r="E1176">
            <v>3</v>
          </cell>
          <cell r="F1176">
            <v>222.34</v>
          </cell>
          <cell r="G1176" t="str">
            <v>105 Main St</v>
          </cell>
          <cell r="H1176" t="str">
            <v>Credit Card</v>
          </cell>
          <cell r="I1176" t="str">
            <v>Returned</v>
          </cell>
          <cell r="J1176" t="str">
            <v>TRK53737452</v>
          </cell>
          <cell r="K1176">
            <v>5</v>
          </cell>
          <cell r="L1176" t="str">
            <v>WINTER15</v>
          </cell>
          <cell r="M1176" t="str">
            <v>Email</v>
          </cell>
          <cell r="N1176">
            <v>667.02</v>
          </cell>
        </row>
        <row r="1177">
          <cell r="A1177" t="str">
            <v>ORD201175</v>
          </cell>
          <cell r="B1177">
            <v>45545</v>
          </cell>
          <cell r="C1177" t="str">
            <v>C62512</v>
          </cell>
          <cell r="D1177" t="str">
            <v>Printer</v>
          </cell>
          <cell r="E1177">
            <v>3</v>
          </cell>
          <cell r="F1177">
            <v>91.74</v>
          </cell>
          <cell r="G1177" t="str">
            <v>368 Main St</v>
          </cell>
          <cell r="H1177" t="str">
            <v>Debit Card</v>
          </cell>
          <cell r="I1177" t="str">
            <v>Returned</v>
          </cell>
          <cell r="J1177" t="str">
            <v>TRK24139954</v>
          </cell>
          <cell r="K1177">
            <v>8</v>
          </cell>
          <cell r="L1177" t="str">
            <v>FREESHIP</v>
          </cell>
          <cell r="M1177" t="str">
            <v>Referral</v>
          </cell>
          <cell r="N1177">
            <v>275.21999999999997</v>
          </cell>
        </row>
        <row r="1178">
          <cell r="A1178" t="str">
            <v>ORD201176</v>
          </cell>
          <cell r="B1178">
            <v>45151</v>
          </cell>
          <cell r="C1178" t="str">
            <v>C39260</v>
          </cell>
          <cell r="D1178" t="str">
            <v>Tablet</v>
          </cell>
          <cell r="E1178">
            <v>2</v>
          </cell>
          <cell r="F1178">
            <v>213.83</v>
          </cell>
          <cell r="G1178" t="str">
            <v>374 Main St</v>
          </cell>
          <cell r="H1178" t="str">
            <v>Debit Card</v>
          </cell>
          <cell r="I1178" t="str">
            <v>Cancelled</v>
          </cell>
          <cell r="J1178" t="str">
            <v>TRK55587314</v>
          </cell>
          <cell r="K1178">
            <v>2</v>
          </cell>
          <cell r="L1178" t="str">
            <v>WINTER15</v>
          </cell>
          <cell r="M1178" t="str">
            <v>Email</v>
          </cell>
          <cell r="N1178">
            <v>427.66</v>
          </cell>
        </row>
        <row r="1179">
          <cell r="A1179" t="str">
            <v>ORD201177</v>
          </cell>
          <cell r="B1179">
            <v>45043</v>
          </cell>
          <cell r="C1179" t="str">
            <v>C23917</v>
          </cell>
          <cell r="D1179" t="str">
            <v>Printer</v>
          </cell>
          <cell r="E1179">
            <v>1</v>
          </cell>
          <cell r="F1179">
            <v>127.55</v>
          </cell>
          <cell r="G1179" t="str">
            <v>433 Main St</v>
          </cell>
          <cell r="H1179" t="str">
            <v>Cash</v>
          </cell>
          <cell r="I1179" t="str">
            <v>Shipped</v>
          </cell>
          <cell r="J1179" t="str">
            <v>TRK44434536</v>
          </cell>
          <cell r="K1179">
            <v>3</v>
          </cell>
          <cell r="L1179" t="str">
            <v>SAVE10</v>
          </cell>
          <cell r="M1179" t="str">
            <v>Referral</v>
          </cell>
          <cell r="N1179">
            <v>127.55</v>
          </cell>
        </row>
        <row r="1180">
          <cell r="A1180" t="str">
            <v>ORD201178</v>
          </cell>
          <cell r="B1180">
            <v>45543</v>
          </cell>
          <cell r="C1180" t="str">
            <v>C65107</v>
          </cell>
          <cell r="D1180" t="str">
            <v>Monitor</v>
          </cell>
          <cell r="E1180">
            <v>1</v>
          </cell>
          <cell r="F1180">
            <v>70.239999999999995</v>
          </cell>
          <cell r="G1180" t="str">
            <v>456 Main St</v>
          </cell>
          <cell r="H1180" t="str">
            <v>Credit Card</v>
          </cell>
          <cell r="I1180" t="str">
            <v>Cancelled</v>
          </cell>
          <cell r="J1180" t="str">
            <v>TRK10261578</v>
          </cell>
          <cell r="K1180">
            <v>4</v>
          </cell>
          <cell r="L1180" t="str">
            <v>FREESHIP</v>
          </cell>
          <cell r="M1180" t="str">
            <v>Google</v>
          </cell>
          <cell r="N1180">
            <v>70.239999999999995</v>
          </cell>
        </row>
        <row r="1181">
          <cell r="A1181" t="str">
            <v>ORD201179</v>
          </cell>
          <cell r="B1181">
            <v>44934</v>
          </cell>
          <cell r="C1181" t="str">
            <v>C84630</v>
          </cell>
          <cell r="D1181" t="str">
            <v>Laptop</v>
          </cell>
          <cell r="E1181">
            <v>5</v>
          </cell>
          <cell r="F1181">
            <v>518.54999999999995</v>
          </cell>
          <cell r="G1181" t="str">
            <v>907 Main St</v>
          </cell>
          <cell r="H1181" t="str">
            <v>Credit Card</v>
          </cell>
          <cell r="I1181" t="str">
            <v>Cancelled</v>
          </cell>
          <cell r="J1181" t="str">
            <v>TRK48054997</v>
          </cell>
          <cell r="K1181">
            <v>6</v>
          </cell>
          <cell r="L1181" t="str">
            <v>WINTER15</v>
          </cell>
          <cell r="M1181" t="str">
            <v>Instagram</v>
          </cell>
          <cell r="N1181">
            <v>2592.75</v>
          </cell>
        </row>
        <row r="1182">
          <cell r="A1182" t="str">
            <v>ORD201180</v>
          </cell>
          <cell r="B1182">
            <v>45230</v>
          </cell>
          <cell r="C1182" t="str">
            <v>C42235</v>
          </cell>
          <cell r="D1182" t="str">
            <v>Chair</v>
          </cell>
          <cell r="E1182">
            <v>4</v>
          </cell>
          <cell r="F1182">
            <v>298.36</v>
          </cell>
          <cell r="G1182" t="str">
            <v>722 Main St</v>
          </cell>
          <cell r="H1182" t="str">
            <v>Debit Card</v>
          </cell>
          <cell r="I1182" t="str">
            <v>Pending</v>
          </cell>
          <cell r="J1182" t="str">
            <v>TRK49379882</v>
          </cell>
          <cell r="K1182">
            <v>8</v>
          </cell>
          <cell r="L1182" t="str">
            <v>FREESHIP</v>
          </cell>
          <cell r="M1182" t="str">
            <v>Google</v>
          </cell>
          <cell r="N1182">
            <v>1193.44</v>
          </cell>
        </row>
        <row r="1183">
          <cell r="A1183" t="str">
            <v>ORD201181</v>
          </cell>
          <cell r="B1183">
            <v>45134</v>
          </cell>
          <cell r="C1183" t="str">
            <v>C70246</v>
          </cell>
          <cell r="D1183" t="str">
            <v>Desk</v>
          </cell>
          <cell r="E1183">
            <v>3</v>
          </cell>
          <cell r="F1183">
            <v>158.74</v>
          </cell>
          <cell r="G1183" t="str">
            <v>293 Main St</v>
          </cell>
          <cell r="H1183" t="str">
            <v>Online</v>
          </cell>
          <cell r="I1183" t="str">
            <v>Pending</v>
          </cell>
          <cell r="J1183" t="str">
            <v>TRK45708320</v>
          </cell>
          <cell r="K1183">
            <v>7</v>
          </cell>
          <cell r="L1183" t="str">
            <v>FREESHIP</v>
          </cell>
          <cell r="M1183" t="str">
            <v>Instagram</v>
          </cell>
          <cell r="N1183">
            <v>476.22</v>
          </cell>
        </row>
        <row r="1184">
          <cell r="A1184" t="str">
            <v>ORD201182</v>
          </cell>
          <cell r="B1184">
            <v>45822</v>
          </cell>
          <cell r="C1184" t="str">
            <v>C18473</v>
          </cell>
          <cell r="D1184" t="str">
            <v>Chair</v>
          </cell>
          <cell r="E1184">
            <v>2</v>
          </cell>
          <cell r="F1184">
            <v>420.29</v>
          </cell>
          <cell r="G1184" t="str">
            <v>700 Main St</v>
          </cell>
          <cell r="H1184" t="str">
            <v>Gift Card</v>
          </cell>
          <cell r="I1184" t="str">
            <v>Returned</v>
          </cell>
          <cell r="J1184" t="str">
            <v>TRK97834202</v>
          </cell>
          <cell r="K1184">
            <v>3</v>
          </cell>
          <cell r="L1184" t="str">
            <v>SAVE10</v>
          </cell>
          <cell r="M1184" t="str">
            <v>Google</v>
          </cell>
          <cell r="N1184">
            <v>840.58</v>
          </cell>
        </row>
        <row r="1185">
          <cell r="A1185" t="str">
            <v>ORD201183</v>
          </cell>
          <cell r="B1185">
            <v>45021</v>
          </cell>
          <cell r="C1185" t="str">
            <v>C12607</v>
          </cell>
          <cell r="D1185" t="str">
            <v>Desk</v>
          </cell>
          <cell r="E1185">
            <v>1</v>
          </cell>
          <cell r="F1185">
            <v>281.52</v>
          </cell>
          <cell r="G1185" t="str">
            <v>460 Main St</v>
          </cell>
          <cell r="H1185" t="str">
            <v>Gift Card</v>
          </cell>
          <cell r="I1185" t="str">
            <v>Shipped</v>
          </cell>
          <cell r="J1185" t="str">
            <v>TRK83653396</v>
          </cell>
          <cell r="K1185">
            <v>6</v>
          </cell>
          <cell r="L1185" t="str">
            <v>WINTER15</v>
          </cell>
          <cell r="M1185" t="str">
            <v>Referral</v>
          </cell>
          <cell r="N1185">
            <v>281.52</v>
          </cell>
        </row>
        <row r="1186">
          <cell r="A1186" t="str">
            <v>ORD201184</v>
          </cell>
          <cell r="B1186">
            <v>45196</v>
          </cell>
          <cell r="C1186" t="str">
            <v>C10222</v>
          </cell>
          <cell r="D1186" t="str">
            <v>Laptop</v>
          </cell>
          <cell r="E1186">
            <v>1</v>
          </cell>
          <cell r="F1186">
            <v>204.08</v>
          </cell>
          <cell r="G1186" t="str">
            <v>979 Main St</v>
          </cell>
          <cell r="H1186" t="str">
            <v>Gift Card</v>
          </cell>
          <cell r="I1186" t="str">
            <v>Returned</v>
          </cell>
          <cell r="J1186" t="str">
            <v>TRK86297895</v>
          </cell>
          <cell r="K1186">
            <v>4</v>
          </cell>
          <cell r="L1186" t="str">
            <v>No Coupon</v>
          </cell>
          <cell r="M1186" t="str">
            <v>Google</v>
          </cell>
          <cell r="N1186">
            <v>204.08</v>
          </cell>
        </row>
        <row r="1187">
          <cell r="A1187" t="str">
            <v>ORD201185</v>
          </cell>
          <cell r="B1187">
            <v>45481</v>
          </cell>
          <cell r="C1187" t="str">
            <v>C77344</v>
          </cell>
          <cell r="D1187" t="str">
            <v>Chair</v>
          </cell>
          <cell r="E1187">
            <v>1</v>
          </cell>
          <cell r="F1187">
            <v>343.31</v>
          </cell>
          <cell r="G1187" t="str">
            <v>777 Main St</v>
          </cell>
          <cell r="H1187" t="str">
            <v>Gift Card</v>
          </cell>
          <cell r="I1187" t="str">
            <v>Returned</v>
          </cell>
          <cell r="J1187" t="str">
            <v>TRK20605055</v>
          </cell>
          <cell r="K1187">
            <v>6</v>
          </cell>
          <cell r="L1187" t="str">
            <v>SAVE10</v>
          </cell>
          <cell r="M1187" t="str">
            <v>Google</v>
          </cell>
          <cell r="N1187">
            <v>343.31</v>
          </cell>
        </row>
        <row r="1188">
          <cell r="A1188" t="str">
            <v>ORD201186</v>
          </cell>
          <cell r="B1188">
            <v>45248</v>
          </cell>
          <cell r="C1188" t="str">
            <v>C65497</v>
          </cell>
          <cell r="D1188" t="str">
            <v>Monitor</v>
          </cell>
          <cell r="E1188">
            <v>1</v>
          </cell>
          <cell r="F1188">
            <v>163.32</v>
          </cell>
          <cell r="G1188" t="str">
            <v>676 Main St</v>
          </cell>
          <cell r="H1188" t="str">
            <v>Cash</v>
          </cell>
          <cell r="I1188" t="str">
            <v>Shipped</v>
          </cell>
          <cell r="J1188" t="str">
            <v>TRK83702761</v>
          </cell>
          <cell r="K1188">
            <v>6</v>
          </cell>
          <cell r="L1188" t="str">
            <v>WINTER15</v>
          </cell>
          <cell r="M1188" t="str">
            <v>Facebook</v>
          </cell>
          <cell r="N1188">
            <v>163.32</v>
          </cell>
        </row>
        <row r="1189">
          <cell r="A1189" t="str">
            <v>ORD201187</v>
          </cell>
          <cell r="B1189">
            <v>45364</v>
          </cell>
          <cell r="C1189" t="str">
            <v>C26340</v>
          </cell>
          <cell r="D1189" t="str">
            <v>Desk</v>
          </cell>
          <cell r="E1189">
            <v>2</v>
          </cell>
          <cell r="F1189">
            <v>184.6</v>
          </cell>
          <cell r="G1189" t="str">
            <v>562 Main St</v>
          </cell>
          <cell r="H1189" t="str">
            <v>Gift Card</v>
          </cell>
          <cell r="I1189" t="str">
            <v>Delivered</v>
          </cell>
          <cell r="J1189" t="str">
            <v>TRK59962703</v>
          </cell>
          <cell r="K1189">
            <v>7</v>
          </cell>
          <cell r="L1189" t="str">
            <v>WINTER15</v>
          </cell>
          <cell r="M1189" t="str">
            <v>Email</v>
          </cell>
          <cell r="N1189">
            <v>369.2</v>
          </cell>
        </row>
        <row r="1190">
          <cell r="A1190" t="str">
            <v>ORD201188</v>
          </cell>
          <cell r="B1190">
            <v>45206</v>
          </cell>
          <cell r="C1190" t="str">
            <v>C75619</v>
          </cell>
          <cell r="D1190" t="str">
            <v>Printer</v>
          </cell>
          <cell r="E1190">
            <v>2</v>
          </cell>
          <cell r="F1190">
            <v>371.29</v>
          </cell>
          <cell r="G1190" t="str">
            <v>924 Main St</v>
          </cell>
          <cell r="H1190" t="str">
            <v>Gift Card</v>
          </cell>
          <cell r="I1190" t="str">
            <v>Shipped</v>
          </cell>
          <cell r="J1190" t="str">
            <v>TRK23086941</v>
          </cell>
          <cell r="K1190">
            <v>5</v>
          </cell>
          <cell r="L1190" t="str">
            <v>WINTER15</v>
          </cell>
          <cell r="M1190" t="str">
            <v>Facebook</v>
          </cell>
          <cell r="N1190">
            <v>742.58</v>
          </cell>
        </row>
        <row r="1191">
          <cell r="A1191" t="str">
            <v>ORD201189</v>
          </cell>
          <cell r="B1191">
            <v>45521</v>
          </cell>
          <cell r="C1191" t="str">
            <v>C96136</v>
          </cell>
          <cell r="D1191" t="str">
            <v>Tablet</v>
          </cell>
          <cell r="E1191">
            <v>5</v>
          </cell>
          <cell r="F1191">
            <v>389.22</v>
          </cell>
          <cell r="G1191" t="str">
            <v>149 Main St</v>
          </cell>
          <cell r="H1191" t="str">
            <v>Cash</v>
          </cell>
          <cell r="I1191" t="str">
            <v>Cancelled</v>
          </cell>
          <cell r="J1191" t="str">
            <v>TRK60856682</v>
          </cell>
          <cell r="K1191">
            <v>7</v>
          </cell>
          <cell r="L1191" t="str">
            <v>No Coupon</v>
          </cell>
          <cell r="M1191" t="str">
            <v>Referral</v>
          </cell>
          <cell r="N1191">
            <v>1946.1000000000001</v>
          </cell>
        </row>
        <row r="1192">
          <cell r="A1192" t="str">
            <v>ORD201190</v>
          </cell>
          <cell r="B1192">
            <v>45816</v>
          </cell>
          <cell r="C1192" t="str">
            <v>C46886</v>
          </cell>
          <cell r="D1192" t="str">
            <v>Desk</v>
          </cell>
          <cell r="E1192">
            <v>3</v>
          </cell>
          <cell r="F1192">
            <v>616.39</v>
          </cell>
          <cell r="G1192" t="str">
            <v>754 Main St</v>
          </cell>
          <cell r="H1192" t="str">
            <v>Credit Card</v>
          </cell>
          <cell r="I1192" t="str">
            <v>Shipped</v>
          </cell>
          <cell r="J1192" t="str">
            <v>TRK82791646</v>
          </cell>
          <cell r="K1192">
            <v>6</v>
          </cell>
          <cell r="L1192" t="str">
            <v>FREESHIP</v>
          </cell>
          <cell r="M1192" t="str">
            <v>Instagram</v>
          </cell>
          <cell r="N1192">
            <v>1849.17</v>
          </cell>
        </row>
        <row r="1193">
          <cell r="A1193" t="str">
            <v>ORD201191</v>
          </cell>
          <cell r="B1193">
            <v>45698</v>
          </cell>
          <cell r="C1193" t="str">
            <v>C44148</v>
          </cell>
          <cell r="D1193" t="str">
            <v>Desk</v>
          </cell>
          <cell r="E1193">
            <v>4</v>
          </cell>
          <cell r="F1193">
            <v>376.43</v>
          </cell>
          <cell r="G1193" t="str">
            <v>809 Main St</v>
          </cell>
          <cell r="H1193" t="str">
            <v>Gift Card</v>
          </cell>
          <cell r="I1193" t="str">
            <v>Pending</v>
          </cell>
          <cell r="J1193" t="str">
            <v>TRK67872709</v>
          </cell>
          <cell r="K1193">
            <v>5</v>
          </cell>
          <cell r="L1193" t="str">
            <v>WINTER15</v>
          </cell>
          <cell r="M1193" t="str">
            <v>Instagram</v>
          </cell>
          <cell r="N1193">
            <v>1505.72</v>
          </cell>
        </row>
        <row r="1194">
          <cell r="A1194" t="str">
            <v>ORD201192</v>
          </cell>
          <cell r="B1194">
            <v>45350</v>
          </cell>
          <cell r="C1194" t="str">
            <v>C72007</v>
          </cell>
          <cell r="D1194" t="str">
            <v>Chair</v>
          </cell>
          <cell r="E1194">
            <v>3</v>
          </cell>
          <cell r="F1194">
            <v>432.85</v>
          </cell>
          <cell r="G1194" t="str">
            <v>999 Main St</v>
          </cell>
          <cell r="H1194" t="str">
            <v>Online</v>
          </cell>
          <cell r="I1194" t="str">
            <v>Pending</v>
          </cell>
          <cell r="J1194" t="str">
            <v>TRK16240916</v>
          </cell>
          <cell r="K1194">
            <v>4</v>
          </cell>
          <cell r="L1194" t="str">
            <v>No Coupon</v>
          </cell>
          <cell r="M1194" t="str">
            <v>Instagram</v>
          </cell>
          <cell r="N1194">
            <v>1298.5500000000002</v>
          </cell>
        </row>
        <row r="1195">
          <cell r="A1195" t="str">
            <v>ORD201193</v>
          </cell>
          <cell r="B1195">
            <v>45824</v>
          </cell>
          <cell r="C1195" t="str">
            <v>C45104</v>
          </cell>
          <cell r="D1195" t="str">
            <v>Tablet</v>
          </cell>
          <cell r="E1195">
            <v>1</v>
          </cell>
          <cell r="F1195">
            <v>687.89</v>
          </cell>
          <cell r="G1195" t="str">
            <v>348 Main St</v>
          </cell>
          <cell r="H1195" t="str">
            <v>Cash</v>
          </cell>
          <cell r="I1195" t="str">
            <v>Returned</v>
          </cell>
          <cell r="J1195" t="str">
            <v>TRK38559816</v>
          </cell>
          <cell r="K1195">
            <v>1</v>
          </cell>
          <cell r="L1195" t="str">
            <v>FREESHIP</v>
          </cell>
          <cell r="M1195" t="str">
            <v>Email</v>
          </cell>
          <cell r="N1195">
            <v>687.89</v>
          </cell>
        </row>
        <row r="1196">
          <cell r="A1196" t="str">
            <v>ORD201194</v>
          </cell>
          <cell r="B1196">
            <v>45249</v>
          </cell>
          <cell r="C1196" t="str">
            <v>C29885</v>
          </cell>
          <cell r="D1196" t="str">
            <v>Printer</v>
          </cell>
          <cell r="E1196">
            <v>3</v>
          </cell>
          <cell r="F1196">
            <v>189.44</v>
          </cell>
          <cell r="G1196" t="str">
            <v>725 Main St</v>
          </cell>
          <cell r="H1196" t="str">
            <v>Cash</v>
          </cell>
          <cell r="I1196" t="str">
            <v>Pending</v>
          </cell>
          <cell r="J1196" t="str">
            <v>TRK62067865</v>
          </cell>
          <cell r="K1196">
            <v>4</v>
          </cell>
          <cell r="L1196" t="str">
            <v>FREESHIP</v>
          </cell>
          <cell r="M1196" t="str">
            <v>Email</v>
          </cell>
          <cell r="N1196">
            <v>568.31999999999994</v>
          </cell>
        </row>
        <row r="1197">
          <cell r="A1197" t="str">
            <v>ORD201195</v>
          </cell>
          <cell r="B1197">
            <v>45463</v>
          </cell>
          <cell r="C1197" t="str">
            <v>C21126</v>
          </cell>
          <cell r="D1197" t="str">
            <v>Desk</v>
          </cell>
          <cell r="E1197">
            <v>1</v>
          </cell>
          <cell r="F1197">
            <v>107.04</v>
          </cell>
          <cell r="G1197" t="str">
            <v>392 Main St</v>
          </cell>
          <cell r="H1197" t="str">
            <v>Credit Card</v>
          </cell>
          <cell r="I1197" t="str">
            <v>Cancelled</v>
          </cell>
          <cell r="J1197" t="str">
            <v>TRK38009181</v>
          </cell>
          <cell r="K1197">
            <v>6</v>
          </cell>
          <cell r="L1197" t="str">
            <v>FREESHIP</v>
          </cell>
          <cell r="M1197" t="str">
            <v>Google</v>
          </cell>
          <cell r="N1197">
            <v>107.04</v>
          </cell>
        </row>
        <row r="1198">
          <cell r="A1198" t="str">
            <v>ORD201196</v>
          </cell>
          <cell r="B1198">
            <v>45355</v>
          </cell>
          <cell r="C1198" t="str">
            <v>C20095</v>
          </cell>
          <cell r="D1198" t="str">
            <v>Monitor</v>
          </cell>
          <cell r="E1198">
            <v>2</v>
          </cell>
          <cell r="F1198">
            <v>662.53</v>
          </cell>
          <cell r="G1198" t="str">
            <v>778 Main St</v>
          </cell>
          <cell r="H1198" t="str">
            <v>Online</v>
          </cell>
          <cell r="I1198" t="str">
            <v>Cancelled</v>
          </cell>
          <cell r="J1198" t="str">
            <v>TRK69207593</v>
          </cell>
          <cell r="K1198">
            <v>5</v>
          </cell>
          <cell r="L1198" t="str">
            <v>No Coupon</v>
          </cell>
          <cell r="M1198" t="str">
            <v>Facebook</v>
          </cell>
          <cell r="N1198">
            <v>1325.06</v>
          </cell>
        </row>
        <row r="1199">
          <cell r="A1199" t="str">
            <v>ORD201197</v>
          </cell>
          <cell r="B1199">
            <v>45120</v>
          </cell>
          <cell r="C1199" t="str">
            <v>C79674</v>
          </cell>
          <cell r="D1199" t="str">
            <v>Tablet</v>
          </cell>
          <cell r="E1199">
            <v>2</v>
          </cell>
          <cell r="F1199">
            <v>436.84</v>
          </cell>
          <cell r="G1199" t="str">
            <v>275 Main St</v>
          </cell>
          <cell r="H1199" t="str">
            <v>Online</v>
          </cell>
          <cell r="I1199" t="str">
            <v>Delivered</v>
          </cell>
          <cell r="J1199" t="str">
            <v>TRK88039356</v>
          </cell>
          <cell r="K1199">
            <v>2</v>
          </cell>
          <cell r="L1199" t="str">
            <v>FREESHIP</v>
          </cell>
          <cell r="M1199" t="str">
            <v>Instagram</v>
          </cell>
          <cell r="N1199">
            <v>873.68</v>
          </cell>
        </row>
        <row r="1200">
          <cell r="A1200" t="str">
            <v>ORD201198</v>
          </cell>
          <cell r="B1200">
            <v>45526</v>
          </cell>
          <cell r="C1200" t="str">
            <v>C64753</v>
          </cell>
          <cell r="D1200" t="str">
            <v>Chair</v>
          </cell>
          <cell r="E1200">
            <v>4</v>
          </cell>
          <cell r="F1200">
            <v>262.52</v>
          </cell>
          <cell r="G1200" t="str">
            <v>509 Main St</v>
          </cell>
          <cell r="H1200" t="str">
            <v>Debit Card</v>
          </cell>
          <cell r="I1200" t="str">
            <v>Cancelled</v>
          </cell>
          <cell r="J1200" t="str">
            <v>TRK71683331</v>
          </cell>
          <cell r="K1200">
            <v>4</v>
          </cell>
          <cell r="L1200" t="str">
            <v>WINTER15</v>
          </cell>
          <cell r="M1200" t="str">
            <v>Instagram</v>
          </cell>
          <cell r="N1200">
            <v>1050.08</v>
          </cell>
        </row>
        <row r="1201">
          <cell r="A1201" t="str">
            <v>ORD201199</v>
          </cell>
          <cell r="B1201">
            <v>45088</v>
          </cell>
          <cell r="C1201" t="str">
            <v>C57502</v>
          </cell>
          <cell r="D1201" t="str">
            <v>Tablet</v>
          </cell>
          <cell r="E1201">
            <v>4</v>
          </cell>
          <cell r="F1201">
            <v>560.58000000000004</v>
          </cell>
          <cell r="G1201" t="str">
            <v>201 Main St</v>
          </cell>
          <cell r="H1201" t="str">
            <v>Gift Card</v>
          </cell>
          <cell r="I1201" t="str">
            <v>Returned</v>
          </cell>
          <cell r="J1201" t="str">
            <v>TRK51116746</v>
          </cell>
          <cell r="K1201">
            <v>6</v>
          </cell>
          <cell r="L1201" t="str">
            <v>SAVE10</v>
          </cell>
          <cell r="M1201" t="str">
            <v>Referral</v>
          </cell>
          <cell r="N1201">
            <v>2242.3200000000002</v>
          </cell>
        </row>
        <row r="1202">
          <cell r="A1202" t="str">
            <v>ORD200000</v>
          </cell>
          <cell r="B1202">
            <v>44930</v>
          </cell>
          <cell r="C1202" t="str">
            <v>C72649</v>
          </cell>
          <cell r="D1202" t="str">
            <v>Monitor</v>
          </cell>
          <cell r="E1202">
            <v>5</v>
          </cell>
          <cell r="F1202">
            <v>570.62</v>
          </cell>
          <cell r="G1202" t="str">
            <v>928 Main St</v>
          </cell>
          <cell r="H1202" t="str">
            <v>Debit Card</v>
          </cell>
          <cell r="I1202" t="str">
            <v>Shipped</v>
          </cell>
          <cell r="J1202" t="str">
            <v>TRK37947903</v>
          </cell>
          <cell r="K1202">
            <v>7</v>
          </cell>
          <cell r="L1202" t="str">
            <v>SAVE10</v>
          </cell>
          <cell r="M1202" t="str">
            <v>Instagram</v>
          </cell>
          <cell r="N1202">
            <v>2853.1</v>
          </cell>
        </row>
        <row r="1203">
          <cell r="A1203" t="str">
            <v>ORD200001</v>
          </cell>
          <cell r="B1203">
            <v>45527</v>
          </cell>
          <cell r="C1203" t="str">
            <v>C75739</v>
          </cell>
          <cell r="D1203" t="str">
            <v>Phone</v>
          </cell>
          <cell r="E1203">
            <v>2</v>
          </cell>
          <cell r="F1203">
            <v>151.35</v>
          </cell>
          <cell r="G1203" t="str">
            <v>823 Main St</v>
          </cell>
          <cell r="H1203" t="str">
            <v>Online</v>
          </cell>
          <cell r="I1203" t="str">
            <v>Shipped</v>
          </cell>
          <cell r="J1203" t="str">
            <v>TRK91186779</v>
          </cell>
          <cell r="K1203">
            <v>3</v>
          </cell>
          <cell r="L1203" t="str">
            <v>SAVE10</v>
          </cell>
          <cell r="M1203" t="str">
            <v>Referral</v>
          </cell>
          <cell r="N1203">
            <v>302.7</v>
          </cell>
        </row>
        <row r="1204">
          <cell r="A1204" t="str">
            <v>ORD200002</v>
          </cell>
          <cell r="B1204">
            <v>45349</v>
          </cell>
          <cell r="C1204" t="str">
            <v>C81728</v>
          </cell>
          <cell r="D1204" t="str">
            <v>Tablet</v>
          </cell>
          <cell r="E1204">
            <v>5</v>
          </cell>
          <cell r="F1204">
            <v>550.67999999999995</v>
          </cell>
          <cell r="G1204" t="str">
            <v>512 Main St</v>
          </cell>
          <cell r="H1204" t="str">
            <v>Credit Card</v>
          </cell>
          <cell r="I1204" t="str">
            <v>Cancelled</v>
          </cell>
          <cell r="J1204" t="str">
            <v>TRK42903982</v>
          </cell>
          <cell r="K1204">
            <v>8</v>
          </cell>
          <cell r="L1204" t="str">
            <v>FREESHIP</v>
          </cell>
          <cell r="M1204" t="str">
            <v>Email</v>
          </cell>
          <cell r="N1204">
            <v>2753.4</v>
          </cell>
        </row>
        <row r="1205">
          <cell r="A1205" t="str">
            <v>ORD200003</v>
          </cell>
          <cell r="B1205">
            <v>45214</v>
          </cell>
          <cell r="C1205" t="str">
            <v>C33540</v>
          </cell>
          <cell r="D1205" t="str">
            <v>Chair</v>
          </cell>
          <cell r="E1205">
            <v>1</v>
          </cell>
          <cell r="F1205">
            <v>273.19</v>
          </cell>
          <cell r="G1205" t="str">
            <v>275 Main St</v>
          </cell>
          <cell r="H1205" t="str">
            <v>Debit Card</v>
          </cell>
          <cell r="I1205" t="str">
            <v>Returned</v>
          </cell>
          <cell r="J1205" t="str">
            <v>TRK62788070</v>
          </cell>
          <cell r="K1205">
            <v>5</v>
          </cell>
          <cell r="L1205" t="str">
            <v>SAVE10</v>
          </cell>
          <cell r="M1205" t="str">
            <v>Facebook</v>
          </cell>
          <cell r="N1205">
            <v>273.19</v>
          </cell>
        </row>
        <row r="1206">
          <cell r="A1206" t="str">
            <v>ORD200004</v>
          </cell>
          <cell r="B1206">
            <v>45785</v>
          </cell>
          <cell r="C1206" t="str">
            <v>C81840</v>
          </cell>
          <cell r="D1206" t="str">
            <v>Printer</v>
          </cell>
          <cell r="E1206">
            <v>4</v>
          </cell>
          <cell r="F1206">
            <v>626.01</v>
          </cell>
          <cell r="G1206" t="str">
            <v>668 Main St</v>
          </cell>
          <cell r="H1206" t="str">
            <v>Online</v>
          </cell>
          <cell r="I1206" t="str">
            <v>Delivered</v>
          </cell>
          <cell r="J1206" t="str">
            <v>TRK29241424</v>
          </cell>
          <cell r="K1206">
            <v>8</v>
          </cell>
          <cell r="L1206" t="str">
            <v>SAVE10</v>
          </cell>
          <cell r="M1206" t="str">
            <v>Email</v>
          </cell>
          <cell r="N1206">
            <v>2504.04</v>
          </cell>
        </row>
        <row r="1207">
          <cell r="A1207" t="str">
            <v>ORD200005</v>
          </cell>
          <cell r="B1207">
            <v>45222</v>
          </cell>
          <cell r="C1207" t="str">
            <v>C37249</v>
          </cell>
          <cell r="D1207" t="str">
            <v>Phone</v>
          </cell>
          <cell r="E1207">
            <v>2</v>
          </cell>
          <cell r="F1207">
            <v>245.86</v>
          </cell>
          <cell r="G1207" t="str">
            <v>934 Main St</v>
          </cell>
          <cell r="H1207" t="str">
            <v>Credit Card</v>
          </cell>
          <cell r="I1207" t="str">
            <v>Shipped</v>
          </cell>
          <cell r="J1207" t="str">
            <v>TRK72976927</v>
          </cell>
          <cell r="K1207">
            <v>4</v>
          </cell>
          <cell r="L1207" t="str">
            <v>SAVE10</v>
          </cell>
          <cell r="M1207" t="str">
            <v>Instagram</v>
          </cell>
          <cell r="N1207">
            <v>491.72</v>
          </cell>
        </row>
        <row r="1208">
          <cell r="A1208" t="str">
            <v>ORD200006</v>
          </cell>
          <cell r="B1208">
            <v>45825</v>
          </cell>
          <cell r="C1208" t="str">
            <v>C83492</v>
          </cell>
          <cell r="D1208" t="str">
            <v>Laptop</v>
          </cell>
          <cell r="E1208">
            <v>1</v>
          </cell>
          <cell r="F1208">
            <v>664.42</v>
          </cell>
          <cell r="G1208" t="str">
            <v>986 Main St</v>
          </cell>
          <cell r="H1208" t="str">
            <v>Gift Card</v>
          </cell>
          <cell r="I1208" t="str">
            <v>Returned</v>
          </cell>
          <cell r="J1208" t="str">
            <v>TRK96417362</v>
          </cell>
          <cell r="K1208">
            <v>6</v>
          </cell>
          <cell r="L1208" t="str">
            <v>SAVE10</v>
          </cell>
          <cell r="M1208" t="str">
            <v>Facebook</v>
          </cell>
          <cell r="N1208">
            <v>664.42</v>
          </cell>
        </row>
        <row r="1209">
          <cell r="A1209" t="str">
            <v>ORD200007</v>
          </cell>
          <cell r="B1209">
            <v>45058</v>
          </cell>
          <cell r="C1209" t="str">
            <v>C41460</v>
          </cell>
          <cell r="D1209" t="str">
            <v>Monitor</v>
          </cell>
          <cell r="E1209">
            <v>5</v>
          </cell>
          <cell r="F1209">
            <v>149.55000000000001</v>
          </cell>
          <cell r="G1209" t="str">
            <v>706 Main St</v>
          </cell>
          <cell r="H1209" t="str">
            <v>Cash</v>
          </cell>
          <cell r="I1209" t="str">
            <v>Shipped</v>
          </cell>
          <cell r="J1209" t="str">
            <v>TRK78809193</v>
          </cell>
          <cell r="K1209">
            <v>9</v>
          </cell>
          <cell r="L1209" t="str">
            <v>FREESHIP</v>
          </cell>
          <cell r="M1209" t="str">
            <v>Facebook</v>
          </cell>
          <cell r="N1209">
            <v>747.75</v>
          </cell>
        </row>
        <row r="1210">
          <cell r="A1210" t="str">
            <v>ORD200008</v>
          </cell>
          <cell r="B1210">
            <v>45749</v>
          </cell>
          <cell r="C1210" t="str">
            <v>C26817</v>
          </cell>
          <cell r="D1210" t="str">
            <v>Phone</v>
          </cell>
          <cell r="E1210">
            <v>2</v>
          </cell>
          <cell r="F1210">
            <v>134.28</v>
          </cell>
          <cell r="G1210" t="str">
            <v>904 Main St</v>
          </cell>
          <cell r="H1210" t="str">
            <v>Gift Card</v>
          </cell>
          <cell r="I1210" t="str">
            <v>Cancelled</v>
          </cell>
          <cell r="J1210" t="str">
            <v>TRK61042692</v>
          </cell>
          <cell r="K1210">
            <v>2</v>
          </cell>
          <cell r="L1210" t="str">
            <v>No Coupon</v>
          </cell>
          <cell r="M1210" t="str">
            <v>Email</v>
          </cell>
          <cell r="N1210">
            <v>268.56</v>
          </cell>
        </row>
        <row r="1211">
          <cell r="A1211" t="str">
            <v>ORD200009</v>
          </cell>
          <cell r="B1211">
            <v>45251</v>
          </cell>
          <cell r="C1211" t="str">
            <v>C31946</v>
          </cell>
          <cell r="D1211" t="str">
            <v>Desk</v>
          </cell>
          <cell r="E1211">
            <v>4</v>
          </cell>
          <cell r="F1211">
            <v>509.38</v>
          </cell>
          <cell r="G1211" t="str">
            <v>102 Main St</v>
          </cell>
          <cell r="H1211" t="str">
            <v>Credit Card</v>
          </cell>
          <cell r="I1211" t="str">
            <v>Shipped</v>
          </cell>
          <cell r="J1211" t="str">
            <v>TRK33478363</v>
          </cell>
          <cell r="K1211">
            <v>6</v>
          </cell>
          <cell r="L1211" t="str">
            <v>SAVE10</v>
          </cell>
          <cell r="M1211" t="str">
            <v>Google</v>
          </cell>
          <cell r="N1211">
            <v>2037.52</v>
          </cell>
        </row>
        <row r="1212">
          <cell r="A1212" t="str">
            <v>ORD200010</v>
          </cell>
          <cell r="B1212">
            <v>45289</v>
          </cell>
          <cell r="C1212" t="str">
            <v>C43443</v>
          </cell>
          <cell r="D1212" t="str">
            <v>Tablet</v>
          </cell>
          <cell r="E1212">
            <v>5</v>
          </cell>
          <cell r="F1212">
            <v>625.97</v>
          </cell>
          <cell r="G1212" t="str">
            <v>333 Main St</v>
          </cell>
          <cell r="H1212" t="str">
            <v>Credit Card</v>
          </cell>
          <cell r="I1212" t="str">
            <v>Returned</v>
          </cell>
          <cell r="J1212" t="str">
            <v>TRK98859248</v>
          </cell>
          <cell r="K1212">
            <v>9</v>
          </cell>
          <cell r="L1212" t="str">
            <v>WINTER15</v>
          </cell>
          <cell r="M1212" t="str">
            <v>Instagram</v>
          </cell>
          <cell r="N1212">
            <v>3129.85</v>
          </cell>
        </row>
        <row r="1213">
          <cell r="A1213" t="str">
            <v>ORD200011</v>
          </cell>
          <cell r="B1213">
            <v>45339</v>
          </cell>
          <cell r="C1213" t="str">
            <v>C93861</v>
          </cell>
          <cell r="D1213" t="str">
            <v>Monitor</v>
          </cell>
          <cell r="E1213">
            <v>3</v>
          </cell>
          <cell r="F1213">
            <v>49.14</v>
          </cell>
          <cell r="G1213" t="str">
            <v>831 Main St</v>
          </cell>
          <cell r="H1213" t="str">
            <v>Online</v>
          </cell>
          <cell r="I1213" t="str">
            <v>Returned</v>
          </cell>
          <cell r="J1213" t="str">
            <v>TRK48234646</v>
          </cell>
          <cell r="K1213">
            <v>7</v>
          </cell>
          <cell r="L1213" t="str">
            <v>SAVE10</v>
          </cell>
          <cell r="M1213" t="str">
            <v>Email</v>
          </cell>
          <cell r="N1213">
            <v>147.41999999999999</v>
          </cell>
        </row>
        <row r="1214">
          <cell r="A1214" t="str">
            <v>ORD200012</v>
          </cell>
          <cell r="B1214">
            <v>45580</v>
          </cell>
          <cell r="C1214" t="str">
            <v>C38785</v>
          </cell>
          <cell r="D1214" t="str">
            <v>Monitor</v>
          </cell>
          <cell r="E1214">
            <v>2</v>
          </cell>
          <cell r="F1214">
            <v>180.5</v>
          </cell>
          <cell r="G1214" t="str">
            <v>179 Main St</v>
          </cell>
          <cell r="H1214" t="str">
            <v>Debit Card</v>
          </cell>
          <cell r="I1214" t="str">
            <v>Pending</v>
          </cell>
          <cell r="J1214" t="str">
            <v>TRK20419991</v>
          </cell>
          <cell r="K1214">
            <v>6</v>
          </cell>
          <cell r="L1214" t="str">
            <v>FREESHIP</v>
          </cell>
          <cell r="M1214" t="str">
            <v>Referral</v>
          </cell>
          <cell r="N1214">
            <v>361</v>
          </cell>
        </row>
        <row r="1215">
          <cell r="A1215" t="str">
            <v>ORD200013</v>
          </cell>
          <cell r="B1215">
            <v>45168</v>
          </cell>
          <cell r="C1215" t="str">
            <v>C88348</v>
          </cell>
          <cell r="D1215" t="str">
            <v>Laptop</v>
          </cell>
          <cell r="E1215">
            <v>3</v>
          </cell>
          <cell r="F1215">
            <v>201.49</v>
          </cell>
          <cell r="G1215" t="str">
            <v>903 Main St</v>
          </cell>
          <cell r="H1215" t="str">
            <v>Credit Card</v>
          </cell>
          <cell r="I1215" t="str">
            <v>Returned</v>
          </cell>
          <cell r="J1215" t="str">
            <v>TRK81913874</v>
          </cell>
          <cell r="K1215">
            <v>4</v>
          </cell>
          <cell r="L1215" t="str">
            <v>FREESHIP</v>
          </cell>
          <cell r="M1215" t="str">
            <v>Facebook</v>
          </cell>
          <cell r="N1215">
            <v>604.47</v>
          </cell>
        </row>
        <row r="1216">
          <cell r="A1216" t="str">
            <v>ORD200014</v>
          </cell>
          <cell r="B1216">
            <v>45012</v>
          </cell>
          <cell r="C1216" t="str">
            <v>C98474</v>
          </cell>
          <cell r="D1216" t="str">
            <v>Tablet</v>
          </cell>
          <cell r="E1216">
            <v>2</v>
          </cell>
          <cell r="F1216">
            <v>393.33</v>
          </cell>
          <cell r="G1216" t="str">
            <v>980 Main St</v>
          </cell>
          <cell r="H1216" t="str">
            <v>Debit Card</v>
          </cell>
          <cell r="I1216" t="str">
            <v>Pending</v>
          </cell>
          <cell r="J1216" t="str">
            <v>TRK79186539</v>
          </cell>
          <cell r="K1216">
            <v>3</v>
          </cell>
          <cell r="L1216" t="str">
            <v>SAVE10</v>
          </cell>
          <cell r="M1216" t="str">
            <v>Instagram</v>
          </cell>
          <cell r="N1216">
            <v>786.66</v>
          </cell>
        </row>
        <row r="1217">
          <cell r="A1217" t="str">
            <v>ORD200015</v>
          </cell>
          <cell r="B1217">
            <v>45124</v>
          </cell>
          <cell r="C1217" t="str">
            <v>C39416</v>
          </cell>
          <cell r="D1217" t="str">
            <v>Printer</v>
          </cell>
          <cell r="E1217">
            <v>1</v>
          </cell>
          <cell r="F1217">
            <v>473.96</v>
          </cell>
          <cell r="G1217" t="str">
            <v>942 Main St</v>
          </cell>
          <cell r="H1217" t="str">
            <v>Cash</v>
          </cell>
          <cell r="I1217" t="str">
            <v>Delivered</v>
          </cell>
          <cell r="J1217" t="str">
            <v>TRK54930938</v>
          </cell>
          <cell r="K1217">
            <v>3</v>
          </cell>
          <cell r="L1217" t="str">
            <v>No Coupon</v>
          </cell>
          <cell r="M1217" t="str">
            <v>Google</v>
          </cell>
          <cell r="N1217">
            <v>473.96</v>
          </cell>
        </row>
        <row r="1218">
          <cell r="A1218" t="str">
            <v>ORD200016</v>
          </cell>
          <cell r="B1218">
            <v>44950</v>
          </cell>
          <cell r="C1218" t="str">
            <v>C28976</v>
          </cell>
          <cell r="D1218" t="str">
            <v>Printer</v>
          </cell>
          <cell r="E1218">
            <v>2</v>
          </cell>
          <cell r="F1218">
            <v>533.80999999999995</v>
          </cell>
          <cell r="G1218" t="str">
            <v>914 Main St</v>
          </cell>
          <cell r="H1218" t="str">
            <v>Credit Card</v>
          </cell>
          <cell r="I1218" t="str">
            <v>Pending</v>
          </cell>
          <cell r="J1218" t="str">
            <v>TRK13194259</v>
          </cell>
          <cell r="K1218">
            <v>3</v>
          </cell>
          <cell r="L1218" t="str">
            <v>FREESHIP</v>
          </cell>
          <cell r="M1218" t="str">
            <v>Email</v>
          </cell>
          <cell r="N1218">
            <v>1067.6199999999999</v>
          </cell>
        </row>
        <row r="1219">
          <cell r="A1219" t="str">
            <v>ORD200017</v>
          </cell>
          <cell r="B1219">
            <v>45353</v>
          </cell>
          <cell r="C1219" t="str">
            <v>C60672</v>
          </cell>
          <cell r="D1219" t="str">
            <v>Tablet</v>
          </cell>
          <cell r="E1219">
            <v>1</v>
          </cell>
          <cell r="F1219">
            <v>423.4</v>
          </cell>
          <cell r="G1219" t="str">
            <v>382 Main St</v>
          </cell>
          <cell r="H1219" t="str">
            <v>Debit Card</v>
          </cell>
          <cell r="I1219" t="str">
            <v>Shipped</v>
          </cell>
          <cell r="J1219" t="str">
            <v>TRK11972116</v>
          </cell>
          <cell r="K1219">
            <v>3</v>
          </cell>
          <cell r="L1219" t="str">
            <v>No Coupon</v>
          </cell>
          <cell r="M1219" t="str">
            <v>Referral</v>
          </cell>
          <cell r="N1219">
            <v>423.4</v>
          </cell>
        </row>
        <row r="1220">
          <cell r="A1220" t="str">
            <v>ORD200018</v>
          </cell>
          <cell r="B1220">
            <v>45742</v>
          </cell>
          <cell r="C1220" t="str">
            <v>C84329</v>
          </cell>
          <cell r="D1220" t="str">
            <v>Desk</v>
          </cell>
          <cell r="E1220">
            <v>1</v>
          </cell>
          <cell r="F1220">
            <v>431.44</v>
          </cell>
          <cell r="G1220" t="str">
            <v>891 Main St</v>
          </cell>
          <cell r="H1220" t="str">
            <v>Gift Card</v>
          </cell>
          <cell r="I1220" t="str">
            <v>Pending</v>
          </cell>
          <cell r="J1220" t="str">
            <v>TRK65191045</v>
          </cell>
          <cell r="K1220">
            <v>3</v>
          </cell>
          <cell r="L1220" t="str">
            <v>SAVE10</v>
          </cell>
          <cell r="M1220" t="str">
            <v>Facebook</v>
          </cell>
          <cell r="N1220">
            <v>431.44</v>
          </cell>
        </row>
        <row r="1221">
          <cell r="A1221" t="str">
            <v>ORD200019</v>
          </cell>
          <cell r="B1221">
            <v>44949</v>
          </cell>
          <cell r="C1221" t="str">
            <v>C14552</v>
          </cell>
          <cell r="D1221" t="str">
            <v>Monitor</v>
          </cell>
          <cell r="E1221">
            <v>5</v>
          </cell>
          <cell r="F1221">
            <v>224</v>
          </cell>
          <cell r="G1221" t="str">
            <v>273 Main St</v>
          </cell>
          <cell r="H1221" t="str">
            <v>Cash</v>
          </cell>
          <cell r="I1221" t="str">
            <v>Returned</v>
          </cell>
          <cell r="J1221" t="str">
            <v>TRK59101365</v>
          </cell>
          <cell r="K1221">
            <v>9</v>
          </cell>
          <cell r="L1221" t="str">
            <v>SAVE10</v>
          </cell>
          <cell r="M1221" t="str">
            <v>Google</v>
          </cell>
          <cell r="N1221">
            <v>1120</v>
          </cell>
        </row>
        <row r="1222">
          <cell r="A1222" t="str">
            <v>ORD200020</v>
          </cell>
          <cell r="B1222">
            <v>45054</v>
          </cell>
          <cell r="C1222" t="str">
            <v>C54829</v>
          </cell>
          <cell r="D1222" t="str">
            <v>Chair</v>
          </cell>
          <cell r="E1222">
            <v>5</v>
          </cell>
          <cell r="F1222">
            <v>62.51</v>
          </cell>
          <cell r="G1222" t="str">
            <v>587 Main St</v>
          </cell>
          <cell r="H1222" t="str">
            <v>Cash</v>
          </cell>
          <cell r="I1222" t="str">
            <v>Pending</v>
          </cell>
          <cell r="J1222" t="str">
            <v>TRK16718651</v>
          </cell>
          <cell r="K1222">
            <v>9</v>
          </cell>
          <cell r="L1222" t="str">
            <v>WINTER15</v>
          </cell>
          <cell r="M1222" t="str">
            <v>Instagram</v>
          </cell>
          <cell r="N1222">
            <v>312.55</v>
          </cell>
        </row>
        <row r="1223">
          <cell r="A1223" t="str">
            <v>ORD200021</v>
          </cell>
          <cell r="B1223">
            <v>45613</v>
          </cell>
          <cell r="C1223" t="str">
            <v>C99023</v>
          </cell>
          <cell r="D1223" t="str">
            <v>Monitor</v>
          </cell>
          <cell r="E1223">
            <v>4</v>
          </cell>
          <cell r="F1223">
            <v>342.95</v>
          </cell>
          <cell r="G1223" t="str">
            <v>569 Main St</v>
          </cell>
          <cell r="H1223" t="str">
            <v>Cash</v>
          </cell>
          <cell r="I1223" t="str">
            <v>Delivered</v>
          </cell>
          <cell r="J1223" t="str">
            <v>TRK52646983</v>
          </cell>
          <cell r="K1223">
            <v>6</v>
          </cell>
          <cell r="L1223" t="str">
            <v>No Coupon</v>
          </cell>
          <cell r="M1223" t="str">
            <v>Google</v>
          </cell>
          <cell r="N1223">
            <v>1371.8</v>
          </cell>
        </row>
        <row r="1224">
          <cell r="A1224" t="str">
            <v>ORD200022</v>
          </cell>
          <cell r="B1224">
            <v>44955</v>
          </cell>
          <cell r="C1224" t="str">
            <v>C34416</v>
          </cell>
          <cell r="D1224" t="str">
            <v>Monitor</v>
          </cell>
          <cell r="E1224">
            <v>2</v>
          </cell>
          <cell r="F1224">
            <v>49.62</v>
          </cell>
          <cell r="G1224" t="str">
            <v>633 Main St</v>
          </cell>
          <cell r="H1224" t="str">
            <v>Online</v>
          </cell>
          <cell r="I1224" t="str">
            <v>Pending</v>
          </cell>
          <cell r="J1224" t="str">
            <v>TRK75937350</v>
          </cell>
          <cell r="K1224">
            <v>2</v>
          </cell>
          <cell r="L1224" t="str">
            <v>SAVE10</v>
          </cell>
          <cell r="M1224" t="str">
            <v>Google</v>
          </cell>
          <cell r="N1224">
            <v>99.24</v>
          </cell>
        </row>
        <row r="1225">
          <cell r="A1225" t="str">
            <v>ORD200023</v>
          </cell>
          <cell r="B1225">
            <v>45756</v>
          </cell>
          <cell r="C1225" t="str">
            <v>C42372</v>
          </cell>
          <cell r="D1225" t="str">
            <v>Phone</v>
          </cell>
          <cell r="E1225">
            <v>4</v>
          </cell>
          <cell r="F1225">
            <v>273.25</v>
          </cell>
          <cell r="G1225" t="str">
            <v>755 Main St</v>
          </cell>
          <cell r="H1225" t="str">
            <v>Debit Card</v>
          </cell>
          <cell r="I1225" t="str">
            <v>Cancelled</v>
          </cell>
          <cell r="J1225" t="str">
            <v>TRK36168083</v>
          </cell>
          <cell r="K1225">
            <v>5</v>
          </cell>
          <cell r="L1225" t="str">
            <v>FREESHIP</v>
          </cell>
          <cell r="M1225" t="str">
            <v>Referral</v>
          </cell>
          <cell r="N1225">
            <v>1093</v>
          </cell>
        </row>
        <row r="1226">
          <cell r="A1226" t="str">
            <v>ORD200024</v>
          </cell>
          <cell r="B1226">
            <v>45595</v>
          </cell>
          <cell r="C1226" t="str">
            <v>C17470</v>
          </cell>
          <cell r="D1226" t="str">
            <v>Laptop</v>
          </cell>
          <cell r="E1226">
            <v>2</v>
          </cell>
          <cell r="F1226">
            <v>230.95</v>
          </cell>
          <cell r="G1226" t="str">
            <v>956 Main St</v>
          </cell>
          <cell r="H1226" t="str">
            <v>Online</v>
          </cell>
          <cell r="I1226" t="str">
            <v>Delivered</v>
          </cell>
          <cell r="J1226" t="str">
            <v>TRK28775057</v>
          </cell>
          <cell r="K1226">
            <v>3</v>
          </cell>
          <cell r="L1226" t="str">
            <v>WINTER15</v>
          </cell>
          <cell r="M1226" t="str">
            <v>Referral</v>
          </cell>
          <cell r="N1226">
            <v>461.9</v>
          </cell>
        </row>
        <row r="1227">
          <cell r="A1227" t="str">
            <v>ORD200025</v>
          </cell>
          <cell r="B1227">
            <v>45497</v>
          </cell>
          <cell r="C1227" t="str">
            <v>C42577</v>
          </cell>
          <cell r="D1227" t="str">
            <v>Monitor</v>
          </cell>
          <cell r="E1227">
            <v>1</v>
          </cell>
          <cell r="F1227">
            <v>399.98</v>
          </cell>
          <cell r="G1227" t="str">
            <v>709 Main St</v>
          </cell>
          <cell r="H1227" t="str">
            <v>Debit Card</v>
          </cell>
          <cell r="I1227" t="str">
            <v>Delivered</v>
          </cell>
          <cell r="J1227" t="str">
            <v>TRK69423327</v>
          </cell>
          <cell r="K1227">
            <v>3</v>
          </cell>
          <cell r="L1227" t="str">
            <v>WINTER15</v>
          </cell>
          <cell r="M1227" t="str">
            <v>Email</v>
          </cell>
          <cell r="N1227">
            <v>399.98</v>
          </cell>
        </row>
        <row r="1228">
          <cell r="A1228" t="str">
            <v>ORD200026</v>
          </cell>
          <cell r="B1228">
            <v>45357</v>
          </cell>
          <cell r="C1228" t="str">
            <v>C21944</v>
          </cell>
          <cell r="D1228" t="str">
            <v>Laptop</v>
          </cell>
          <cell r="E1228">
            <v>5</v>
          </cell>
          <cell r="F1228">
            <v>59.55</v>
          </cell>
          <cell r="G1228" t="str">
            <v>296 Main St</v>
          </cell>
          <cell r="H1228" t="str">
            <v>Online</v>
          </cell>
          <cell r="I1228" t="str">
            <v>Delivered</v>
          </cell>
          <cell r="J1228" t="str">
            <v>TRK80276812</v>
          </cell>
          <cell r="K1228">
            <v>6</v>
          </cell>
          <cell r="L1228" t="str">
            <v>No Coupon</v>
          </cell>
          <cell r="M1228" t="str">
            <v>Referral</v>
          </cell>
          <cell r="N1228">
            <v>297.75</v>
          </cell>
        </row>
        <row r="1229">
          <cell r="A1229" t="str">
            <v>ORD200027</v>
          </cell>
          <cell r="B1229">
            <v>45344</v>
          </cell>
          <cell r="C1229" t="str">
            <v>C97593</v>
          </cell>
          <cell r="D1229" t="str">
            <v>Printer</v>
          </cell>
          <cell r="E1229">
            <v>1</v>
          </cell>
          <cell r="F1229">
            <v>472.74</v>
          </cell>
          <cell r="G1229" t="str">
            <v>881 Main St</v>
          </cell>
          <cell r="H1229" t="str">
            <v>Online</v>
          </cell>
          <cell r="I1229" t="str">
            <v>Shipped</v>
          </cell>
          <cell r="J1229" t="str">
            <v>TRK89117573</v>
          </cell>
          <cell r="K1229">
            <v>6</v>
          </cell>
          <cell r="L1229" t="str">
            <v>WINTER15</v>
          </cell>
          <cell r="M1229" t="str">
            <v>Google</v>
          </cell>
          <cell r="N1229">
            <v>472.74</v>
          </cell>
        </row>
        <row r="1230">
          <cell r="A1230" t="str">
            <v>ORD200028</v>
          </cell>
          <cell r="B1230">
            <v>45251</v>
          </cell>
          <cell r="C1230" t="str">
            <v>C59823</v>
          </cell>
          <cell r="D1230" t="str">
            <v>Phone</v>
          </cell>
          <cell r="E1230">
            <v>4</v>
          </cell>
          <cell r="F1230">
            <v>160.07</v>
          </cell>
          <cell r="G1230" t="str">
            <v>568 Main St</v>
          </cell>
          <cell r="H1230" t="str">
            <v>Online</v>
          </cell>
          <cell r="I1230" t="str">
            <v>Pending</v>
          </cell>
          <cell r="J1230" t="str">
            <v>TRK65895539</v>
          </cell>
          <cell r="K1230">
            <v>5</v>
          </cell>
          <cell r="L1230" t="str">
            <v>No Coupon</v>
          </cell>
          <cell r="M1230" t="str">
            <v>Email</v>
          </cell>
          <cell r="N1230">
            <v>640.28</v>
          </cell>
        </row>
        <row r="1231">
          <cell r="A1231" t="str">
            <v>ORD200029</v>
          </cell>
          <cell r="B1231">
            <v>45555</v>
          </cell>
          <cell r="C1231" t="str">
            <v>C33260</v>
          </cell>
          <cell r="D1231" t="str">
            <v>Desk</v>
          </cell>
          <cell r="E1231">
            <v>3</v>
          </cell>
          <cell r="F1231">
            <v>423.53</v>
          </cell>
          <cell r="G1231" t="str">
            <v>930 Main St</v>
          </cell>
          <cell r="H1231" t="str">
            <v>Credit Card</v>
          </cell>
          <cell r="I1231" t="str">
            <v>Delivered</v>
          </cell>
          <cell r="J1231" t="str">
            <v>TRK59744090</v>
          </cell>
          <cell r="K1231">
            <v>6</v>
          </cell>
          <cell r="L1231" t="str">
            <v>SAVE10</v>
          </cell>
          <cell r="M1231" t="str">
            <v>Referral</v>
          </cell>
          <cell r="N1231">
            <v>1270.5899999999999</v>
          </cell>
        </row>
        <row r="1232">
          <cell r="A1232" t="str">
            <v>ORD200030</v>
          </cell>
          <cell r="B1232">
            <v>45738</v>
          </cell>
          <cell r="C1232" t="str">
            <v>C44267</v>
          </cell>
          <cell r="D1232" t="str">
            <v>Monitor</v>
          </cell>
          <cell r="E1232">
            <v>2</v>
          </cell>
          <cell r="F1232">
            <v>426.7</v>
          </cell>
          <cell r="G1232" t="str">
            <v>895 Main St</v>
          </cell>
          <cell r="H1232" t="str">
            <v>Online</v>
          </cell>
          <cell r="I1232" t="str">
            <v>Pending</v>
          </cell>
          <cell r="J1232" t="str">
            <v>TRK54751444</v>
          </cell>
          <cell r="K1232">
            <v>5</v>
          </cell>
          <cell r="L1232" t="str">
            <v>SAVE10</v>
          </cell>
          <cell r="M1232" t="str">
            <v>Referral</v>
          </cell>
          <cell r="N1232">
            <v>853.4</v>
          </cell>
        </row>
        <row r="1233">
          <cell r="A1233" t="str">
            <v>ORD200031</v>
          </cell>
          <cell r="B1233">
            <v>45107</v>
          </cell>
          <cell r="C1233" t="str">
            <v>C26445</v>
          </cell>
          <cell r="D1233" t="str">
            <v>Chair</v>
          </cell>
          <cell r="E1233">
            <v>3</v>
          </cell>
          <cell r="F1233">
            <v>500.08</v>
          </cell>
          <cell r="G1233" t="str">
            <v>996 Main St</v>
          </cell>
          <cell r="H1233" t="str">
            <v>Debit Card</v>
          </cell>
          <cell r="I1233" t="str">
            <v>Returned</v>
          </cell>
          <cell r="J1233" t="str">
            <v>TRK31229981</v>
          </cell>
          <cell r="K1233">
            <v>6</v>
          </cell>
          <cell r="L1233" t="str">
            <v>No Coupon</v>
          </cell>
          <cell r="M1233" t="str">
            <v>Facebook</v>
          </cell>
          <cell r="N1233">
            <v>1500.24</v>
          </cell>
        </row>
        <row r="1234">
          <cell r="A1234" t="str">
            <v>ORD200032</v>
          </cell>
          <cell r="B1234">
            <v>45047</v>
          </cell>
          <cell r="C1234" t="str">
            <v>C12388</v>
          </cell>
          <cell r="D1234" t="str">
            <v>Tablet</v>
          </cell>
          <cell r="E1234">
            <v>5</v>
          </cell>
          <cell r="F1234">
            <v>536.72</v>
          </cell>
          <cell r="G1234" t="str">
            <v>830 Main St</v>
          </cell>
          <cell r="H1234" t="str">
            <v>Cash</v>
          </cell>
          <cell r="I1234" t="str">
            <v>Delivered</v>
          </cell>
          <cell r="J1234" t="str">
            <v>TRK99261395</v>
          </cell>
          <cell r="K1234">
            <v>10</v>
          </cell>
          <cell r="L1234" t="str">
            <v>No Coupon</v>
          </cell>
          <cell r="M1234" t="str">
            <v>Email</v>
          </cell>
          <cell r="N1234">
            <v>2683.6</v>
          </cell>
        </row>
        <row r="1235">
          <cell r="A1235" t="str">
            <v>ORD200033</v>
          </cell>
          <cell r="B1235">
            <v>45082</v>
          </cell>
          <cell r="C1235" t="str">
            <v>C52184</v>
          </cell>
          <cell r="D1235" t="str">
            <v>Chair</v>
          </cell>
          <cell r="E1235">
            <v>1</v>
          </cell>
          <cell r="F1235">
            <v>162.77000000000001</v>
          </cell>
          <cell r="G1235" t="str">
            <v>912 Main St</v>
          </cell>
          <cell r="H1235" t="str">
            <v>Online</v>
          </cell>
          <cell r="I1235" t="str">
            <v>Cancelled</v>
          </cell>
          <cell r="J1235" t="str">
            <v>TRK73312471</v>
          </cell>
          <cell r="K1235">
            <v>4</v>
          </cell>
          <cell r="L1235" t="str">
            <v>WINTER15</v>
          </cell>
          <cell r="M1235" t="str">
            <v>Facebook</v>
          </cell>
          <cell r="N1235">
            <v>162.77000000000001</v>
          </cell>
        </row>
        <row r="1236">
          <cell r="A1236" t="str">
            <v>ORD200034</v>
          </cell>
          <cell r="B1236">
            <v>44933</v>
          </cell>
          <cell r="C1236" t="str">
            <v>C67195</v>
          </cell>
          <cell r="D1236" t="str">
            <v>Chair</v>
          </cell>
          <cell r="E1236">
            <v>4</v>
          </cell>
          <cell r="F1236">
            <v>576.52</v>
          </cell>
          <cell r="G1236" t="str">
            <v>926 Main St</v>
          </cell>
          <cell r="H1236" t="str">
            <v>Credit Card</v>
          </cell>
          <cell r="I1236" t="str">
            <v>Pending</v>
          </cell>
          <cell r="J1236" t="str">
            <v>TRK55467915</v>
          </cell>
          <cell r="K1236">
            <v>5</v>
          </cell>
          <cell r="L1236" t="str">
            <v>WINTER15</v>
          </cell>
          <cell r="M1236" t="str">
            <v>Facebook</v>
          </cell>
          <cell r="N1236">
            <v>2306.08</v>
          </cell>
        </row>
        <row r="1237">
          <cell r="A1237" t="str">
            <v>ORD200035</v>
          </cell>
          <cell r="B1237">
            <v>45633</v>
          </cell>
          <cell r="C1237" t="str">
            <v>C50304</v>
          </cell>
          <cell r="D1237" t="str">
            <v>Monitor</v>
          </cell>
          <cell r="E1237">
            <v>2</v>
          </cell>
          <cell r="F1237">
            <v>465.15</v>
          </cell>
          <cell r="G1237" t="str">
            <v>128 Main St</v>
          </cell>
          <cell r="H1237" t="str">
            <v>Online</v>
          </cell>
          <cell r="I1237" t="str">
            <v>Shipped</v>
          </cell>
          <cell r="J1237" t="str">
            <v>TRK46850888</v>
          </cell>
          <cell r="K1237">
            <v>2</v>
          </cell>
          <cell r="L1237" t="str">
            <v>SAVE10</v>
          </cell>
          <cell r="M1237" t="str">
            <v>Facebook</v>
          </cell>
          <cell r="N1237">
            <v>930.3</v>
          </cell>
        </row>
        <row r="1238">
          <cell r="A1238" t="str">
            <v>ORD200036</v>
          </cell>
          <cell r="B1238">
            <v>45785</v>
          </cell>
          <cell r="C1238" t="str">
            <v>C59337</v>
          </cell>
          <cell r="D1238" t="str">
            <v>Laptop</v>
          </cell>
          <cell r="E1238">
            <v>2</v>
          </cell>
          <cell r="F1238">
            <v>534.42999999999995</v>
          </cell>
          <cell r="G1238" t="str">
            <v>465 Main St</v>
          </cell>
          <cell r="H1238" t="str">
            <v>Debit Card</v>
          </cell>
          <cell r="I1238" t="str">
            <v>Pending</v>
          </cell>
          <cell r="J1238" t="str">
            <v>TRK50961250</v>
          </cell>
          <cell r="K1238">
            <v>5</v>
          </cell>
          <cell r="L1238" t="str">
            <v>No Coupon</v>
          </cell>
          <cell r="M1238" t="str">
            <v>Facebook</v>
          </cell>
          <cell r="N1238">
            <v>1068.8599999999999</v>
          </cell>
        </row>
        <row r="1239">
          <cell r="A1239" t="str">
            <v>ORD200037</v>
          </cell>
          <cell r="B1239">
            <v>45579</v>
          </cell>
          <cell r="C1239" t="str">
            <v>C10054</v>
          </cell>
          <cell r="D1239" t="str">
            <v>Laptop</v>
          </cell>
          <cell r="E1239">
            <v>2</v>
          </cell>
          <cell r="F1239">
            <v>76.739999999999995</v>
          </cell>
          <cell r="G1239" t="str">
            <v>409 Main St</v>
          </cell>
          <cell r="H1239" t="str">
            <v>Cash</v>
          </cell>
          <cell r="I1239" t="str">
            <v>Returned</v>
          </cell>
          <cell r="J1239" t="str">
            <v>TRK94005261</v>
          </cell>
          <cell r="K1239">
            <v>7</v>
          </cell>
          <cell r="L1239" t="str">
            <v>SAVE10</v>
          </cell>
          <cell r="M1239" t="str">
            <v>Instagram</v>
          </cell>
          <cell r="N1239">
            <v>153.47999999999999</v>
          </cell>
        </row>
        <row r="1240">
          <cell r="A1240" t="str">
            <v>ORD200038</v>
          </cell>
          <cell r="B1240">
            <v>45645</v>
          </cell>
          <cell r="C1240" t="str">
            <v>C15924</v>
          </cell>
          <cell r="D1240" t="str">
            <v>Laptop</v>
          </cell>
          <cell r="E1240">
            <v>1</v>
          </cell>
          <cell r="F1240">
            <v>245.89</v>
          </cell>
          <cell r="G1240" t="str">
            <v>549 Main St</v>
          </cell>
          <cell r="H1240" t="str">
            <v>Debit Card</v>
          </cell>
          <cell r="I1240" t="str">
            <v>Delivered</v>
          </cell>
          <cell r="J1240" t="str">
            <v>TRK14835975</v>
          </cell>
          <cell r="K1240">
            <v>3</v>
          </cell>
          <cell r="L1240" t="str">
            <v>SAVE10</v>
          </cell>
          <cell r="M1240" t="str">
            <v>Google</v>
          </cell>
          <cell r="N1240">
            <v>245.89</v>
          </cell>
        </row>
        <row r="1241">
          <cell r="A1241" t="str">
            <v>ORD200039</v>
          </cell>
          <cell r="B1241">
            <v>45715</v>
          </cell>
          <cell r="C1241" t="str">
            <v>C96664</v>
          </cell>
          <cell r="D1241" t="str">
            <v>Printer</v>
          </cell>
          <cell r="E1241">
            <v>3</v>
          </cell>
          <cell r="F1241">
            <v>256.45999999999998</v>
          </cell>
          <cell r="G1241" t="str">
            <v>666 Main St</v>
          </cell>
          <cell r="H1241" t="str">
            <v>Credit Card</v>
          </cell>
          <cell r="I1241" t="str">
            <v>Delivered</v>
          </cell>
          <cell r="J1241" t="str">
            <v>TRK85508960</v>
          </cell>
          <cell r="K1241">
            <v>4</v>
          </cell>
          <cell r="L1241" t="str">
            <v>SAVE10</v>
          </cell>
          <cell r="M1241" t="str">
            <v>Referral</v>
          </cell>
          <cell r="N1241">
            <v>769.38</v>
          </cell>
        </row>
        <row r="1242">
          <cell r="A1242" t="str">
            <v>ORD200040</v>
          </cell>
          <cell r="B1242">
            <v>45158</v>
          </cell>
          <cell r="C1242" t="str">
            <v>C84766</v>
          </cell>
          <cell r="D1242" t="str">
            <v>Desk</v>
          </cell>
          <cell r="E1242">
            <v>2</v>
          </cell>
          <cell r="F1242">
            <v>344.02</v>
          </cell>
          <cell r="G1242" t="str">
            <v>267 Main St</v>
          </cell>
          <cell r="H1242" t="str">
            <v>Online</v>
          </cell>
          <cell r="I1242" t="str">
            <v>Delivered</v>
          </cell>
          <cell r="J1242" t="str">
            <v>TRK78967923</v>
          </cell>
          <cell r="K1242">
            <v>4</v>
          </cell>
          <cell r="L1242" t="str">
            <v>FREESHIP</v>
          </cell>
          <cell r="M1242" t="str">
            <v>Instagram</v>
          </cell>
          <cell r="N1242">
            <v>688.04</v>
          </cell>
        </row>
        <row r="1243">
          <cell r="A1243" t="str">
            <v>ORD200041</v>
          </cell>
          <cell r="B1243">
            <v>45265</v>
          </cell>
          <cell r="C1243" t="str">
            <v>C20212</v>
          </cell>
          <cell r="D1243" t="str">
            <v>Monitor</v>
          </cell>
          <cell r="E1243">
            <v>3</v>
          </cell>
          <cell r="F1243">
            <v>611.45000000000005</v>
          </cell>
          <cell r="G1243" t="str">
            <v>657 Main St</v>
          </cell>
          <cell r="H1243" t="str">
            <v>Gift Card</v>
          </cell>
          <cell r="I1243" t="str">
            <v>Pending</v>
          </cell>
          <cell r="J1243" t="str">
            <v>TRK69733327</v>
          </cell>
          <cell r="K1243">
            <v>4</v>
          </cell>
          <cell r="L1243" t="str">
            <v>FREESHIP</v>
          </cell>
          <cell r="M1243" t="str">
            <v>Instagram</v>
          </cell>
          <cell r="N1243">
            <v>1834.35</v>
          </cell>
        </row>
        <row r="1244">
          <cell r="A1244" t="str">
            <v>ORD200042</v>
          </cell>
          <cell r="B1244">
            <v>45418</v>
          </cell>
          <cell r="C1244" t="str">
            <v>C28712</v>
          </cell>
          <cell r="D1244" t="str">
            <v>Printer</v>
          </cell>
          <cell r="E1244">
            <v>2</v>
          </cell>
          <cell r="F1244">
            <v>151.66</v>
          </cell>
          <cell r="G1244" t="str">
            <v>980 Main St</v>
          </cell>
          <cell r="H1244" t="str">
            <v>Cash</v>
          </cell>
          <cell r="I1244" t="str">
            <v>Cancelled</v>
          </cell>
          <cell r="J1244" t="str">
            <v>TRK40772558</v>
          </cell>
          <cell r="K1244">
            <v>6</v>
          </cell>
          <cell r="L1244" t="str">
            <v>No Coupon</v>
          </cell>
          <cell r="M1244" t="str">
            <v>Instagram</v>
          </cell>
          <cell r="N1244">
            <v>303.32</v>
          </cell>
        </row>
        <row r="1245">
          <cell r="A1245" t="str">
            <v>ORD200043</v>
          </cell>
          <cell r="B1245">
            <v>45274</v>
          </cell>
          <cell r="C1245" t="str">
            <v>C60572</v>
          </cell>
          <cell r="D1245" t="str">
            <v>Chair</v>
          </cell>
          <cell r="E1245">
            <v>3</v>
          </cell>
          <cell r="F1245">
            <v>499.21</v>
          </cell>
          <cell r="G1245" t="str">
            <v>871 Main St</v>
          </cell>
          <cell r="H1245" t="str">
            <v>Online</v>
          </cell>
          <cell r="I1245" t="str">
            <v>Cancelled</v>
          </cell>
          <cell r="J1245" t="str">
            <v>TRK20351666</v>
          </cell>
          <cell r="K1245">
            <v>8</v>
          </cell>
          <cell r="L1245" t="str">
            <v>No Coupon</v>
          </cell>
          <cell r="M1245" t="str">
            <v>Instagram</v>
          </cell>
          <cell r="N1245">
            <v>1497.63</v>
          </cell>
        </row>
        <row r="1246">
          <cell r="A1246" t="str">
            <v>ORD200044</v>
          </cell>
          <cell r="B1246">
            <v>45768</v>
          </cell>
          <cell r="C1246" t="str">
            <v>C73225</v>
          </cell>
          <cell r="D1246" t="str">
            <v>Phone</v>
          </cell>
          <cell r="E1246">
            <v>2</v>
          </cell>
          <cell r="F1246">
            <v>550.17999999999995</v>
          </cell>
          <cell r="G1246" t="str">
            <v>996 Main St</v>
          </cell>
          <cell r="H1246" t="str">
            <v>Gift Card</v>
          </cell>
          <cell r="I1246" t="str">
            <v>Returned</v>
          </cell>
          <cell r="J1246" t="str">
            <v>TRK73848522</v>
          </cell>
          <cell r="K1246">
            <v>3</v>
          </cell>
          <cell r="L1246" t="str">
            <v>FREESHIP</v>
          </cell>
          <cell r="M1246" t="str">
            <v>Referral</v>
          </cell>
          <cell r="N1246">
            <v>1100.3599999999999</v>
          </cell>
        </row>
        <row r="1247">
          <cell r="A1247" t="str">
            <v>ORD200045</v>
          </cell>
          <cell r="B1247">
            <v>45332</v>
          </cell>
          <cell r="C1247" t="str">
            <v>C17388</v>
          </cell>
          <cell r="D1247" t="str">
            <v>Chair</v>
          </cell>
          <cell r="E1247">
            <v>1</v>
          </cell>
          <cell r="F1247">
            <v>317.25</v>
          </cell>
          <cell r="G1247" t="str">
            <v>157 Main St</v>
          </cell>
          <cell r="H1247" t="str">
            <v>Debit Card</v>
          </cell>
          <cell r="I1247" t="str">
            <v>Returned</v>
          </cell>
          <cell r="J1247" t="str">
            <v>TRK47077395</v>
          </cell>
          <cell r="K1247">
            <v>1</v>
          </cell>
          <cell r="L1247" t="str">
            <v>SAVE10</v>
          </cell>
          <cell r="M1247" t="str">
            <v>Facebook</v>
          </cell>
          <cell r="N1247">
            <v>317.25</v>
          </cell>
        </row>
        <row r="1248">
          <cell r="A1248" t="str">
            <v>ORD200046</v>
          </cell>
          <cell r="B1248">
            <v>45469</v>
          </cell>
          <cell r="C1248" t="str">
            <v>C43212</v>
          </cell>
          <cell r="D1248" t="str">
            <v>Monitor</v>
          </cell>
          <cell r="E1248">
            <v>4</v>
          </cell>
          <cell r="F1248">
            <v>550.14</v>
          </cell>
          <cell r="G1248" t="str">
            <v>223 Main St</v>
          </cell>
          <cell r="H1248" t="str">
            <v>Debit Card</v>
          </cell>
          <cell r="I1248" t="str">
            <v>Pending</v>
          </cell>
          <cell r="J1248" t="str">
            <v>TRK25100762</v>
          </cell>
          <cell r="K1248">
            <v>4</v>
          </cell>
          <cell r="L1248" t="str">
            <v>FREESHIP</v>
          </cell>
          <cell r="M1248" t="str">
            <v>Instagram</v>
          </cell>
          <cell r="N1248">
            <v>2200.56</v>
          </cell>
        </row>
        <row r="1249">
          <cell r="A1249" t="str">
            <v>ORD200047</v>
          </cell>
          <cell r="B1249">
            <v>45126</v>
          </cell>
          <cell r="C1249" t="str">
            <v>C38134</v>
          </cell>
          <cell r="D1249" t="str">
            <v>Desk</v>
          </cell>
          <cell r="E1249">
            <v>2</v>
          </cell>
          <cell r="F1249">
            <v>209.94</v>
          </cell>
          <cell r="G1249" t="str">
            <v>323 Main St</v>
          </cell>
          <cell r="H1249" t="str">
            <v>Credit Card</v>
          </cell>
          <cell r="I1249" t="str">
            <v>Returned</v>
          </cell>
          <cell r="J1249" t="str">
            <v>TRK42450754</v>
          </cell>
          <cell r="K1249">
            <v>3</v>
          </cell>
          <cell r="L1249" t="str">
            <v>FREESHIP</v>
          </cell>
          <cell r="M1249" t="str">
            <v>Email</v>
          </cell>
          <cell r="N1249">
            <v>419.88</v>
          </cell>
        </row>
        <row r="1250">
          <cell r="A1250" t="str">
            <v>ORD200048</v>
          </cell>
          <cell r="B1250">
            <v>45164</v>
          </cell>
          <cell r="C1250" t="str">
            <v>C12408</v>
          </cell>
          <cell r="D1250" t="str">
            <v>Monitor</v>
          </cell>
          <cell r="E1250">
            <v>2</v>
          </cell>
          <cell r="F1250">
            <v>80.77</v>
          </cell>
          <cell r="G1250" t="str">
            <v>464 Main St</v>
          </cell>
          <cell r="H1250" t="str">
            <v>Debit Card</v>
          </cell>
          <cell r="I1250" t="str">
            <v>Shipped</v>
          </cell>
          <cell r="J1250" t="str">
            <v>TRK38938858</v>
          </cell>
          <cell r="K1250">
            <v>4</v>
          </cell>
          <cell r="L1250" t="str">
            <v>No Coupon</v>
          </cell>
          <cell r="M1250" t="str">
            <v>Google</v>
          </cell>
          <cell r="N1250">
            <v>161.54</v>
          </cell>
        </row>
        <row r="1251">
          <cell r="A1251" t="str">
            <v>ORD200049</v>
          </cell>
          <cell r="B1251">
            <v>45206</v>
          </cell>
          <cell r="C1251" t="str">
            <v>C11985</v>
          </cell>
          <cell r="D1251" t="str">
            <v>Printer</v>
          </cell>
          <cell r="E1251">
            <v>1</v>
          </cell>
          <cell r="F1251">
            <v>30.44</v>
          </cell>
          <cell r="G1251" t="str">
            <v>633 Main St</v>
          </cell>
          <cell r="H1251" t="str">
            <v>Credit Card</v>
          </cell>
          <cell r="I1251" t="str">
            <v>Shipped</v>
          </cell>
          <cell r="J1251" t="str">
            <v>TRK53272402</v>
          </cell>
          <cell r="K1251">
            <v>1</v>
          </cell>
          <cell r="L1251" t="str">
            <v>SAVE10</v>
          </cell>
          <cell r="M1251" t="str">
            <v>Email</v>
          </cell>
          <cell r="N1251">
            <v>30.44</v>
          </cell>
        </row>
        <row r="1252">
          <cell r="A1252" t="str">
            <v>ORD200050</v>
          </cell>
          <cell r="B1252">
            <v>45138</v>
          </cell>
          <cell r="C1252" t="str">
            <v>C96494</v>
          </cell>
          <cell r="D1252" t="str">
            <v>Tablet</v>
          </cell>
          <cell r="E1252">
            <v>1</v>
          </cell>
          <cell r="F1252">
            <v>179.22</v>
          </cell>
          <cell r="G1252" t="str">
            <v>446 Main St</v>
          </cell>
          <cell r="H1252" t="str">
            <v>Online</v>
          </cell>
          <cell r="I1252" t="str">
            <v>Cancelled</v>
          </cell>
          <cell r="J1252" t="str">
            <v>TRK14675049</v>
          </cell>
          <cell r="K1252">
            <v>6</v>
          </cell>
          <cell r="L1252" t="str">
            <v>FREESHIP</v>
          </cell>
          <cell r="M1252" t="str">
            <v>Instagram</v>
          </cell>
          <cell r="N1252">
            <v>179.22</v>
          </cell>
        </row>
        <row r="1253">
          <cell r="A1253" t="str">
            <v>ORD200051</v>
          </cell>
          <cell r="B1253">
            <v>45656</v>
          </cell>
          <cell r="C1253" t="str">
            <v>C36778</v>
          </cell>
          <cell r="D1253" t="str">
            <v>Tablet</v>
          </cell>
          <cell r="E1253">
            <v>1</v>
          </cell>
          <cell r="F1253">
            <v>388.33</v>
          </cell>
          <cell r="G1253" t="str">
            <v>434 Main St</v>
          </cell>
          <cell r="H1253" t="str">
            <v>Cash</v>
          </cell>
          <cell r="I1253" t="str">
            <v>Returned</v>
          </cell>
          <cell r="J1253" t="str">
            <v>TRK67610289</v>
          </cell>
          <cell r="K1253">
            <v>2</v>
          </cell>
          <cell r="L1253" t="str">
            <v>SAVE10</v>
          </cell>
          <cell r="M1253" t="str">
            <v>Facebook</v>
          </cell>
          <cell r="N1253">
            <v>388.33</v>
          </cell>
        </row>
        <row r="1254">
          <cell r="A1254" t="str">
            <v>ORD200052</v>
          </cell>
          <cell r="B1254">
            <v>45543</v>
          </cell>
          <cell r="C1254" t="str">
            <v>C30513</v>
          </cell>
          <cell r="D1254" t="str">
            <v>Tablet</v>
          </cell>
          <cell r="E1254">
            <v>1</v>
          </cell>
          <cell r="F1254">
            <v>586.44000000000005</v>
          </cell>
          <cell r="G1254" t="str">
            <v>232 Main St</v>
          </cell>
          <cell r="H1254" t="str">
            <v>Online</v>
          </cell>
          <cell r="I1254" t="str">
            <v>Returned</v>
          </cell>
          <cell r="J1254" t="str">
            <v>TRK64320429</v>
          </cell>
          <cell r="K1254">
            <v>5</v>
          </cell>
          <cell r="L1254" t="str">
            <v>SAVE10</v>
          </cell>
          <cell r="M1254" t="str">
            <v>Facebook</v>
          </cell>
          <cell r="N1254">
            <v>586.44000000000005</v>
          </cell>
        </row>
        <row r="1255">
          <cell r="A1255" t="str">
            <v>ORD200053</v>
          </cell>
          <cell r="B1255">
            <v>45430</v>
          </cell>
          <cell r="C1255" t="str">
            <v>C67551</v>
          </cell>
          <cell r="D1255" t="str">
            <v>Phone</v>
          </cell>
          <cell r="E1255">
            <v>4</v>
          </cell>
          <cell r="F1255">
            <v>488.78</v>
          </cell>
          <cell r="G1255" t="str">
            <v>512 Main St</v>
          </cell>
          <cell r="H1255" t="str">
            <v>Online</v>
          </cell>
          <cell r="I1255" t="str">
            <v>Returned</v>
          </cell>
          <cell r="J1255" t="str">
            <v>TRK94992552</v>
          </cell>
          <cell r="K1255">
            <v>5</v>
          </cell>
          <cell r="L1255" t="str">
            <v>FREESHIP</v>
          </cell>
          <cell r="M1255" t="str">
            <v>Google</v>
          </cell>
          <cell r="N1255">
            <v>1955.12</v>
          </cell>
        </row>
        <row r="1256">
          <cell r="A1256" t="str">
            <v>ORD200054</v>
          </cell>
          <cell r="B1256">
            <v>45743</v>
          </cell>
          <cell r="C1256" t="str">
            <v>C48120</v>
          </cell>
          <cell r="D1256" t="str">
            <v>Chair</v>
          </cell>
          <cell r="E1256">
            <v>1</v>
          </cell>
          <cell r="F1256">
            <v>280.25</v>
          </cell>
          <cell r="G1256" t="str">
            <v>623 Main St</v>
          </cell>
          <cell r="H1256" t="str">
            <v>Online</v>
          </cell>
          <cell r="I1256" t="str">
            <v>Pending</v>
          </cell>
          <cell r="J1256" t="str">
            <v>TRK11014449</v>
          </cell>
          <cell r="K1256">
            <v>5</v>
          </cell>
          <cell r="L1256" t="str">
            <v>WINTER15</v>
          </cell>
          <cell r="M1256" t="str">
            <v>Email</v>
          </cell>
          <cell r="N1256">
            <v>280.25</v>
          </cell>
        </row>
        <row r="1257">
          <cell r="A1257" t="str">
            <v>ORD200055</v>
          </cell>
          <cell r="B1257">
            <v>45832</v>
          </cell>
          <cell r="C1257" t="str">
            <v>C95984</v>
          </cell>
          <cell r="D1257" t="str">
            <v>Printer</v>
          </cell>
          <cell r="E1257">
            <v>3</v>
          </cell>
          <cell r="F1257">
            <v>344.4</v>
          </cell>
          <cell r="G1257" t="str">
            <v>565 Main St</v>
          </cell>
          <cell r="H1257" t="str">
            <v>Online</v>
          </cell>
          <cell r="I1257" t="str">
            <v>Cancelled</v>
          </cell>
          <cell r="J1257" t="str">
            <v>TRK67434829</v>
          </cell>
          <cell r="K1257">
            <v>3</v>
          </cell>
          <cell r="L1257" t="str">
            <v>No Coupon</v>
          </cell>
          <cell r="M1257" t="str">
            <v>Facebook</v>
          </cell>
          <cell r="N1257">
            <v>1033.2</v>
          </cell>
        </row>
        <row r="1258">
          <cell r="A1258" t="str">
            <v>ORD200056</v>
          </cell>
          <cell r="B1258">
            <v>45067</v>
          </cell>
          <cell r="C1258" t="str">
            <v>C54298</v>
          </cell>
          <cell r="D1258" t="str">
            <v>Tablet</v>
          </cell>
          <cell r="E1258">
            <v>3</v>
          </cell>
          <cell r="F1258">
            <v>479.21</v>
          </cell>
          <cell r="G1258" t="str">
            <v>566 Main St</v>
          </cell>
          <cell r="H1258" t="str">
            <v>Cash</v>
          </cell>
          <cell r="I1258" t="str">
            <v>Cancelled</v>
          </cell>
          <cell r="J1258" t="str">
            <v>TRK62902341</v>
          </cell>
          <cell r="K1258">
            <v>5</v>
          </cell>
          <cell r="L1258" t="str">
            <v>WINTER15</v>
          </cell>
          <cell r="M1258" t="str">
            <v>Referral</v>
          </cell>
          <cell r="N1258">
            <v>1437.63</v>
          </cell>
        </row>
        <row r="1259">
          <cell r="A1259" t="str">
            <v>ORD200057</v>
          </cell>
          <cell r="B1259">
            <v>44948</v>
          </cell>
          <cell r="C1259" t="str">
            <v>C88036</v>
          </cell>
          <cell r="D1259" t="str">
            <v>Printer</v>
          </cell>
          <cell r="E1259">
            <v>5</v>
          </cell>
          <cell r="F1259">
            <v>314.27</v>
          </cell>
          <cell r="G1259" t="str">
            <v>842 Main St</v>
          </cell>
          <cell r="H1259" t="str">
            <v>Cash</v>
          </cell>
          <cell r="I1259" t="str">
            <v>Returned</v>
          </cell>
          <cell r="J1259" t="str">
            <v>TRK52470128</v>
          </cell>
          <cell r="K1259">
            <v>6</v>
          </cell>
          <cell r="L1259" t="str">
            <v>SAVE10</v>
          </cell>
          <cell r="M1259" t="str">
            <v>Instagram</v>
          </cell>
          <cell r="N1259">
            <v>1571.35</v>
          </cell>
        </row>
        <row r="1260">
          <cell r="A1260" t="str">
            <v>ORD200058</v>
          </cell>
          <cell r="B1260">
            <v>44941</v>
          </cell>
          <cell r="C1260" t="str">
            <v>C60190</v>
          </cell>
          <cell r="D1260" t="str">
            <v>Phone</v>
          </cell>
          <cell r="E1260">
            <v>4</v>
          </cell>
          <cell r="F1260">
            <v>474.69</v>
          </cell>
          <cell r="G1260" t="str">
            <v>202 Main St</v>
          </cell>
          <cell r="H1260" t="str">
            <v>Gift Card</v>
          </cell>
          <cell r="I1260" t="str">
            <v>Cancelled</v>
          </cell>
          <cell r="J1260" t="str">
            <v>TRK70857868</v>
          </cell>
          <cell r="K1260">
            <v>6</v>
          </cell>
          <cell r="L1260" t="str">
            <v>SAVE10</v>
          </cell>
          <cell r="M1260" t="str">
            <v>Google</v>
          </cell>
          <cell r="N1260">
            <v>1898.76</v>
          </cell>
        </row>
        <row r="1261">
          <cell r="A1261" t="str">
            <v>ORD200059</v>
          </cell>
          <cell r="B1261">
            <v>45546</v>
          </cell>
          <cell r="C1261" t="str">
            <v>C97603</v>
          </cell>
          <cell r="D1261" t="str">
            <v>Chair</v>
          </cell>
          <cell r="E1261">
            <v>4</v>
          </cell>
          <cell r="F1261">
            <v>593.27</v>
          </cell>
          <cell r="G1261" t="str">
            <v>811 Main St</v>
          </cell>
          <cell r="H1261" t="str">
            <v>Online</v>
          </cell>
          <cell r="I1261" t="str">
            <v>Shipped</v>
          </cell>
          <cell r="J1261" t="str">
            <v>TRK47055028</v>
          </cell>
          <cell r="K1261">
            <v>5</v>
          </cell>
          <cell r="L1261" t="str">
            <v>No Coupon</v>
          </cell>
          <cell r="M1261" t="str">
            <v>Facebook</v>
          </cell>
          <cell r="N1261">
            <v>2373.08</v>
          </cell>
        </row>
        <row r="1262">
          <cell r="A1262" t="str">
            <v>ORD200060</v>
          </cell>
          <cell r="B1262">
            <v>45525</v>
          </cell>
          <cell r="C1262" t="str">
            <v>C39256</v>
          </cell>
          <cell r="D1262" t="str">
            <v>Desk</v>
          </cell>
          <cell r="E1262">
            <v>1</v>
          </cell>
          <cell r="F1262">
            <v>417.1</v>
          </cell>
          <cell r="G1262" t="str">
            <v>634 Main St</v>
          </cell>
          <cell r="H1262" t="str">
            <v>Debit Card</v>
          </cell>
          <cell r="I1262" t="str">
            <v>Returned</v>
          </cell>
          <cell r="J1262" t="str">
            <v>TRK23412025</v>
          </cell>
          <cell r="K1262">
            <v>3</v>
          </cell>
          <cell r="L1262" t="str">
            <v>FREESHIP</v>
          </cell>
          <cell r="M1262" t="str">
            <v>Referral</v>
          </cell>
          <cell r="N1262">
            <v>417.1</v>
          </cell>
        </row>
        <row r="1263">
          <cell r="A1263" t="str">
            <v>ORD200061</v>
          </cell>
          <cell r="B1263">
            <v>45375</v>
          </cell>
          <cell r="C1263" t="str">
            <v>C61618</v>
          </cell>
          <cell r="D1263" t="str">
            <v>Desk</v>
          </cell>
          <cell r="E1263">
            <v>4</v>
          </cell>
          <cell r="F1263">
            <v>122.2</v>
          </cell>
          <cell r="G1263" t="str">
            <v>104 Main St</v>
          </cell>
          <cell r="H1263" t="str">
            <v>Cash</v>
          </cell>
          <cell r="I1263" t="str">
            <v>Delivered</v>
          </cell>
          <cell r="J1263" t="str">
            <v>TRK43458485</v>
          </cell>
          <cell r="K1263">
            <v>7</v>
          </cell>
          <cell r="L1263" t="str">
            <v>FREESHIP</v>
          </cell>
          <cell r="M1263" t="str">
            <v>Facebook</v>
          </cell>
          <cell r="N1263">
            <v>488.8</v>
          </cell>
        </row>
        <row r="1264">
          <cell r="A1264" t="str">
            <v>ORD200062</v>
          </cell>
          <cell r="B1264">
            <v>45160</v>
          </cell>
          <cell r="C1264" t="str">
            <v>C36497</v>
          </cell>
          <cell r="D1264" t="str">
            <v>Desk</v>
          </cell>
          <cell r="E1264">
            <v>2</v>
          </cell>
          <cell r="F1264">
            <v>43.15</v>
          </cell>
          <cell r="G1264" t="str">
            <v>691 Main St</v>
          </cell>
          <cell r="H1264" t="str">
            <v>Debit Card</v>
          </cell>
          <cell r="I1264" t="str">
            <v>Pending</v>
          </cell>
          <cell r="J1264" t="str">
            <v>TRK12102911</v>
          </cell>
          <cell r="K1264">
            <v>3</v>
          </cell>
          <cell r="L1264" t="str">
            <v>WINTER15</v>
          </cell>
          <cell r="M1264" t="str">
            <v>Email</v>
          </cell>
          <cell r="N1264">
            <v>86.3</v>
          </cell>
        </row>
        <row r="1265">
          <cell r="A1265" t="str">
            <v>ORD200063</v>
          </cell>
          <cell r="B1265">
            <v>45690</v>
          </cell>
          <cell r="C1265" t="str">
            <v>C96695</v>
          </cell>
          <cell r="D1265" t="str">
            <v>Chair</v>
          </cell>
          <cell r="E1265">
            <v>1</v>
          </cell>
          <cell r="F1265">
            <v>564.86</v>
          </cell>
          <cell r="G1265" t="str">
            <v>813 Main St</v>
          </cell>
          <cell r="H1265" t="str">
            <v>Debit Card</v>
          </cell>
          <cell r="I1265" t="str">
            <v>Shipped</v>
          </cell>
          <cell r="J1265" t="str">
            <v>TRK64283851</v>
          </cell>
          <cell r="K1265">
            <v>6</v>
          </cell>
          <cell r="L1265" t="str">
            <v>WINTER15</v>
          </cell>
          <cell r="M1265" t="str">
            <v>Referral</v>
          </cell>
          <cell r="N1265">
            <v>564.86</v>
          </cell>
        </row>
        <row r="1266">
          <cell r="A1266" t="str">
            <v>ORD200064</v>
          </cell>
          <cell r="B1266">
            <v>45833</v>
          </cell>
          <cell r="C1266" t="str">
            <v>C49720</v>
          </cell>
          <cell r="D1266" t="str">
            <v>Printer</v>
          </cell>
          <cell r="E1266">
            <v>3</v>
          </cell>
          <cell r="F1266">
            <v>130.61000000000001</v>
          </cell>
          <cell r="G1266" t="str">
            <v>752 Main St</v>
          </cell>
          <cell r="H1266" t="str">
            <v>Debit Card</v>
          </cell>
          <cell r="I1266" t="str">
            <v>Cancelled</v>
          </cell>
          <cell r="J1266" t="str">
            <v>TRK55785217</v>
          </cell>
          <cell r="K1266">
            <v>4</v>
          </cell>
          <cell r="L1266" t="str">
            <v>FREESHIP</v>
          </cell>
          <cell r="M1266" t="str">
            <v>Facebook</v>
          </cell>
          <cell r="N1266">
            <v>391.83</v>
          </cell>
        </row>
        <row r="1267">
          <cell r="A1267" t="str">
            <v>ORD200065</v>
          </cell>
          <cell r="B1267">
            <v>45290</v>
          </cell>
          <cell r="C1267" t="str">
            <v>C97735</v>
          </cell>
          <cell r="D1267" t="str">
            <v>Monitor</v>
          </cell>
          <cell r="E1267">
            <v>5</v>
          </cell>
          <cell r="F1267">
            <v>81.7</v>
          </cell>
          <cell r="G1267" t="str">
            <v>385 Main St</v>
          </cell>
          <cell r="H1267" t="str">
            <v>Credit Card</v>
          </cell>
          <cell r="I1267" t="str">
            <v>Delivered</v>
          </cell>
          <cell r="J1267" t="str">
            <v>TRK13743703</v>
          </cell>
          <cell r="K1267">
            <v>6</v>
          </cell>
          <cell r="L1267" t="str">
            <v>No Coupon</v>
          </cell>
          <cell r="M1267" t="str">
            <v>Instagram</v>
          </cell>
          <cell r="N1267">
            <v>408.5</v>
          </cell>
        </row>
        <row r="1268">
          <cell r="A1268" t="str">
            <v>ORD200066</v>
          </cell>
          <cell r="B1268">
            <v>45611</v>
          </cell>
          <cell r="C1268" t="str">
            <v>C18104</v>
          </cell>
          <cell r="D1268" t="str">
            <v>Chair</v>
          </cell>
          <cell r="E1268">
            <v>5</v>
          </cell>
          <cell r="F1268">
            <v>127.18</v>
          </cell>
          <cell r="G1268" t="str">
            <v>715 Main St</v>
          </cell>
          <cell r="H1268" t="str">
            <v>Cash</v>
          </cell>
          <cell r="I1268" t="str">
            <v>Cancelled</v>
          </cell>
          <cell r="J1268" t="str">
            <v>TRK15488568</v>
          </cell>
          <cell r="K1268">
            <v>9</v>
          </cell>
          <cell r="L1268" t="str">
            <v>SAVE10</v>
          </cell>
          <cell r="M1268" t="str">
            <v>Referral</v>
          </cell>
          <cell r="N1268">
            <v>635.9</v>
          </cell>
        </row>
        <row r="1269">
          <cell r="A1269" t="str">
            <v>ORD200067</v>
          </cell>
          <cell r="B1269">
            <v>45635</v>
          </cell>
          <cell r="C1269" t="str">
            <v>C25587</v>
          </cell>
          <cell r="D1269" t="str">
            <v>Printer</v>
          </cell>
          <cell r="E1269">
            <v>4</v>
          </cell>
          <cell r="F1269">
            <v>12.1</v>
          </cell>
          <cell r="G1269" t="str">
            <v>440 Main St</v>
          </cell>
          <cell r="H1269" t="str">
            <v>Debit Card</v>
          </cell>
          <cell r="I1269" t="str">
            <v>Cancelled</v>
          </cell>
          <cell r="J1269" t="str">
            <v>TRK55105323</v>
          </cell>
          <cell r="K1269">
            <v>8</v>
          </cell>
          <cell r="L1269" t="str">
            <v>No Coupon</v>
          </cell>
          <cell r="M1269" t="str">
            <v>Google</v>
          </cell>
          <cell r="N1269">
            <v>48.4</v>
          </cell>
        </row>
        <row r="1270">
          <cell r="A1270" t="str">
            <v>ORD200068</v>
          </cell>
          <cell r="B1270">
            <v>45271</v>
          </cell>
          <cell r="C1270" t="str">
            <v>C41598</v>
          </cell>
          <cell r="D1270" t="str">
            <v>Chair</v>
          </cell>
          <cell r="E1270">
            <v>3</v>
          </cell>
          <cell r="F1270">
            <v>490.92</v>
          </cell>
          <cell r="G1270" t="str">
            <v>709 Main St</v>
          </cell>
          <cell r="H1270" t="str">
            <v>Credit Card</v>
          </cell>
          <cell r="I1270" t="str">
            <v>Pending</v>
          </cell>
          <cell r="J1270" t="str">
            <v>TRK81665940</v>
          </cell>
          <cell r="K1270">
            <v>5</v>
          </cell>
          <cell r="L1270" t="str">
            <v>FREESHIP</v>
          </cell>
          <cell r="M1270" t="str">
            <v>Email</v>
          </cell>
          <cell r="N1270">
            <v>1472.76</v>
          </cell>
        </row>
        <row r="1271">
          <cell r="A1271" t="str">
            <v>ORD200069</v>
          </cell>
          <cell r="B1271">
            <v>45057</v>
          </cell>
          <cell r="C1271" t="str">
            <v>C43338</v>
          </cell>
          <cell r="D1271" t="str">
            <v>Monitor</v>
          </cell>
          <cell r="E1271">
            <v>3</v>
          </cell>
          <cell r="F1271">
            <v>478.65</v>
          </cell>
          <cell r="G1271" t="str">
            <v>552 Main St</v>
          </cell>
          <cell r="H1271" t="str">
            <v>Online</v>
          </cell>
          <cell r="I1271" t="str">
            <v>Shipped</v>
          </cell>
          <cell r="J1271" t="str">
            <v>TRK35241775</v>
          </cell>
          <cell r="K1271">
            <v>4</v>
          </cell>
          <cell r="L1271" t="str">
            <v>No Coupon</v>
          </cell>
          <cell r="M1271" t="str">
            <v>Referral</v>
          </cell>
          <cell r="N1271">
            <v>1435.95</v>
          </cell>
        </row>
        <row r="1272">
          <cell r="A1272" t="str">
            <v>ORD200070</v>
          </cell>
          <cell r="B1272">
            <v>45072</v>
          </cell>
          <cell r="C1272" t="str">
            <v>C25123</v>
          </cell>
          <cell r="D1272" t="str">
            <v>Desk</v>
          </cell>
          <cell r="E1272">
            <v>1</v>
          </cell>
          <cell r="F1272">
            <v>629.21</v>
          </cell>
          <cell r="G1272" t="str">
            <v>384 Main St</v>
          </cell>
          <cell r="H1272" t="str">
            <v>Gift Card</v>
          </cell>
          <cell r="I1272" t="str">
            <v>Pending</v>
          </cell>
          <cell r="J1272" t="str">
            <v>TRK27812282</v>
          </cell>
          <cell r="K1272">
            <v>2</v>
          </cell>
          <cell r="L1272" t="str">
            <v>FREESHIP</v>
          </cell>
          <cell r="M1272" t="str">
            <v>Instagram</v>
          </cell>
          <cell r="N1272">
            <v>629.21</v>
          </cell>
        </row>
        <row r="1273">
          <cell r="A1273" t="str">
            <v>ORD200071</v>
          </cell>
          <cell r="B1273">
            <v>45818</v>
          </cell>
          <cell r="C1273" t="str">
            <v>C37454</v>
          </cell>
          <cell r="D1273" t="str">
            <v>Monitor</v>
          </cell>
          <cell r="E1273">
            <v>3</v>
          </cell>
          <cell r="F1273">
            <v>434.45</v>
          </cell>
          <cell r="G1273" t="str">
            <v>923 Main St</v>
          </cell>
          <cell r="H1273" t="str">
            <v>Credit Card</v>
          </cell>
          <cell r="I1273" t="str">
            <v>Pending</v>
          </cell>
          <cell r="J1273" t="str">
            <v>TRK28252730</v>
          </cell>
          <cell r="K1273">
            <v>4</v>
          </cell>
          <cell r="L1273" t="str">
            <v>No Coupon</v>
          </cell>
          <cell r="M1273" t="str">
            <v>Referral</v>
          </cell>
          <cell r="N1273">
            <v>1303.3499999999999</v>
          </cell>
        </row>
        <row r="1274">
          <cell r="A1274" t="str">
            <v>ORD200072</v>
          </cell>
          <cell r="B1274">
            <v>45648</v>
          </cell>
          <cell r="C1274" t="str">
            <v>C19451</v>
          </cell>
          <cell r="D1274" t="str">
            <v>Tablet</v>
          </cell>
          <cell r="E1274">
            <v>4</v>
          </cell>
          <cell r="F1274">
            <v>589.44000000000005</v>
          </cell>
          <cell r="G1274" t="str">
            <v>942 Main St</v>
          </cell>
          <cell r="H1274" t="str">
            <v>Gift Card</v>
          </cell>
          <cell r="I1274" t="str">
            <v>Returned</v>
          </cell>
          <cell r="J1274" t="str">
            <v>TRK87787793</v>
          </cell>
          <cell r="K1274">
            <v>5</v>
          </cell>
          <cell r="L1274" t="str">
            <v>No Coupon</v>
          </cell>
          <cell r="M1274" t="str">
            <v>Facebook</v>
          </cell>
          <cell r="N1274">
            <v>2357.7600000000002</v>
          </cell>
        </row>
        <row r="1275">
          <cell r="A1275" t="str">
            <v>ORD200073</v>
          </cell>
          <cell r="B1275">
            <v>45049</v>
          </cell>
          <cell r="C1275" t="str">
            <v>C17269</v>
          </cell>
          <cell r="D1275" t="str">
            <v>Monitor</v>
          </cell>
          <cell r="E1275">
            <v>4</v>
          </cell>
          <cell r="F1275">
            <v>433.45</v>
          </cell>
          <cell r="G1275" t="str">
            <v>129 Main St</v>
          </cell>
          <cell r="H1275" t="str">
            <v>Gift Card</v>
          </cell>
          <cell r="I1275" t="str">
            <v>Cancelled</v>
          </cell>
          <cell r="J1275" t="str">
            <v>TRK79608389</v>
          </cell>
          <cell r="K1275">
            <v>4</v>
          </cell>
          <cell r="L1275" t="str">
            <v>No Coupon</v>
          </cell>
          <cell r="M1275" t="str">
            <v>Facebook</v>
          </cell>
          <cell r="N1275">
            <v>1733.8</v>
          </cell>
        </row>
        <row r="1276">
          <cell r="A1276" t="str">
            <v>ORD200074</v>
          </cell>
          <cell r="B1276">
            <v>45101</v>
          </cell>
          <cell r="C1276" t="str">
            <v>C25382</v>
          </cell>
          <cell r="D1276" t="str">
            <v>Phone</v>
          </cell>
          <cell r="E1276">
            <v>5</v>
          </cell>
          <cell r="F1276">
            <v>90.87</v>
          </cell>
          <cell r="G1276" t="str">
            <v>622 Main St</v>
          </cell>
          <cell r="H1276" t="str">
            <v>Cash</v>
          </cell>
          <cell r="I1276" t="str">
            <v>Pending</v>
          </cell>
          <cell r="J1276" t="str">
            <v>TRK64691287</v>
          </cell>
          <cell r="K1276">
            <v>5</v>
          </cell>
          <cell r="L1276" t="str">
            <v>No Coupon</v>
          </cell>
          <cell r="M1276" t="str">
            <v>Instagram</v>
          </cell>
          <cell r="N1276">
            <v>454.35</v>
          </cell>
        </row>
        <row r="1277">
          <cell r="A1277" t="str">
            <v>ORD200075</v>
          </cell>
          <cell r="B1277">
            <v>45195</v>
          </cell>
          <cell r="C1277" t="str">
            <v>C80651</v>
          </cell>
          <cell r="D1277" t="str">
            <v>Tablet</v>
          </cell>
          <cell r="E1277">
            <v>3</v>
          </cell>
          <cell r="F1277">
            <v>398.17</v>
          </cell>
          <cell r="G1277" t="str">
            <v>917 Main St</v>
          </cell>
          <cell r="H1277" t="str">
            <v>Debit Card</v>
          </cell>
          <cell r="I1277" t="str">
            <v>Delivered</v>
          </cell>
          <cell r="J1277" t="str">
            <v>TRK14846720</v>
          </cell>
          <cell r="K1277">
            <v>5</v>
          </cell>
          <cell r="L1277" t="str">
            <v>SAVE10</v>
          </cell>
          <cell r="M1277" t="str">
            <v>Email</v>
          </cell>
          <cell r="N1277">
            <v>1194.51</v>
          </cell>
        </row>
        <row r="1278">
          <cell r="A1278" t="str">
            <v>ORD200076</v>
          </cell>
          <cell r="B1278">
            <v>45382</v>
          </cell>
          <cell r="C1278" t="str">
            <v>C58638</v>
          </cell>
          <cell r="D1278" t="str">
            <v>Laptop</v>
          </cell>
          <cell r="E1278">
            <v>4</v>
          </cell>
          <cell r="F1278">
            <v>382.88</v>
          </cell>
          <cell r="G1278" t="str">
            <v>239 Main St</v>
          </cell>
          <cell r="H1278" t="str">
            <v>Cash</v>
          </cell>
          <cell r="I1278" t="str">
            <v>Cancelled</v>
          </cell>
          <cell r="J1278" t="str">
            <v>TRK38224871</v>
          </cell>
          <cell r="K1278">
            <v>6</v>
          </cell>
          <cell r="L1278" t="str">
            <v>WINTER15</v>
          </cell>
          <cell r="M1278" t="str">
            <v>Email</v>
          </cell>
          <cell r="N1278">
            <v>1531.52</v>
          </cell>
        </row>
        <row r="1279">
          <cell r="A1279" t="str">
            <v>ORD200077</v>
          </cell>
          <cell r="B1279">
            <v>45436</v>
          </cell>
          <cell r="C1279" t="str">
            <v>C50121</v>
          </cell>
          <cell r="D1279" t="str">
            <v>Phone</v>
          </cell>
          <cell r="E1279">
            <v>1</v>
          </cell>
          <cell r="F1279">
            <v>583.17999999999995</v>
          </cell>
          <cell r="G1279" t="str">
            <v>348 Main St</v>
          </cell>
          <cell r="H1279" t="str">
            <v>Credit Card</v>
          </cell>
          <cell r="I1279" t="str">
            <v>Returned</v>
          </cell>
          <cell r="J1279" t="str">
            <v>TRK79810059</v>
          </cell>
          <cell r="K1279">
            <v>5</v>
          </cell>
          <cell r="L1279" t="str">
            <v>No Coupon</v>
          </cell>
          <cell r="M1279" t="str">
            <v>Google</v>
          </cell>
          <cell r="N1279">
            <v>583.17999999999995</v>
          </cell>
        </row>
        <row r="1280">
          <cell r="A1280" t="str">
            <v>ORD200078</v>
          </cell>
          <cell r="B1280">
            <v>45510</v>
          </cell>
          <cell r="C1280" t="str">
            <v>C32029</v>
          </cell>
          <cell r="D1280" t="str">
            <v>Printer</v>
          </cell>
          <cell r="E1280">
            <v>4</v>
          </cell>
          <cell r="F1280">
            <v>175.36</v>
          </cell>
          <cell r="G1280" t="str">
            <v>146 Main St</v>
          </cell>
          <cell r="H1280" t="str">
            <v>Debit Card</v>
          </cell>
          <cell r="I1280" t="str">
            <v>Delivered</v>
          </cell>
          <cell r="J1280" t="str">
            <v>TRK68535532</v>
          </cell>
          <cell r="K1280">
            <v>4</v>
          </cell>
          <cell r="L1280" t="str">
            <v>FREESHIP</v>
          </cell>
          <cell r="M1280" t="str">
            <v>Instagram</v>
          </cell>
          <cell r="N1280">
            <v>701.44</v>
          </cell>
        </row>
        <row r="1281">
          <cell r="A1281" t="str">
            <v>ORD200079</v>
          </cell>
          <cell r="B1281">
            <v>45726</v>
          </cell>
          <cell r="C1281" t="str">
            <v>C76700</v>
          </cell>
          <cell r="D1281" t="str">
            <v>Tablet</v>
          </cell>
          <cell r="E1281">
            <v>2</v>
          </cell>
          <cell r="F1281">
            <v>311.91000000000003</v>
          </cell>
          <cell r="G1281" t="str">
            <v>103 Main St</v>
          </cell>
          <cell r="H1281" t="str">
            <v>Online</v>
          </cell>
          <cell r="I1281" t="str">
            <v>Shipped</v>
          </cell>
          <cell r="J1281" t="str">
            <v>TRK13036341</v>
          </cell>
          <cell r="K1281">
            <v>2</v>
          </cell>
          <cell r="L1281" t="str">
            <v>No Coupon</v>
          </cell>
          <cell r="M1281" t="str">
            <v>Facebook</v>
          </cell>
          <cell r="N1281">
            <v>623.82000000000005</v>
          </cell>
        </row>
        <row r="1282">
          <cell r="A1282" t="str">
            <v>ORD200080</v>
          </cell>
          <cell r="B1282">
            <v>45104</v>
          </cell>
          <cell r="C1282" t="str">
            <v>C29041</v>
          </cell>
          <cell r="D1282" t="str">
            <v>Phone</v>
          </cell>
          <cell r="E1282">
            <v>3</v>
          </cell>
          <cell r="F1282">
            <v>589.55999999999995</v>
          </cell>
          <cell r="G1282" t="str">
            <v>591 Main St</v>
          </cell>
          <cell r="H1282" t="str">
            <v>Online</v>
          </cell>
          <cell r="I1282" t="str">
            <v>Returned</v>
          </cell>
          <cell r="J1282" t="str">
            <v>TRK28840655</v>
          </cell>
          <cell r="K1282">
            <v>6</v>
          </cell>
          <cell r="L1282" t="str">
            <v>No Coupon</v>
          </cell>
          <cell r="M1282" t="str">
            <v>Facebook</v>
          </cell>
          <cell r="N1282">
            <v>1768.68</v>
          </cell>
        </row>
        <row r="1283">
          <cell r="A1283" t="str">
            <v>ORD200081</v>
          </cell>
          <cell r="B1283">
            <v>45085</v>
          </cell>
          <cell r="C1283" t="str">
            <v>C29314</v>
          </cell>
          <cell r="D1283" t="str">
            <v>Monitor</v>
          </cell>
          <cell r="E1283">
            <v>2</v>
          </cell>
          <cell r="F1283">
            <v>394.3</v>
          </cell>
          <cell r="G1283" t="str">
            <v>496 Main St</v>
          </cell>
          <cell r="H1283" t="str">
            <v>Cash</v>
          </cell>
          <cell r="I1283" t="str">
            <v>Shipped</v>
          </cell>
          <cell r="J1283" t="str">
            <v>TRK59876213</v>
          </cell>
          <cell r="K1283">
            <v>6</v>
          </cell>
          <cell r="L1283" t="str">
            <v>FREESHIP</v>
          </cell>
          <cell r="M1283" t="str">
            <v>Email</v>
          </cell>
          <cell r="N1283">
            <v>788.6</v>
          </cell>
        </row>
        <row r="1284">
          <cell r="A1284" t="str">
            <v>ORD200082</v>
          </cell>
          <cell r="B1284">
            <v>45296</v>
          </cell>
          <cell r="C1284" t="str">
            <v>C65799</v>
          </cell>
          <cell r="D1284" t="str">
            <v>Tablet</v>
          </cell>
          <cell r="E1284">
            <v>4</v>
          </cell>
          <cell r="F1284">
            <v>565.20000000000005</v>
          </cell>
          <cell r="G1284" t="str">
            <v>971 Main St</v>
          </cell>
          <cell r="H1284" t="str">
            <v>Debit Card</v>
          </cell>
          <cell r="I1284" t="str">
            <v>Shipped</v>
          </cell>
          <cell r="J1284" t="str">
            <v>TRK66906607</v>
          </cell>
          <cell r="K1284">
            <v>9</v>
          </cell>
          <cell r="L1284" t="str">
            <v>SAVE10</v>
          </cell>
          <cell r="M1284" t="str">
            <v>Google</v>
          </cell>
          <cell r="N1284">
            <v>2260.8000000000002</v>
          </cell>
        </row>
        <row r="1285">
          <cell r="A1285" t="str">
            <v>ORD200083</v>
          </cell>
          <cell r="B1285">
            <v>45160</v>
          </cell>
          <cell r="C1285" t="str">
            <v>C15681</v>
          </cell>
          <cell r="D1285" t="str">
            <v>Laptop</v>
          </cell>
          <cell r="E1285">
            <v>4</v>
          </cell>
          <cell r="F1285">
            <v>540.41</v>
          </cell>
          <cell r="G1285" t="str">
            <v>989 Main St</v>
          </cell>
          <cell r="H1285" t="str">
            <v>Credit Card</v>
          </cell>
          <cell r="I1285" t="str">
            <v>Cancelled</v>
          </cell>
          <cell r="J1285" t="str">
            <v>TRK75112172</v>
          </cell>
          <cell r="K1285">
            <v>6</v>
          </cell>
          <cell r="L1285" t="str">
            <v>No Coupon</v>
          </cell>
          <cell r="M1285" t="str">
            <v>Referral</v>
          </cell>
          <cell r="N1285">
            <v>2161.64</v>
          </cell>
        </row>
        <row r="1286">
          <cell r="A1286" t="str">
            <v>ORD200084</v>
          </cell>
          <cell r="B1286">
            <v>45166</v>
          </cell>
          <cell r="C1286" t="str">
            <v>C64160</v>
          </cell>
          <cell r="D1286" t="str">
            <v>Monitor</v>
          </cell>
          <cell r="E1286">
            <v>2</v>
          </cell>
          <cell r="F1286">
            <v>165.49</v>
          </cell>
          <cell r="G1286" t="str">
            <v>967 Main St</v>
          </cell>
          <cell r="H1286" t="str">
            <v>Online</v>
          </cell>
          <cell r="I1286" t="str">
            <v>Shipped</v>
          </cell>
          <cell r="J1286" t="str">
            <v>TRK34121529</v>
          </cell>
          <cell r="K1286">
            <v>4</v>
          </cell>
          <cell r="L1286" t="str">
            <v>WINTER15</v>
          </cell>
          <cell r="M1286" t="str">
            <v>Instagram</v>
          </cell>
          <cell r="N1286">
            <v>330.98</v>
          </cell>
        </row>
        <row r="1287">
          <cell r="A1287" t="str">
            <v>ORD200085</v>
          </cell>
          <cell r="B1287">
            <v>45544</v>
          </cell>
          <cell r="C1287" t="str">
            <v>C14553</v>
          </cell>
          <cell r="D1287" t="str">
            <v>Tablet</v>
          </cell>
          <cell r="E1287">
            <v>3</v>
          </cell>
          <cell r="F1287">
            <v>146.72999999999999</v>
          </cell>
          <cell r="G1287" t="str">
            <v>768 Main St</v>
          </cell>
          <cell r="H1287" t="str">
            <v>Cash</v>
          </cell>
          <cell r="I1287" t="str">
            <v>Delivered</v>
          </cell>
          <cell r="J1287" t="str">
            <v>TRK93538334</v>
          </cell>
          <cell r="K1287">
            <v>8</v>
          </cell>
          <cell r="L1287" t="str">
            <v>FREESHIP</v>
          </cell>
          <cell r="M1287" t="str">
            <v>Email</v>
          </cell>
          <cell r="N1287">
            <v>440.19</v>
          </cell>
        </row>
        <row r="1288">
          <cell r="A1288" t="str">
            <v>ORD200086</v>
          </cell>
          <cell r="B1288">
            <v>45462</v>
          </cell>
          <cell r="C1288" t="str">
            <v>C88205</v>
          </cell>
          <cell r="D1288" t="str">
            <v>Printer</v>
          </cell>
          <cell r="E1288">
            <v>5</v>
          </cell>
          <cell r="F1288">
            <v>643.03</v>
          </cell>
          <cell r="G1288" t="str">
            <v>447 Main St</v>
          </cell>
          <cell r="H1288" t="str">
            <v>Online</v>
          </cell>
          <cell r="I1288" t="str">
            <v>Cancelled</v>
          </cell>
          <cell r="J1288" t="str">
            <v>TRK93504166</v>
          </cell>
          <cell r="K1288">
            <v>5</v>
          </cell>
          <cell r="L1288" t="str">
            <v>FREESHIP</v>
          </cell>
          <cell r="M1288" t="str">
            <v>Referral</v>
          </cell>
          <cell r="N1288">
            <v>3215.15</v>
          </cell>
        </row>
        <row r="1289">
          <cell r="A1289" t="str">
            <v>ORD200087</v>
          </cell>
          <cell r="B1289">
            <v>45575</v>
          </cell>
          <cell r="C1289" t="str">
            <v>C91245</v>
          </cell>
          <cell r="D1289" t="str">
            <v>Tablet</v>
          </cell>
          <cell r="E1289">
            <v>3</v>
          </cell>
          <cell r="F1289">
            <v>225.11</v>
          </cell>
          <cell r="G1289" t="str">
            <v>915 Main St</v>
          </cell>
          <cell r="H1289" t="str">
            <v>Cash</v>
          </cell>
          <cell r="I1289" t="str">
            <v>Shipped</v>
          </cell>
          <cell r="J1289" t="str">
            <v>TRK46976391</v>
          </cell>
          <cell r="K1289">
            <v>4</v>
          </cell>
          <cell r="L1289" t="str">
            <v>SAVE10</v>
          </cell>
          <cell r="M1289" t="str">
            <v>Facebook</v>
          </cell>
          <cell r="N1289">
            <v>675.33</v>
          </cell>
        </row>
        <row r="1290">
          <cell r="A1290" t="str">
            <v>ORD200088</v>
          </cell>
          <cell r="B1290">
            <v>45813</v>
          </cell>
          <cell r="C1290" t="str">
            <v>C75439</v>
          </cell>
          <cell r="D1290" t="str">
            <v>Desk</v>
          </cell>
          <cell r="E1290">
            <v>3</v>
          </cell>
          <cell r="F1290">
            <v>114.81</v>
          </cell>
          <cell r="G1290" t="str">
            <v>318 Main St</v>
          </cell>
          <cell r="H1290" t="str">
            <v>Gift Card</v>
          </cell>
          <cell r="I1290" t="str">
            <v>Cancelled</v>
          </cell>
          <cell r="J1290" t="str">
            <v>TRK19831653</v>
          </cell>
          <cell r="K1290">
            <v>7</v>
          </cell>
          <cell r="L1290" t="str">
            <v>No Coupon</v>
          </cell>
          <cell r="M1290" t="str">
            <v>Google</v>
          </cell>
          <cell r="N1290">
            <v>344.43</v>
          </cell>
        </row>
        <row r="1291">
          <cell r="A1291" t="str">
            <v>ORD200089</v>
          </cell>
          <cell r="B1291">
            <v>45713</v>
          </cell>
          <cell r="C1291" t="str">
            <v>C17181</v>
          </cell>
          <cell r="D1291" t="str">
            <v>Printer</v>
          </cell>
          <cell r="E1291">
            <v>5</v>
          </cell>
          <cell r="F1291">
            <v>455.33</v>
          </cell>
          <cell r="G1291" t="str">
            <v>291 Main St</v>
          </cell>
          <cell r="H1291" t="str">
            <v>Credit Card</v>
          </cell>
          <cell r="I1291" t="str">
            <v>Cancelled</v>
          </cell>
          <cell r="J1291" t="str">
            <v>TRK78912978</v>
          </cell>
          <cell r="K1291">
            <v>8</v>
          </cell>
          <cell r="L1291" t="str">
            <v>FREESHIP</v>
          </cell>
          <cell r="M1291" t="str">
            <v>Google</v>
          </cell>
          <cell r="N1291">
            <v>2276.65</v>
          </cell>
        </row>
        <row r="1292">
          <cell r="A1292" t="str">
            <v>ORD200090</v>
          </cell>
          <cell r="B1292">
            <v>45187</v>
          </cell>
          <cell r="C1292" t="str">
            <v>C36540</v>
          </cell>
          <cell r="D1292" t="str">
            <v>Chair</v>
          </cell>
          <cell r="E1292">
            <v>4</v>
          </cell>
          <cell r="F1292">
            <v>182.08</v>
          </cell>
          <cell r="G1292" t="str">
            <v>611 Main St</v>
          </cell>
          <cell r="H1292" t="str">
            <v>Gift Card</v>
          </cell>
          <cell r="I1292" t="str">
            <v>Delivered</v>
          </cell>
          <cell r="J1292" t="str">
            <v>TRK35828122</v>
          </cell>
          <cell r="K1292">
            <v>4</v>
          </cell>
          <cell r="L1292" t="str">
            <v>SAVE10</v>
          </cell>
          <cell r="M1292" t="str">
            <v>Email</v>
          </cell>
          <cell r="N1292">
            <v>728.32</v>
          </cell>
        </row>
        <row r="1293">
          <cell r="A1293" t="str">
            <v>ORD200091</v>
          </cell>
          <cell r="B1293">
            <v>45000</v>
          </cell>
          <cell r="C1293" t="str">
            <v>C98216</v>
          </cell>
          <cell r="D1293" t="str">
            <v>Laptop</v>
          </cell>
          <cell r="E1293">
            <v>5</v>
          </cell>
          <cell r="F1293">
            <v>492.75</v>
          </cell>
          <cell r="G1293" t="str">
            <v>196 Main St</v>
          </cell>
          <cell r="H1293" t="str">
            <v>Cash</v>
          </cell>
          <cell r="I1293" t="str">
            <v>Shipped</v>
          </cell>
          <cell r="J1293" t="str">
            <v>TRK40986666</v>
          </cell>
          <cell r="K1293">
            <v>6</v>
          </cell>
          <cell r="L1293" t="str">
            <v>WINTER15</v>
          </cell>
          <cell r="M1293" t="str">
            <v>Referral</v>
          </cell>
          <cell r="N1293">
            <v>2463.75</v>
          </cell>
        </row>
        <row r="1294">
          <cell r="A1294" t="str">
            <v>ORD200092</v>
          </cell>
          <cell r="B1294">
            <v>45453</v>
          </cell>
          <cell r="C1294" t="str">
            <v>C29568</v>
          </cell>
          <cell r="D1294" t="str">
            <v>Printer</v>
          </cell>
          <cell r="E1294">
            <v>4</v>
          </cell>
          <cell r="F1294">
            <v>48.61</v>
          </cell>
          <cell r="G1294" t="str">
            <v>203 Main St</v>
          </cell>
          <cell r="H1294" t="str">
            <v>Online</v>
          </cell>
          <cell r="I1294" t="str">
            <v>Shipped</v>
          </cell>
          <cell r="J1294" t="str">
            <v>TRK46531075</v>
          </cell>
          <cell r="K1294">
            <v>7</v>
          </cell>
          <cell r="L1294" t="str">
            <v>FREESHIP</v>
          </cell>
          <cell r="M1294" t="str">
            <v>Facebook</v>
          </cell>
          <cell r="N1294">
            <v>194.44</v>
          </cell>
        </row>
        <row r="1295">
          <cell r="A1295" t="str">
            <v>ORD200093</v>
          </cell>
          <cell r="B1295">
            <v>44940</v>
          </cell>
          <cell r="C1295" t="str">
            <v>C97262</v>
          </cell>
          <cell r="D1295" t="str">
            <v>Desk</v>
          </cell>
          <cell r="E1295">
            <v>4</v>
          </cell>
          <cell r="F1295">
            <v>431.01</v>
          </cell>
          <cell r="G1295" t="str">
            <v>837 Main St</v>
          </cell>
          <cell r="H1295" t="str">
            <v>Credit Card</v>
          </cell>
          <cell r="I1295" t="str">
            <v>Returned</v>
          </cell>
          <cell r="J1295" t="str">
            <v>TRK65990229</v>
          </cell>
          <cell r="K1295">
            <v>7</v>
          </cell>
          <cell r="L1295" t="str">
            <v>No Coupon</v>
          </cell>
          <cell r="M1295" t="str">
            <v>Referral</v>
          </cell>
          <cell r="N1295">
            <v>1724.04</v>
          </cell>
        </row>
        <row r="1296">
          <cell r="A1296" t="str">
            <v>ORD200094</v>
          </cell>
          <cell r="B1296">
            <v>44968</v>
          </cell>
          <cell r="C1296" t="str">
            <v>C79821</v>
          </cell>
          <cell r="D1296" t="str">
            <v>Chair</v>
          </cell>
          <cell r="E1296">
            <v>1</v>
          </cell>
          <cell r="F1296">
            <v>531.17999999999995</v>
          </cell>
          <cell r="G1296" t="str">
            <v>781 Main St</v>
          </cell>
          <cell r="H1296" t="str">
            <v>Gift Card</v>
          </cell>
          <cell r="I1296" t="str">
            <v>Returned</v>
          </cell>
          <cell r="J1296" t="str">
            <v>TRK12780193</v>
          </cell>
          <cell r="K1296">
            <v>6</v>
          </cell>
          <cell r="L1296" t="str">
            <v>WINTER15</v>
          </cell>
          <cell r="M1296" t="str">
            <v>Instagram</v>
          </cell>
          <cell r="N1296">
            <v>531.17999999999995</v>
          </cell>
        </row>
        <row r="1297">
          <cell r="A1297" t="str">
            <v>ORD200095</v>
          </cell>
          <cell r="B1297">
            <v>45009</v>
          </cell>
          <cell r="C1297" t="str">
            <v>C76761</v>
          </cell>
          <cell r="D1297" t="str">
            <v>Printer</v>
          </cell>
          <cell r="E1297">
            <v>4</v>
          </cell>
          <cell r="F1297">
            <v>117.51</v>
          </cell>
          <cell r="G1297" t="str">
            <v>839 Main St</v>
          </cell>
          <cell r="H1297" t="str">
            <v>Debit Card</v>
          </cell>
          <cell r="I1297" t="str">
            <v>Returned</v>
          </cell>
          <cell r="J1297" t="str">
            <v>TRK60179774</v>
          </cell>
          <cell r="K1297">
            <v>7</v>
          </cell>
          <cell r="L1297" t="str">
            <v>No Coupon</v>
          </cell>
          <cell r="M1297" t="str">
            <v>Referral</v>
          </cell>
          <cell r="N1297">
            <v>470.04</v>
          </cell>
        </row>
        <row r="1298">
          <cell r="A1298" t="str">
            <v>ORD200096</v>
          </cell>
          <cell r="B1298">
            <v>45444</v>
          </cell>
          <cell r="C1298" t="str">
            <v>C93007</v>
          </cell>
          <cell r="D1298" t="str">
            <v>Phone</v>
          </cell>
          <cell r="E1298">
            <v>2</v>
          </cell>
          <cell r="F1298">
            <v>232.83</v>
          </cell>
          <cell r="G1298" t="str">
            <v>103 Main St</v>
          </cell>
          <cell r="H1298" t="str">
            <v>Gift Card</v>
          </cell>
          <cell r="I1298" t="str">
            <v>Delivered</v>
          </cell>
          <cell r="J1298" t="str">
            <v>TRK85696091</v>
          </cell>
          <cell r="K1298">
            <v>7</v>
          </cell>
          <cell r="L1298" t="str">
            <v>No Coupon</v>
          </cell>
          <cell r="M1298" t="str">
            <v>Instagram</v>
          </cell>
          <cell r="N1298">
            <v>465.66</v>
          </cell>
        </row>
        <row r="1299">
          <cell r="A1299" t="str">
            <v>ORD200097</v>
          </cell>
          <cell r="B1299">
            <v>45678</v>
          </cell>
          <cell r="C1299" t="str">
            <v>C15624</v>
          </cell>
          <cell r="D1299" t="str">
            <v>Tablet</v>
          </cell>
          <cell r="E1299">
            <v>5</v>
          </cell>
          <cell r="F1299">
            <v>619.52</v>
          </cell>
          <cell r="G1299" t="str">
            <v>922 Main St</v>
          </cell>
          <cell r="H1299" t="str">
            <v>Debit Card</v>
          </cell>
          <cell r="I1299" t="str">
            <v>Pending</v>
          </cell>
          <cell r="J1299" t="str">
            <v>TRK40621141</v>
          </cell>
          <cell r="K1299">
            <v>9</v>
          </cell>
          <cell r="L1299" t="str">
            <v>No Coupon</v>
          </cell>
          <cell r="M1299" t="str">
            <v>Email</v>
          </cell>
          <cell r="N1299">
            <v>3097.6</v>
          </cell>
        </row>
        <row r="1300">
          <cell r="A1300" t="str">
            <v>ORD200098</v>
          </cell>
          <cell r="B1300">
            <v>44940</v>
          </cell>
          <cell r="C1300" t="str">
            <v>C70921</v>
          </cell>
          <cell r="D1300" t="str">
            <v>Printer</v>
          </cell>
          <cell r="E1300">
            <v>2</v>
          </cell>
          <cell r="F1300">
            <v>228.54</v>
          </cell>
          <cell r="G1300" t="str">
            <v>533 Main St</v>
          </cell>
          <cell r="H1300" t="str">
            <v>Debit Card</v>
          </cell>
          <cell r="I1300" t="str">
            <v>Pending</v>
          </cell>
          <cell r="J1300" t="str">
            <v>TRK54983109</v>
          </cell>
          <cell r="K1300">
            <v>3</v>
          </cell>
          <cell r="L1300" t="str">
            <v>No Coupon</v>
          </cell>
          <cell r="M1300" t="str">
            <v>Email</v>
          </cell>
          <cell r="N1300">
            <v>457.08</v>
          </cell>
        </row>
        <row r="1301">
          <cell r="A1301" t="str">
            <v>ORD200099</v>
          </cell>
          <cell r="B1301">
            <v>45759</v>
          </cell>
          <cell r="C1301" t="str">
            <v>C30477</v>
          </cell>
          <cell r="D1301" t="str">
            <v>Printer</v>
          </cell>
          <cell r="E1301">
            <v>1</v>
          </cell>
          <cell r="F1301">
            <v>201.58</v>
          </cell>
          <cell r="G1301" t="str">
            <v>717 Main St</v>
          </cell>
          <cell r="H1301" t="str">
            <v>Debit Card</v>
          </cell>
          <cell r="I1301" t="str">
            <v>Cancelled</v>
          </cell>
          <cell r="J1301" t="str">
            <v>TRK51829648</v>
          </cell>
          <cell r="K1301">
            <v>2</v>
          </cell>
          <cell r="L1301" t="str">
            <v>WINTER15</v>
          </cell>
          <cell r="M1301" t="str">
            <v>Email</v>
          </cell>
          <cell r="N1301">
            <v>201.58</v>
          </cell>
        </row>
        <row r="1302">
          <cell r="A1302" t="str">
            <v>ORD200100</v>
          </cell>
          <cell r="B1302">
            <v>44974</v>
          </cell>
          <cell r="C1302" t="str">
            <v>C74866</v>
          </cell>
          <cell r="D1302" t="str">
            <v>Phone</v>
          </cell>
          <cell r="E1302">
            <v>3</v>
          </cell>
          <cell r="F1302">
            <v>664.79</v>
          </cell>
          <cell r="G1302" t="str">
            <v>743 Main St</v>
          </cell>
          <cell r="H1302" t="str">
            <v>Online</v>
          </cell>
          <cell r="I1302" t="str">
            <v>Delivered</v>
          </cell>
          <cell r="J1302" t="str">
            <v>TRK53783265</v>
          </cell>
          <cell r="K1302">
            <v>6</v>
          </cell>
          <cell r="L1302" t="str">
            <v>No Coupon</v>
          </cell>
          <cell r="M1302" t="str">
            <v>Facebook</v>
          </cell>
          <cell r="N1302">
            <v>1994.37</v>
          </cell>
        </row>
        <row r="1303">
          <cell r="A1303" t="str">
            <v>ORD200101</v>
          </cell>
          <cell r="B1303">
            <v>45255</v>
          </cell>
          <cell r="C1303" t="str">
            <v>C15283</v>
          </cell>
          <cell r="D1303" t="str">
            <v>Printer</v>
          </cell>
          <cell r="E1303">
            <v>1</v>
          </cell>
          <cell r="F1303">
            <v>381.02</v>
          </cell>
          <cell r="G1303" t="str">
            <v>152 Main St</v>
          </cell>
          <cell r="H1303" t="str">
            <v>Cash</v>
          </cell>
          <cell r="I1303" t="str">
            <v>Shipped</v>
          </cell>
          <cell r="J1303" t="str">
            <v>TRK19286291</v>
          </cell>
          <cell r="K1303">
            <v>6</v>
          </cell>
          <cell r="L1303" t="str">
            <v>No Coupon</v>
          </cell>
          <cell r="M1303" t="str">
            <v>Google</v>
          </cell>
          <cell r="N1303">
            <v>381.02</v>
          </cell>
        </row>
        <row r="1304">
          <cell r="A1304" t="str">
            <v>ORD200102</v>
          </cell>
          <cell r="B1304">
            <v>44993</v>
          </cell>
          <cell r="C1304" t="str">
            <v>C18037</v>
          </cell>
          <cell r="D1304" t="str">
            <v>Laptop</v>
          </cell>
          <cell r="E1304">
            <v>2</v>
          </cell>
          <cell r="F1304">
            <v>70.34</v>
          </cell>
          <cell r="G1304" t="str">
            <v>944 Main St</v>
          </cell>
          <cell r="H1304" t="str">
            <v>Gift Card</v>
          </cell>
          <cell r="I1304" t="str">
            <v>Cancelled</v>
          </cell>
          <cell r="J1304" t="str">
            <v>TRK47362236</v>
          </cell>
          <cell r="K1304">
            <v>3</v>
          </cell>
          <cell r="L1304" t="str">
            <v>FREESHIP</v>
          </cell>
          <cell r="M1304" t="str">
            <v>Email</v>
          </cell>
          <cell r="N1304">
            <v>140.68</v>
          </cell>
        </row>
        <row r="1305">
          <cell r="A1305" t="str">
            <v>ORD200103</v>
          </cell>
          <cell r="B1305">
            <v>45682</v>
          </cell>
          <cell r="C1305" t="str">
            <v>C62656</v>
          </cell>
          <cell r="D1305" t="str">
            <v>Phone</v>
          </cell>
          <cell r="E1305">
            <v>4</v>
          </cell>
          <cell r="F1305">
            <v>218.43</v>
          </cell>
          <cell r="G1305" t="str">
            <v>514 Main St</v>
          </cell>
          <cell r="H1305" t="str">
            <v>Credit Card</v>
          </cell>
          <cell r="I1305" t="str">
            <v>Cancelled</v>
          </cell>
          <cell r="J1305" t="str">
            <v>TRK86296459</v>
          </cell>
          <cell r="K1305">
            <v>9</v>
          </cell>
          <cell r="L1305" t="str">
            <v>SAVE10</v>
          </cell>
          <cell r="M1305" t="str">
            <v>Email</v>
          </cell>
          <cell r="N1305">
            <v>873.72</v>
          </cell>
        </row>
        <row r="1306">
          <cell r="A1306" t="str">
            <v>ORD200104</v>
          </cell>
          <cell r="B1306">
            <v>45503</v>
          </cell>
          <cell r="C1306" t="str">
            <v>C65744</v>
          </cell>
          <cell r="D1306" t="str">
            <v>Phone</v>
          </cell>
          <cell r="E1306">
            <v>1</v>
          </cell>
          <cell r="F1306">
            <v>582.04</v>
          </cell>
          <cell r="G1306" t="str">
            <v>647 Main St</v>
          </cell>
          <cell r="H1306" t="str">
            <v>Gift Card</v>
          </cell>
          <cell r="I1306" t="str">
            <v>Delivered</v>
          </cell>
          <cell r="J1306" t="str">
            <v>TRK39906058</v>
          </cell>
          <cell r="K1306">
            <v>1</v>
          </cell>
          <cell r="L1306" t="str">
            <v>FREESHIP</v>
          </cell>
          <cell r="M1306" t="str">
            <v>Email</v>
          </cell>
          <cell r="N1306">
            <v>582.04</v>
          </cell>
        </row>
        <row r="1307">
          <cell r="A1307" t="str">
            <v>ORD200105</v>
          </cell>
          <cell r="B1307">
            <v>45589</v>
          </cell>
          <cell r="C1307" t="str">
            <v>C72290</v>
          </cell>
          <cell r="D1307" t="str">
            <v>Printer</v>
          </cell>
          <cell r="E1307">
            <v>3</v>
          </cell>
          <cell r="F1307">
            <v>185.4</v>
          </cell>
          <cell r="G1307" t="str">
            <v>810 Main St</v>
          </cell>
          <cell r="H1307" t="str">
            <v>Gift Card</v>
          </cell>
          <cell r="I1307" t="str">
            <v>Cancelled</v>
          </cell>
          <cell r="J1307" t="str">
            <v>TRK68792129</v>
          </cell>
          <cell r="K1307">
            <v>7</v>
          </cell>
          <cell r="L1307" t="str">
            <v>No Coupon</v>
          </cell>
          <cell r="M1307" t="str">
            <v>Facebook</v>
          </cell>
          <cell r="N1307">
            <v>556.20000000000005</v>
          </cell>
        </row>
        <row r="1308">
          <cell r="A1308" t="str">
            <v>ORD200106</v>
          </cell>
          <cell r="B1308">
            <v>45177</v>
          </cell>
          <cell r="C1308" t="str">
            <v>C73514</v>
          </cell>
          <cell r="D1308" t="str">
            <v>Desk</v>
          </cell>
          <cell r="E1308">
            <v>3</v>
          </cell>
          <cell r="F1308">
            <v>465.05</v>
          </cell>
          <cell r="G1308" t="str">
            <v>126 Main St</v>
          </cell>
          <cell r="H1308" t="str">
            <v>Credit Card</v>
          </cell>
          <cell r="I1308" t="str">
            <v>Cancelled</v>
          </cell>
          <cell r="J1308" t="str">
            <v>TRK96777924</v>
          </cell>
          <cell r="K1308">
            <v>3</v>
          </cell>
          <cell r="L1308" t="str">
            <v>SAVE10</v>
          </cell>
          <cell r="M1308" t="str">
            <v>Email</v>
          </cell>
          <cell r="N1308">
            <v>1395.15</v>
          </cell>
        </row>
        <row r="1309">
          <cell r="A1309" t="str">
            <v>ORD200107</v>
          </cell>
          <cell r="B1309">
            <v>45012</v>
          </cell>
          <cell r="C1309" t="str">
            <v>C16775</v>
          </cell>
          <cell r="D1309" t="str">
            <v>Printer</v>
          </cell>
          <cell r="E1309">
            <v>5</v>
          </cell>
          <cell r="F1309">
            <v>670.75</v>
          </cell>
          <cell r="G1309" t="str">
            <v>848 Main St</v>
          </cell>
          <cell r="H1309" t="str">
            <v>Gift Card</v>
          </cell>
          <cell r="I1309" t="str">
            <v>Shipped</v>
          </cell>
          <cell r="J1309" t="str">
            <v>TRK34392124</v>
          </cell>
          <cell r="K1309">
            <v>8</v>
          </cell>
          <cell r="L1309" t="str">
            <v>FREESHIP</v>
          </cell>
          <cell r="M1309" t="str">
            <v>Instagram</v>
          </cell>
          <cell r="N1309">
            <v>3353.75</v>
          </cell>
        </row>
        <row r="1310">
          <cell r="A1310" t="str">
            <v>ORD200108</v>
          </cell>
          <cell r="B1310">
            <v>45654</v>
          </cell>
          <cell r="C1310" t="str">
            <v>C33099</v>
          </cell>
          <cell r="D1310" t="str">
            <v>Laptop</v>
          </cell>
          <cell r="E1310">
            <v>5</v>
          </cell>
          <cell r="F1310">
            <v>48.38</v>
          </cell>
          <cell r="G1310" t="str">
            <v>522 Main St</v>
          </cell>
          <cell r="H1310" t="str">
            <v>Gift Card</v>
          </cell>
          <cell r="I1310" t="str">
            <v>Delivered</v>
          </cell>
          <cell r="J1310" t="str">
            <v>TRK28522330</v>
          </cell>
          <cell r="K1310">
            <v>9</v>
          </cell>
          <cell r="L1310" t="str">
            <v>WINTER15</v>
          </cell>
          <cell r="M1310" t="str">
            <v>Email</v>
          </cell>
          <cell r="N1310">
            <v>241.9</v>
          </cell>
        </row>
        <row r="1311">
          <cell r="A1311" t="str">
            <v>ORD200109</v>
          </cell>
          <cell r="B1311">
            <v>45186</v>
          </cell>
          <cell r="C1311" t="str">
            <v>C51157</v>
          </cell>
          <cell r="D1311" t="str">
            <v>Desk</v>
          </cell>
          <cell r="E1311">
            <v>3</v>
          </cell>
          <cell r="F1311">
            <v>592.87</v>
          </cell>
          <cell r="G1311" t="str">
            <v>131 Main St</v>
          </cell>
          <cell r="H1311" t="str">
            <v>Gift Card</v>
          </cell>
          <cell r="I1311" t="str">
            <v>Shipped</v>
          </cell>
          <cell r="J1311" t="str">
            <v>TRK18674578</v>
          </cell>
          <cell r="K1311">
            <v>3</v>
          </cell>
          <cell r="L1311" t="str">
            <v>FREESHIP</v>
          </cell>
          <cell r="M1311" t="str">
            <v>Referral</v>
          </cell>
          <cell r="N1311">
            <v>1778.61</v>
          </cell>
        </row>
        <row r="1312">
          <cell r="A1312" t="str">
            <v>ORD200110</v>
          </cell>
          <cell r="B1312">
            <v>45403</v>
          </cell>
          <cell r="C1312" t="str">
            <v>C74562</v>
          </cell>
          <cell r="D1312" t="str">
            <v>Tablet</v>
          </cell>
          <cell r="E1312">
            <v>1</v>
          </cell>
          <cell r="F1312">
            <v>220.77</v>
          </cell>
          <cell r="G1312" t="str">
            <v>388 Main St</v>
          </cell>
          <cell r="H1312" t="str">
            <v>Gift Card</v>
          </cell>
          <cell r="I1312" t="str">
            <v>Pending</v>
          </cell>
          <cell r="J1312" t="str">
            <v>TRK32062079</v>
          </cell>
          <cell r="K1312">
            <v>5</v>
          </cell>
          <cell r="L1312" t="str">
            <v>FREESHIP</v>
          </cell>
          <cell r="M1312" t="str">
            <v>Instagram</v>
          </cell>
          <cell r="N1312">
            <v>220.77</v>
          </cell>
        </row>
        <row r="1313">
          <cell r="A1313" t="str">
            <v>ORD200111</v>
          </cell>
          <cell r="B1313">
            <v>45784</v>
          </cell>
          <cell r="C1313" t="str">
            <v>C95271</v>
          </cell>
          <cell r="D1313" t="str">
            <v>Desk</v>
          </cell>
          <cell r="E1313">
            <v>3</v>
          </cell>
          <cell r="F1313">
            <v>309.22000000000003</v>
          </cell>
          <cell r="G1313" t="str">
            <v>620 Main St</v>
          </cell>
          <cell r="H1313" t="str">
            <v>Online</v>
          </cell>
          <cell r="I1313" t="str">
            <v>Cancelled</v>
          </cell>
          <cell r="J1313" t="str">
            <v>TRK74904969</v>
          </cell>
          <cell r="K1313">
            <v>7</v>
          </cell>
          <cell r="L1313" t="str">
            <v>FREESHIP</v>
          </cell>
          <cell r="M1313" t="str">
            <v>Google</v>
          </cell>
          <cell r="N1313">
            <v>927.66</v>
          </cell>
        </row>
        <row r="1314">
          <cell r="A1314" t="str">
            <v>ORD200112</v>
          </cell>
          <cell r="B1314">
            <v>44927</v>
          </cell>
          <cell r="C1314" t="str">
            <v>C81366</v>
          </cell>
          <cell r="D1314" t="str">
            <v>Monitor</v>
          </cell>
          <cell r="E1314">
            <v>1</v>
          </cell>
          <cell r="F1314">
            <v>410.6</v>
          </cell>
          <cell r="G1314" t="str">
            <v>423 Main St</v>
          </cell>
          <cell r="H1314" t="str">
            <v>Online</v>
          </cell>
          <cell r="I1314" t="str">
            <v>Cancelled</v>
          </cell>
          <cell r="J1314" t="str">
            <v>TRK17062206</v>
          </cell>
          <cell r="K1314">
            <v>2</v>
          </cell>
          <cell r="L1314" t="str">
            <v>WINTER15</v>
          </cell>
          <cell r="M1314" t="str">
            <v>Referral</v>
          </cell>
          <cell r="N1314">
            <v>410.6</v>
          </cell>
        </row>
        <row r="1315">
          <cell r="A1315" t="str">
            <v>ORD200113</v>
          </cell>
          <cell r="B1315">
            <v>45308</v>
          </cell>
          <cell r="C1315" t="str">
            <v>C65905</v>
          </cell>
          <cell r="D1315" t="str">
            <v>Laptop</v>
          </cell>
          <cell r="E1315">
            <v>5</v>
          </cell>
          <cell r="F1315">
            <v>190.08</v>
          </cell>
          <cell r="G1315" t="str">
            <v>605 Main St</v>
          </cell>
          <cell r="H1315" t="str">
            <v>Cash</v>
          </cell>
          <cell r="I1315" t="str">
            <v>Shipped</v>
          </cell>
          <cell r="J1315" t="str">
            <v>TRK73954365</v>
          </cell>
          <cell r="K1315">
            <v>9</v>
          </cell>
          <cell r="L1315" t="str">
            <v>FREESHIP</v>
          </cell>
          <cell r="M1315" t="str">
            <v>Instagram</v>
          </cell>
          <cell r="N1315">
            <v>950.4</v>
          </cell>
        </row>
        <row r="1316">
          <cell r="A1316" t="str">
            <v>ORD200114</v>
          </cell>
          <cell r="B1316">
            <v>45684</v>
          </cell>
          <cell r="C1316" t="str">
            <v>C77272</v>
          </cell>
          <cell r="D1316" t="str">
            <v>Monitor</v>
          </cell>
          <cell r="E1316">
            <v>5</v>
          </cell>
          <cell r="F1316">
            <v>498.48</v>
          </cell>
          <cell r="G1316" t="str">
            <v>115 Main St</v>
          </cell>
          <cell r="H1316" t="str">
            <v>Online</v>
          </cell>
          <cell r="I1316" t="str">
            <v>Pending</v>
          </cell>
          <cell r="J1316" t="str">
            <v>TRK29708128</v>
          </cell>
          <cell r="K1316">
            <v>8</v>
          </cell>
          <cell r="L1316" t="str">
            <v>SAVE10</v>
          </cell>
          <cell r="M1316" t="str">
            <v>Google</v>
          </cell>
          <cell r="N1316">
            <v>2492.4</v>
          </cell>
        </row>
        <row r="1317">
          <cell r="A1317" t="str">
            <v>ORD200115</v>
          </cell>
          <cell r="B1317">
            <v>45257</v>
          </cell>
          <cell r="C1317" t="str">
            <v>C32580</v>
          </cell>
          <cell r="D1317" t="str">
            <v>Phone</v>
          </cell>
          <cell r="E1317">
            <v>5</v>
          </cell>
          <cell r="F1317">
            <v>374.99</v>
          </cell>
          <cell r="G1317" t="str">
            <v>122 Main St</v>
          </cell>
          <cell r="H1317" t="str">
            <v>Online</v>
          </cell>
          <cell r="I1317" t="str">
            <v>Shipped</v>
          </cell>
          <cell r="J1317" t="str">
            <v>TRK23670394</v>
          </cell>
          <cell r="K1317">
            <v>9</v>
          </cell>
          <cell r="L1317" t="str">
            <v>SAVE10</v>
          </cell>
          <cell r="M1317" t="str">
            <v>Facebook</v>
          </cell>
          <cell r="N1317">
            <v>1874.95</v>
          </cell>
        </row>
        <row r="1318">
          <cell r="A1318" t="str">
            <v>ORD200116</v>
          </cell>
          <cell r="B1318">
            <v>45004</v>
          </cell>
          <cell r="C1318" t="str">
            <v>C47761</v>
          </cell>
          <cell r="D1318" t="str">
            <v>Printer</v>
          </cell>
          <cell r="E1318">
            <v>4</v>
          </cell>
          <cell r="F1318">
            <v>291.35000000000002</v>
          </cell>
          <cell r="G1318" t="str">
            <v>109 Main St</v>
          </cell>
          <cell r="H1318" t="str">
            <v>Credit Card</v>
          </cell>
          <cell r="I1318" t="str">
            <v>Cancelled</v>
          </cell>
          <cell r="J1318" t="str">
            <v>TRK66669207</v>
          </cell>
          <cell r="K1318">
            <v>6</v>
          </cell>
          <cell r="L1318" t="str">
            <v>WINTER15</v>
          </cell>
          <cell r="M1318" t="str">
            <v>Facebook</v>
          </cell>
          <cell r="N1318">
            <v>1165.4000000000001</v>
          </cell>
        </row>
        <row r="1319">
          <cell r="A1319" t="str">
            <v>ORD200117</v>
          </cell>
          <cell r="B1319">
            <v>44993</v>
          </cell>
          <cell r="C1319" t="str">
            <v>C49187</v>
          </cell>
          <cell r="D1319" t="str">
            <v>Tablet</v>
          </cell>
          <cell r="E1319">
            <v>1</v>
          </cell>
          <cell r="F1319">
            <v>535.5</v>
          </cell>
          <cell r="G1319" t="str">
            <v>593 Main St</v>
          </cell>
          <cell r="H1319" t="str">
            <v>Gift Card</v>
          </cell>
          <cell r="I1319" t="str">
            <v>Cancelled</v>
          </cell>
          <cell r="J1319" t="str">
            <v>TRK81888598</v>
          </cell>
          <cell r="K1319">
            <v>5</v>
          </cell>
          <cell r="L1319" t="str">
            <v>WINTER15</v>
          </cell>
          <cell r="M1319" t="str">
            <v>Referral</v>
          </cell>
          <cell r="N1319">
            <v>535.5</v>
          </cell>
        </row>
        <row r="1320">
          <cell r="A1320" t="str">
            <v>ORD200118</v>
          </cell>
          <cell r="B1320">
            <v>45208</v>
          </cell>
          <cell r="C1320" t="str">
            <v>C27898</v>
          </cell>
          <cell r="D1320" t="str">
            <v>Printer</v>
          </cell>
          <cell r="E1320">
            <v>5</v>
          </cell>
          <cell r="F1320">
            <v>502.71</v>
          </cell>
          <cell r="G1320" t="str">
            <v>807 Main St</v>
          </cell>
          <cell r="H1320" t="str">
            <v>Gift Card</v>
          </cell>
          <cell r="I1320" t="str">
            <v>Shipped</v>
          </cell>
          <cell r="J1320" t="str">
            <v>TRK61957665</v>
          </cell>
          <cell r="K1320">
            <v>7</v>
          </cell>
          <cell r="L1320" t="str">
            <v>FREESHIP</v>
          </cell>
          <cell r="M1320" t="str">
            <v>Google</v>
          </cell>
          <cell r="N1320">
            <v>2513.5500000000002</v>
          </cell>
        </row>
        <row r="1321">
          <cell r="A1321" t="str">
            <v>ORD200119</v>
          </cell>
          <cell r="B1321">
            <v>45819</v>
          </cell>
          <cell r="C1321" t="str">
            <v>C14683</v>
          </cell>
          <cell r="D1321" t="str">
            <v>Desk</v>
          </cell>
          <cell r="E1321">
            <v>2</v>
          </cell>
          <cell r="F1321">
            <v>534.66999999999996</v>
          </cell>
          <cell r="G1321" t="str">
            <v>187 Main St</v>
          </cell>
          <cell r="H1321" t="str">
            <v>Debit Card</v>
          </cell>
          <cell r="I1321" t="str">
            <v>Shipped</v>
          </cell>
          <cell r="J1321" t="str">
            <v>TRK47373682</v>
          </cell>
          <cell r="K1321">
            <v>7</v>
          </cell>
          <cell r="L1321" t="str">
            <v>FREESHIP</v>
          </cell>
          <cell r="M1321" t="str">
            <v>Referral</v>
          </cell>
          <cell r="N1321">
            <v>1069.3399999999999</v>
          </cell>
        </row>
        <row r="1322">
          <cell r="A1322" t="str">
            <v>ORD200120</v>
          </cell>
          <cell r="B1322">
            <v>45027</v>
          </cell>
          <cell r="C1322" t="str">
            <v>C58108</v>
          </cell>
          <cell r="D1322" t="str">
            <v>Tablet</v>
          </cell>
          <cell r="E1322">
            <v>4</v>
          </cell>
          <cell r="F1322">
            <v>629.34</v>
          </cell>
          <cell r="G1322" t="str">
            <v>986 Main St</v>
          </cell>
          <cell r="H1322" t="str">
            <v>Cash</v>
          </cell>
          <cell r="I1322" t="str">
            <v>Cancelled</v>
          </cell>
          <cell r="J1322" t="str">
            <v>TRK66218053</v>
          </cell>
          <cell r="K1322">
            <v>4</v>
          </cell>
          <cell r="L1322" t="str">
            <v>WINTER15</v>
          </cell>
          <cell r="M1322" t="str">
            <v>Instagram</v>
          </cell>
          <cell r="N1322">
            <v>2517.36</v>
          </cell>
        </row>
        <row r="1323">
          <cell r="A1323" t="str">
            <v>ORD200121</v>
          </cell>
          <cell r="B1323">
            <v>45260</v>
          </cell>
          <cell r="C1323" t="str">
            <v>C89822</v>
          </cell>
          <cell r="D1323" t="str">
            <v>Desk</v>
          </cell>
          <cell r="E1323">
            <v>1</v>
          </cell>
          <cell r="F1323">
            <v>410.78</v>
          </cell>
          <cell r="G1323" t="str">
            <v>673 Main St</v>
          </cell>
          <cell r="H1323" t="str">
            <v>Cash</v>
          </cell>
          <cell r="I1323" t="str">
            <v>Cancelled</v>
          </cell>
          <cell r="J1323" t="str">
            <v>TRK24138598</v>
          </cell>
          <cell r="K1323">
            <v>1</v>
          </cell>
          <cell r="L1323" t="str">
            <v>FREESHIP</v>
          </cell>
          <cell r="M1323" t="str">
            <v>Instagram</v>
          </cell>
          <cell r="N1323">
            <v>410.78</v>
          </cell>
        </row>
        <row r="1324">
          <cell r="A1324" t="str">
            <v>ORD200122</v>
          </cell>
          <cell r="B1324">
            <v>45397</v>
          </cell>
          <cell r="C1324" t="str">
            <v>C96787</v>
          </cell>
          <cell r="D1324" t="str">
            <v>Laptop</v>
          </cell>
          <cell r="E1324">
            <v>2</v>
          </cell>
          <cell r="F1324">
            <v>533.02</v>
          </cell>
          <cell r="G1324" t="str">
            <v>588 Main St</v>
          </cell>
          <cell r="H1324" t="str">
            <v>Gift Card</v>
          </cell>
          <cell r="I1324" t="str">
            <v>Shipped</v>
          </cell>
          <cell r="J1324" t="str">
            <v>TRK30422853</v>
          </cell>
          <cell r="K1324">
            <v>2</v>
          </cell>
          <cell r="L1324" t="str">
            <v>No Coupon</v>
          </cell>
          <cell r="M1324" t="str">
            <v>Facebook</v>
          </cell>
          <cell r="N1324">
            <v>1066.04</v>
          </cell>
        </row>
        <row r="1325">
          <cell r="A1325" t="str">
            <v>ORD200123</v>
          </cell>
          <cell r="B1325">
            <v>45113</v>
          </cell>
          <cell r="C1325" t="str">
            <v>C86064</v>
          </cell>
          <cell r="D1325" t="str">
            <v>Desk</v>
          </cell>
          <cell r="E1325">
            <v>3</v>
          </cell>
          <cell r="F1325">
            <v>278.04000000000002</v>
          </cell>
          <cell r="G1325" t="str">
            <v>727 Main St</v>
          </cell>
          <cell r="H1325" t="str">
            <v>Online</v>
          </cell>
          <cell r="I1325" t="str">
            <v>Delivered</v>
          </cell>
          <cell r="J1325" t="str">
            <v>TRK62182901</v>
          </cell>
          <cell r="K1325">
            <v>5</v>
          </cell>
          <cell r="L1325" t="str">
            <v>No Coupon</v>
          </cell>
          <cell r="M1325" t="str">
            <v>Instagram</v>
          </cell>
          <cell r="N1325">
            <v>834.12</v>
          </cell>
        </row>
        <row r="1326">
          <cell r="A1326" t="str">
            <v>ORD200124</v>
          </cell>
          <cell r="B1326">
            <v>45501</v>
          </cell>
          <cell r="C1326" t="str">
            <v>C97148</v>
          </cell>
          <cell r="D1326" t="str">
            <v>Printer</v>
          </cell>
          <cell r="E1326">
            <v>4</v>
          </cell>
          <cell r="F1326">
            <v>283.79000000000002</v>
          </cell>
          <cell r="G1326" t="str">
            <v>563 Main St</v>
          </cell>
          <cell r="H1326" t="str">
            <v>Online</v>
          </cell>
          <cell r="I1326" t="str">
            <v>Pending</v>
          </cell>
          <cell r="J1326" t="str">
            <v>TRK85321126</v>
          </cell>
          <cell r="K1326">
            <v>8</v>
          </cell>
          <cell r="L1326" t="str">
            <v>No Coupon</v>
          </cell>
          <cell r="M1326" t="str">
            <v>Google</v>
          </cell>
          <cell r="N1326">
            <v>1135.1600000000001</v>
          </cell>
        </row>
        <row r="1327">
          <cell r="A1327" t="str">
            <v>ORD200125</v>
          </cell>
          <cell r="B1327">
            <v>45602</v>
          </cell>
          <cell r="C1327" t="str">
            <v>C91099</v>
          </cell>
          <cell r="D1327" t="str">
            <v>Phone</v>
          </cell>
          <cell r="E1327">
            <v>2</v>
          </cell>
          <cell r="F1327">
            <v>512.65</v>
          </cell>
          <cell r="G1327" t="str">
            <v>758 Main St</v>
          </cell>
          <cell r="H1327" t="str">
            <v>Credit Card</v>
          </cell>
          <cell r="I1327" t="str">
            <v>Shipped</v>
          </cell>
          <cell r="J1327" t="str">
            <v>TRK81846174</v>
          </cell>
          <cell r="K1327">
            <v>5</v>
          </cell>
          <cell r="L1327" t="str">
            <v>SAVE10</v>
          </cell>
          <cell r="M1327" t="str">
            <v>Email</v>
          </cell>
          <cell r="N1327">
            <v>1025.3</v>
          </cell>
        </row>
        <row r="1328">
          <cell r="A1328" t="str">
            <v>ORD200126</v>
          </cell>
          <cell r="B1328">
            <v>45780</v>
          </cell>
          <cell r="C1328" t="str">
            <v>C55606</v>
          </cell>
          <cell r="D1328" t="str">
            <v>Desk</v>
          </cell>
          <cell r="E1328">
            <v>4</v>
          </cell>
          <cell r="F1328">
            <v>275.5</v>
          </cell>
          <cell r="G1328" t="str">
            <v>353 Main St</v>
          </cell>
          <cell r="H1328" t="str">
            <v>Gift Card</v>
          </cell>
          <cell r="I1328" t="str">
            <v>Shipped</v>
          </cell>
          <cell r="J1328" t="str">
            <v>TRK68250319</v>
          </cell>
          <cell r="K1328">
            <v>8</v>
          </cell>
          <cell r="L1328" t="str">
            <v>FREESHIP</v>
          </cell>
          <cell r="M1328" t="str">
            <v>Google</v>
          </cell>
          <cell r="N1328">
            <v>1102</v>
          </cell>
        </row>
        <row r="1329">
          <cell r="A1329" t="str">
            <v>ORD200127</v>
          </cell>
          <cell r="B1329">
            <v>45148</v>
          </cell>
          <cell r="C1329" t="str">
            <v>C71486</v>
          </cell>
          <cell r="D1329" t="str">
            <v>Desk</v>
          </cell>
          <cell r="E1329">
            <v>3</v>
          </cell>
          <cell r="F1329">
            <v>469.32</v>
          </cell>
          <cell r="G1329" t="str">
            <v>365 Main St</v>
          </cell>
          <cell r="H1329" t="str">
            <v>Debit Card</v>
          </cell>
          <cell r="I1329" t="str">
            <v>Shipped</v>
          </cell>
          <cell r="J1329" t="str">
            <v>TRK73929833</v>
          </cell>
          <cell r="K1329">
            <v>3</v>
          </cell>
          <cell r="L1329" t="str">
            <v>No Coupon</v>
          </cell>
          <cell r="M1329" t="str">
            <v>Google</v>
          </cell>
          <cell r="N1329">
            <v>1407.96</v>
          </cell>
        </row>
        <row r="1330">
          <cell r="A1330" t="str">
            <v>ORD200128</v>
          </cell>
          <cell r="B1330">
            <v>44974</v>
          </cell>
          <cell r="C1330" t="str">
            <v>C86408</v>
          </cell>
          <cell r="D1330" t="str">
            <v>Tablet</v>
          </cell>
          <cell r="E1330">
            <v>4</v>
          </cell>
          <cell r="F1330">
            <v>21.07</v>
          </cell>
          <cell r="G1330" t="str">
            <v>244 Main St</v>
          </cell>
          <cell r="H1330" t="str">
            <v>Gift Card</v>
          </cell>
          <cell r="I1330" t="str">
            <v>Delivered</v>
          </cell>
          <cell r="J1330" t="str">
            <v>TRK41432648</v>
          </cell>
          <cell r="K1330">
            <v>4</v>
          </cell>
          <cell r="L1330" t="str">
            <v>FREESHIP</v>
          </cell>
          <cell r="M1330" t="str">
            <v>Google</v>
          </cell>
          <cell r="N1330">
            <v>84.28</v>
          </cell>
        </row>
        <row r="1331">
          <cell r="A1331" t="str">
            <v>ORD200129</v>
          </cell>
          <cell r="B1331">
            <v>45226</v>
          </cell>
          <cell r="C1331" t="str">
            <v>C52751</v>
          </cell>
          <cell r="D1331" t="str">
            <v>Laptop</v>
          </cell>
          <cell r="E1331">
            <v>4</v>
          </cell>
          <cell r="F1331">
            <v>263.93</v>
          </cell>
          <cell r="G1331" t="str">
            <v>427 Main St</v>
          </cell>
          <cell r="H1331" t="str">
            <v>Debit Card</v>
          </cell>
          <cell r="I1331" t="str">
            <v>Shipped</v>
          </cell>
          <cell r="J1331" t="str">
            <v>TRK72481234</v>
          </cell>
          <cell r="K1331">
            <v>4</v>
          </cell>
          <cell r="L1331" t="str">
            <v>FREESHIP</v>
          </cell>
          <cell r="M1331" t="str">
            <v>Facebook</v>
          </cell>
          <cell r="N1331">
            <v>1055.72</v>
          </cell>
        </row>
        <row r="1332">
          <cell r="A1332" t="str">
            <v>ORD200130</v>
          </cell>
          <cell r="B1332">
            <v>45679</v>
          </cell>
          <cell r="C1332" t="str">
            <v>C29059</v>
          </cell>
          <cell r="D1332" t="str">
            <v>Desk</v>
          </cell>
          <cell r="E1332">
            <v>3</v>
          </cell>
          <cell r="F1332">
            <v>501.3</v>
          </cell>
          <cell r="G1332" t="str">
            <v>513 Main St</v>
          </cell>
          <cell r="H1332" t="str">
            <v>Online</v>
          </cell>
          <cell r="I1332" t="str">
            <v>Cancelled</v>
          </cell>
          <cell r="J1332" t="str">
            <v>TRK88360704</v>
          </cell>
          <cell r="K1332">
            <v>3</v>
          </cell>
          <cell r="L1332" t="str">
            <v>WINTER15</v>
          </cell>
          <cell r="M1332" t="str">
            <v>Facebook</v>
          </cell>
          <cell r="N1332">
            <v>1503.9</v>
          </cell>
        </row>
        <row r="1333">
          <cell r="A1333" t="str">
            <v>ORD200131</v>
          </cell>
          <cell r="B1333">
            <v>44934</v>
          </cell>
          <cell r="C1333" t="str">
            <v>C72862</v>
          </cell>
          <cell r="D1333" t="str">
            <v>Tablet</v>
          </cell>
          <cell r="E1333">
            <v>1</v>
          </cell>
          <cell r="F1333">
            <v>84.8</v>
          </cell>
          <cell r="G1333" t="str">
            <v>606 Main St</v>
          </cell>
          <cell r="H1333" t="str">
            <v>Gift Card</v>
          </cell>
          <cell r="I1333" t="str">
            <v>Pending</v>
          </cell>
          <cell r="J1333" t="str">
            <v>TRK51648833</v>
          </cell>
          <cell r="K1333">
            <v>5</v>
          </cell>
          <cell r="L1333" t="str">
            <v>No Coupon</v>
          </cell>
          <cell r="M1333" t="str">
            <v>Instagram</v>
          </cell>
          <cell r="N1333">
            <v>84.8</v>
          </cell>
        </row>
        <row r="1334">
          <cell r="A1334" t="str">
            <v>ORD200132</v>
          </cell>
          <cell r="B1334">
            <v>45013</v>
          </cell>
          <cell r="C1334" t="str">
            <v>C96257</v>
          </cell>
          <cell r="D1334" t="str">
            <v>Tablet</v>
          </cell>
          <cell r="E1334">
            <v>4</v>
          </cell>
          <cell r="F1334">
            <v>450.75</v>
          </cell>
          <cell r="G1334" t="str">
            <v>583 Main St</v>
          </cell>
          <cell r="H1334" t="str">
            <v>Credit Card</v>
          </cell>
          <cell r="I1334" t="str">
            <v>Shipped</v>
          </cell>
          <cell r="J1334" t="str">
            <v>TRK13137948</v>
          </cell>
          <cell r="K1334">
            <v>6</v>
          </cell>
          <cell r="L1334" t="str">
            <v>WINTER15</v>
          </cell>
          <cell r="M1334" t="str">
            <v>Email</v>
          </cell>
          <cell r="N1334">
            <v>1803</v>
          </cell>
        </row>
        <row r="1335">
          <cell r="A1335" t="str">
            <v>ORD200133</v>
          </cell>
          <cell r="B1335">
            <v>45828</v>
          </cell>
          <cell r="C1335" t="str">
            <v>C87432</v>
          </cell>
          <cell r="D1335" t="str">
            <v>Chair</v>
          </cell>
          <cell r="E1335">
            <v>4</v>
          </cell>
          <cell r="F1335">
            <v>302.05</v>
          </cell>
          <cell r="G1335" t="str">
            <v>636 Main St</v>
          </cell>
          <cell r="H1335" t="str">
            <v>Debit Card</v>
          </cell>
          <cell r="I1335" t="str">
            <v>Cancelled</v>
          </cell>
          <cell r="J1335" t="str">
            <v>TRK68969625</v>
          </cell>
          <cell r="K1335">
            <v>6</v>
          </cell>
          <cell r="L1335" t="str">
            <v>SAVE10</v>
          </cell>
          <cell r="M1335" t="str">
            <v>Google</v>
          </cell>
          <cell r="N1335">
            <v>1208.2</v>
          </cell>
        </row>
        <row r="1336">
          <cell r="A1336" t="str">
            <v>ORD200134</v>
          </cell>
          <cell r="B1336">
            <v>45831</v>
          </cell>
          <cell r="C1336" t="str">
            <v>C16253</v>
          </cell>
          <cell r="D1336" t="str">
            <v>Laptop</v>
          </cell>
          <cell r="E1336">
            <v>2</v>
          </cell>
          <cell r="F1336">
            <v>199.7</v>
          </cell>
          <cell r="G1336" t="str">
            <v>583 Main St</v>
          </cell>
          <cell r="H1336" t="str">
            <v>Cash</v>
          </cell>
          <cell r="I1336" t="str">
            <v>Pending</v>
          </cell>
          <cell r="J1336" t="str">
            <v>TRK17354894</v>
          </cell>
          <cell r="K1336">
            <v>4</v>
          </cell>
          <cell r="L1336" t="str">
            <v>No Coupon</v>
          </cell>
          <cell r="M1336" t="str">
            <v>Email</v>
          </cell>
          <cell r="N1336">
            <v>399.4</v>
          </cell>
        </row>
        <row r="1337">
          <cell r="A1337" t="str">
            <v>ORD200135</v>
          </cell>
          <cell r="B1337">
            <v>45142</v>
          </cell>
          <cell r="C1337" t="str">
            <v>C79909</v>
          </cell>
          <cell r="D1337" t="str">
            <v>Printer</v>
          </cell>
          <cell r="E1337">
            <v>2</v>
          </cell>
          <cell r="F1337">
            <v>68.81</v>
          </cell>
          <cell r="G1337" t="str">
            <v>642 Main St</v>
          </cell>
          <cell r="H1337" t="str">
            <v>Gift Card</v>
          </cell>
          <cell r="I1337" t="str">
            <v>Shipped</v>
          </cell>
          <cell r="J1337" t="str">
            <v>TRK86742257</v>
          </cell>
          <cell r="K1337">
            <v>5</v>
          </cell>
          <cell r="L1337" t="str">
            <v>SAVE10</v>
          </cell>
          <cell r="M1337" t="str">
            <v>Referral</v>
          </cell>
          <cell r="N1337">
            <v>137.62</v>
          </cell>
        </row>
        <row r="1338">
          <cell r="A1338" t="str">
            <v>ORD200136</v>
          </cell>
          <cell r="B1338">
            <v>45409</v>
          </cell>
          <cell r="C1338" t="str">
            <v>C73370</v>
          </cell>
          <cell r="D1338" t="str">
            <v>Laptop</v>
          </cell>
          <cell r="E1338">
            <v>1</v>
          </cell>
          <cell r="F1338">
            <v>44.35</v>
          </cell>
          <cell r="G1338" t="str">
            <v>595 Main St</v>
          </cell>
          <cell r="H1338" t="str">
            <v>Gift Card</v>
          </cell>
          <cell r="I1338" t="str">
            <v>Cancelled</v>
          </cell>
          <cell r="J1338" t="str">
            <v>TRK67820278</v>
          </cell>
          <cell r="K1338">
            <v>1</v>
          </cell>
          <cell r="L1338" t="str">
            <v>SAVE10</v>
          </cell>
          <cell r="M1338" t="str">
            <v>Instagram</v>
          </cell>
          <cell r="N1338">
            <v>44.35</v>
          </cell>
        </row>
        <row r="1339">
          <cell r="A1339" t="str">
            <v>ORD200137</v>
          </cell>
          <cell r="B1339">
            <v>45622</v>
          </cell>
          <cell r="C1339" t="str">
            <v>C50682</v>
          </cell>
          <cell r="D1339" t="str">
            <v>Monitor</v>
          </cell>
          <cell r="E1339">
            <v>2</v>
          </cell>
          <cell r="F1339">
            <v>250.98</v>
          </cell>
          <cell r="G1339" t="str">
            <v>598 Main St</v>
          </cell>
          <cell r="H1339" t="str">
            <v>Credit Card</v>
          </cell>
          <cell r="I1339" t="str">
            <v>Delivered</v>
          </cell>
          <cell r="J1339" t="str">
            <v>TRK12242337</v>
          </cell>
          <cell r="K1339">
            <v>5</v>
          </cell>
          <cell r="L1339" t="str">
            <v>No Coupon</v>
          </cell>
          <cell r="M1339" t="str">
            <v>Google</v>
          </cell>
          <cell r="N1339">
            <v>501.96</v>
          </cell>
        </row>
        <row r="1340">
          <cell r="A1340" t="str">
            <v>ORD200138</v>
          </cell>
          <cell r="B1340">
            <v>45281</v>
          </cell>
          <cell r="C1340" t="str">
            <v>C21905</v>
          </cell>
          <cell r="D1340" t="str">
            <v>Tablet</v>
          </cell>
          <cell r="E1340">
            <v>1</v>
          </cell>
          <cell r="F1340">
            <v>298.06</v>
          </cell>
          <cell r="G1340" t="str">
            <v>478 Main St</v>
          </cell>
          <cell r="H1340" t="str">
            <v>Debit Card</v>
          </cell>
          <cell r="I1340" t="str">
            <v>Pending</v>
          </cell>
          <cell r="J1340" t="str">
            <v>TRK31863841</v>
          </cell>
          <cell r="K1340">
            <v>3</v>
          </cell>
          <cell r="L1340" t="str">
            <v>WINTER15</v>
          </cell>
          <cell r="M1340" t="str">
            <v>Google</v>
          </cell>
          <cell r="N1340">
            <v>298.06</v>
          </cell>
        </row>
        <row r="1341">
          <cell r="A1341" t="str">
            <v>ORD200139</v>
          </cell>
          <cell r="B1341">
            <v>45026</v>
          </cell>
          <cell r="C1341" t="str">
            <v>C61440</v>
          </cell>
          <cell r="D1341" t="str">
            <v>Phone</v>
          </cell>
          <cell r="E1341">
            <v>1</v>
          </cell>
          <cell r="F1341">
            <v>583.9</v>
          </cell>
          <cell r="G1341" t="str">
            <v>714 Main St</v>
          </cell>
          <cell r="H1341" t="str">
            <v>Cash</v>
          </cell>
          <cell r="I1341" t="str">
            <v>Returned</v>
          </cell>
          <cell r="J1341" t="str">
            <v>TRK33114521</v>
          </cell>
          <cell r="K1341">
            <v>1</v>
          </cell>
          <cell r="L1341" t="str">
            <v>No Coupon</v>
          </cell>
          <cell r="M1341" t="str">
            <v>Email</v>
          </cell>
          <cell r="N1341">
            <v>583.9</v>
          </cell>
        </row>
        <row r="1342">
          <cell r="A1342" t="str">
            <v>ORD200140</v>
          </cell>
          <cell r="B1342">
            <v>45808</v>
          </cell>
          <cell r="C1342" t="str">
            <v>C33110</v>
          </cell>
          <cell r="D1342" t="str">
            <v>Chair</v>
          </cell>
          <cell r="E1342">
            <v>3</v>
          </cell>
          <cell r="F1342">
            <v>528.14</v>
          </cell>
          <cell r="G1342" t="str">
            <v>388 Main St</v>
          </cell>
          <cell r="H1342" t="str">
            <v>Online</v>
          </cell>
          <cell r="I1342" t="str">
            <v>Delivered</v>
          </cell>
          <cell r="J1342" t="str">
            <v>TRK38624225</v>
          </cell>
          <cell r="K1342">
            <v>3</v>
          </cell>
          <cell r="L1342" t="str">
            <v>FREESHIP</v>
          </cell>
          <cell r="M1342" t="str">
            <v>Email</v>
          </cell>
          <cell r="N1342">
            <v>1584.42</v>
          </cell>
        </row>
        <row r="1343">
          <cell r="A1343" t="str">
            <v>ORD200141</v>
          </cell>
          <cell r="B1343">
            <v>45248</v>
          </cell>
          <cell r="C1343" t="str">
            <v>C80004</v>
          </cell>
          <cell r="D1343" t="str">
            <v>Printer</v>
          </cell>
          <cell r="E1343">
            <v>3</v>
          </cell>
          <cell r="F1343">
            <v>684.14</v>
          </cell>
          <cell r="G1343" t="str">
            <v>151 Main St</v>
          </cell>
          <cell r="H1343" t="str">
            <v>Cash</v>
          </cell>
          <cell r="I1343" t="str">
            <v>Cancelled</v>
          </cell>
          <cell r="J1343" t="str">
            <v>TRK66230753</v>
          </cell>
          <cell r="K1343">
            <v>3</v>
          </cell>
          <cell r="L1343" t="str">
            <v>WINTER15</v>
          </cell>
          <cell r="M1343" t="str">
            <v>Instagram</v>
          </cell>
          <cell r="N1343">
            <v>2052.42</v>
          </cell>
        </row>
        <row r="1344">
          <cell r="A1344" t="str">
            <v>ORD200142</v>
          </cell>
          <cell r="B1344">
            <v>45175</v>
          </cell>
          <cell r="C1344" t="str">
            <v>C86374</v>
          </cell>
          <cell r="D1344" t="str">
            <v>Desk</v>
          </cell>
          <cell r="E1344">
            <v>5</v>
          </cell>
          <cell r="F1344">
            <v>272.77</v>
          </cell>
          <cell r="G1344" t="str">
            <v>573 Main St</v>
          </cell>
          <cell r="H1344" t="str">
            <v>Cash</v>
          </cell>
          <cell r="I1344" t="str">
            <v>Pending</v>
          </cell>
          <cell r="J1344" t="str">
            <v>TRK79451491</v>
          </cell>
          <cell r="K1344">
            <v>7</v>
          </cell>
          <cell r="L1344" t="str">
            <v>WINTER15</v>
          </cell>
          <cell r="M1344" t="str">
            <v>Email</v>
          </cell>
          <cell r="N1344">
            <v>1363.85</v>
          </cell>
        </row>
        <row r="1345">
          <cell r="A1345" t="str">
            <v>ORD200143</v>
          </cell>
          <cell r="B1345">
            <v>45456</v>
          </cell>
          <cell r="C1345" t="str">
            <v>C66521</v>
          </cell>
          <cell r="D1345" t="str">
            <v>Chair</v>
          </cell>
          <cell r="E1345">
            <v>4</v>
          </cell>
          <cell r="F1345">
            <v>400.07</v>
          </cell>
          <cell r="G1345" t="str">
            <v>933 Main St</v>
          </cell>
          <cell r="H1345" t="str">
            <v>Online</v>
          </cell>
          <cell r="I1345" t="str">
            <v>Shipped</v>
          </cell>
          <cell r="J1345" t="str">
            <v>TRK34654244</v>
          </cell>
          <cell r="K1345">
            <v>5</v>
          </cell>
          <cell r="L1345" t="str">
            <v>No Coupon</v>
          </cell>
          <cell r="M1345" t="str">
            <v>Referral</v>
          </cell>
          <cell r="N1345">
            <v>1600.28</v>
          </cell>
        </row>
        <row r="1346">
          <cell r="A1346" t="str">
            <v>ORD200144</v>
          </cell>
          <cell r="B1346">
            <v>45142</v>
          </cell>
          <cell r="C1346" t="str">
            <v>C63365</v>
          </cell>
          <cell r="D1346" t="str">
            <v>Desk</v>
          </cell>
          <cell r="E1346">
            <v>5</v>
          </cell>
          <cell r="F1346">
            <v>219.78</v>
          </cell>
          <cell r="G1346" t="str">
            <v>895 Main St</v>
          </cell>
          <cell r="H1346" t="str">
            <v>Credit Card</v>
          </cell>
          <cell r="I1346" t="str">
            <v>Pending</v>
          </cell>
          <cell r="J1346" t="str">
            <v>TRK80100887</v>
          </cell>
          <cell r="K1346">
            <v>8</v>
          </cell>
          <cell r="L1346" t="str">
            <v>No Coupon</v>
          </cell>
          <cell r="M1346" t="str">
            <v>Facebook</v>
          </cell>
          <cell r="N1346">
            <v>1098.9000000000001</v>
          </cell>
        </row>
        <row r="1347">
          <cell r="A1347" t="str">
            <v>ORD200145</v>
          </cell>
          <cell r="B1347">
            <v>45353</v>
          </cell>
          <cell r="C1347" t="str">
            <v>C85929</v>
          </cell>
          <cell r="D1347" t="str">
            <v>Printer</v>
          </cell>
          <cell r="E1347">
            <v>3</v>
          </cell>
          <cell r="F1347">
            <v>146.91</v>
          </cell>
          <cell r="G1347" t="str">
            <v>798 Main St</v>
          </cell>
          <cell r="H1347" t="str">
            <v>Credit Card</v>
          </cell>
          <cell r="I1347" t="str">
            <v>Delivered</v>
          </cell>
          <cell r="J1347" t="str">
            <v>TRK29318610</v>
          </cell>
          <cell r="K1347">
            <v>6</v>
          </cell>
          <cell r="L1347" t="str">
            <v>FREESHIP</v>
          </cell>
          <cell r="M1347" t="str">
            <v>Google</v>
          </cell>
          <cell r="N1347">
            <v>440.73</v>
          </cell>
        </row>
        <row r="1348">
          <cell r="A1348" t="str">
            <v>ORD200146</v>
          </cell>
          <cell r="B1348">
            <v>45777</v>
          </cell>
          <cell r="C1348" t="str">
            <v>C84645</v>
          </cell>
          <cell r="D1348" t="str">
            <v>Tablet</v>
          </cell>
          <cell r="E1348">
            <v>2</v>
          </cell>
          <cell r="F1348">
            <v>411.49</v>
          </cell>
          <cell r="G1348" t="str">
            <v>404 Main St</v>
          </cell>
          <cell r="H1348" t="str">
            <v>Credit Card</v>
          </cell>
          <cell r="I1348" t="str">
            <v>Returned</v>
          </cell>
          <cell r="J1348" t="str">
            <v>TRK68893369</v>
          </cell>
          <cell r="K1348">
            <v>4</v>
          </cell>
          <cell r="L1348" t="str">
            <v>No Coupon</v>
          </cell>
          <cell r="M1348" t="str">
            <v>Instagram</v>
          </cell>
          <cell r="N1348">
            <v>822.98</v>
          </cell>
        </row>
        <row r="1349">
          <cell r="A1349" t="str">
            <v>ORD200147</v>
          </cell>
          <cell r="B1349">
            <v>45783</v>
          </cell>
          <cell r="C1349" t="str">
            <v>C46316</v>
          </cell>
          <cell r="D1349" t="str">
            <v>Laptop</v>
          </cell>
          <cell r="E1349">
            <v>2</v>
          </cell>
          <cell r="F1349">
            <v>465.18</v>
          </cell>
          <cell r="G1349" t="str">
            <v>893 Main St</v>
          </cell>
          <cell r="H1349" t="str">
            <v>Credit Card</v>
          </cell>
          <cell r="I1349" t="str">
            <v>Cancelled</v>
          </cell>
          <cell r="J1349" t="str">
            <v>TRK16196000</v>
          </cell>
          <cell r="K1349">
            <v>2</v>
          </cell>
          <cell r="L1349" t="str">
            <v>SAVE10</v>
          </cell>
          <cell r="M1349" t="str">
            <v>Google</v>
          </cell>
          <cell r="N1349">
            <v>930.36</v>
          </cell>
        </row>
        <row r="1350">
          <cell r="A1350" t="str">
            <v>ORD200148</v>
          </cell>
          <cell r="B1350">
            <v>45641</v>
          </cell>
          <cell r="C1350" t="str">
            <v>C35100</v>
          </cell>
          <cell r="D1350" t="str">
            <v>Phone</v>
          </cell>
          <cell r="E1350">
            <v>2</v>
          </cell>
          <cell r="F1350">
            <v>319.91000000000003</v>
          </cell>
          <cell r="G1350" t="str">
            <v>139 Main St</v>
          </cell>
          <cell r="H1350" t="str">
            <v>Credit Card</v>
          </cell>
          <cell r="I1350" t="str">
            <v>Cancelled</v>
          </cell>
          <cell r="J1350" t="str">
            <v>TRK56853491</v>
          </cell>
          <cell r="K1350">
            <v>3</v>
          </cell>
          <cell r="L1350" t="str">
            <v>WINTER15</v>
          </cell>
          <cell r="M1350" t="str">
            <v>Google</v>
          </cell>
          <cell r="N1350">
            <v>639.82000000000005</v>
          </cell>
        </row>
        <row r="1351">
          <cell r="A1351" t="str">
            <v>ORD200149</v>
          </cell>
          <cell r="B1351">
            <v>45287</v>
          </cell>
          <cell r="C1351" t="str">
            <v>C39671</v>
          </cell>
          <cell r="D1351" t="str">
            <v>Laptop</v>
          </cell>
          <cell r="E1351">
            <v>1</v>
          </cell>
          <cell r="F1351">
            <v>217.56</v>
          </cell>
          <cell r="G1351" t="str">
            <v>174 Main St</v>
          </cell>
          <cell r="H1351" t="str">
            <v>Debit Card</v>
          </cell>
          <cell r="I1351" t="str">
            <v>Delivered</v>
          </cell>
          <cell r="J1351" t="str">
            <v>TRK47153818</v>
          </cell>
          <cell r="K1351">
            <v>3</v>
          </cell>
          <cell r="L1351" t="str">
            <v>No Coupon</v>
          </cell>
          <cell r="M1351" t="str">
            <v>Facebook</v>
          </cell>
          <cell r="N1351">
            <v>217.56</v>
          </cell>
        </row>
        <row r="1352">
          <cell r="A1352" t="str">
            <v>ORD200150</v>
          </cell>
          <cell r="B1352">
            <v>45273</v>
          </cell>
          <cell r="C1352" t="str">
            <v>C25503</v>
          </cell>
          <cell r="D1352" t="str">
            <v>Phone</v>
          </cell>
          <cell r="E1352">
            <v>2</v>
          </cell>
          <cell r="F1352">
            <v>105.57</v>
          </cell>
          <cell r="G1352" t="str">
            <v>981 Main St</v>
          </cell>
          <cell r="H1352" t="str">
            <v>Debit Card</v>
          </cell>
          <cell r="I1352" t="str">
            <v>Returned</v>
          </cell>
          <cell r="J1352" t="str">
            <v>TRK29878837</v>
          </cell>
          <cell r="K1352">
            <v>5</v>
          </cell>
          <cell r="L1352" t="str">
            <v>WINTER15</v>
          </cell>
          <cell r="M1352" t="str">
            <v>Google</v>
          </cell>
          <cell r="N1352">
            <v>211.14</v>
          </cell>
        </row>
        <row r="1353">
          <cell r="A1353" t="str">
            <v>ORD200151</v>
          </cell>
          <cell r="B1353">
            <v>45261</v>
          </cell>
          <cell r="C1353" t="str">
            <v>C32960</v>
          </cell>
          <cell r="D1353" t="str">
            <v>Printer</v>
          </cell>
          <cell r="E1353">
            <v>5</v>
          </cell>
          <cell r="F1353">
            <v>444.76</v>
          </cell>
          <cell r="G1353" t="str">
            <v>947 Main St</v>
          </cell>
          <cell r="H1353" t="str">
            <v>Debit Card</v>
          </cell>
          <cell r="I1353" t="str">
            <v>Returned</v>
          </cell>
          <cell r="J1353" t="str">
            <v>TRK91226500</v>
          </cell>
          <cell r="K1353">
            <v>7</v>
          </cell>
          <cell r="L1353" t="str">
            <v>No Coupon</v>
          </cell>
          <cell r="M1353" t="str">
            <v>Email</v>
          </cell>
          <cell r="N1353">
            <v>2223.8000000000002</v>
          </cell>
        </row>
        <row r="1354">
          <cell r="A1354" t="str">
            <v>ORD200152</v>
          </cell>
          <cell r="B1354">
            <v>45659</v>
          </cell>
          <cell r="C1354" t="str">
            <v>C77736</v>
          </cell>
          <cell r="D1354" t="str">
            <v>Chair</v>
          </cell>
          <cell r="E1354">
            <v>2</v>
          </cell>
          <cell r="F1354">
            <v>399.04</v>
          </cell>
          <cell r="G1354" t="str">
            <v>659 Main St</v>
          </cell>
          <cell r="H1354" t="str">
            <v>Cash</v>
          </cell>
          <cell r="I1354" t="str">
            <v>Cancelled</v>
          </cell>
          <cell r="J1354" t="str">
            <v>TRK90329250</v>
          </cell>
          <cell r="K1354">
            <v>3</v>
          </cell>
          <cell r="L1354" t="str">
            <v>FREESHIP</v>
          </cell>
          <cell r="M1354" t="str">
            <v>Referral</v>
          </cell>
          <cell r="N1354">
            <v>798.08</v>
          </cell>
        </row>
        <row r="1355">
          <cell r="A1355" t="str">
            <v>ORD200153</v>
          </cell>
          <cell r="B1355">
            <v>45644</v>
          </cell>
          <cell r="C1355" t="str">
            <v>C71570</v>
          </cell>
          <cell r="D1355" t="str">
            <v>Chair</v>
          </cell>
          <cell r="E1355">
            <v>4</v>
          </cell>
          <cell r="F1355">
            <v>534.48</v>
          </cell>
          <cell r="G1355" t="str">
            <v>437 Main St</v>
          </cell>
          <cell r="H1355" t="str">
            <v>Online</v>
          </cell>
          <cell r="I1355" t="str">
            <v>Returned</v>
          </cell>
          <cell r="J1355" t="str">
            <v>TRK95992269</v>
          </cell>
          <cell r="K1355">
            <v>9</v>
          </cell>
          <cell r="L1355" t="str">
            <v>WINTER15</v>
          </cell>
          <cell r="M1355" t="str">
            <v>Instagram</v>
          </cell>
          <cell r="N1355">
            <v>2137.92</v>
          </cell>
        </row>
        <row r="1356">
          <cell r="A1356" t="str">
            <v>ORD200154</v>
          </cell>
          <cell r="B1356">
            <v>45127</v>
          </cell>
          <cell r="C1356" t="str">
            <v>C73587</v>
          </cell>
          <cell r="D1356" t="str">
            <v>Phone</v>
          </cell>
          <cell r="E1356">
            <v>4</v>
          </cell>
          <cell r="F1356">
            <v>408.21</v>
          </cell>
          <cell r="G1356" t="str">
            <v>727 Main St</v>
          </cell>
          <cell r="H1356" t="str">
            <v>Credit Card</v>
          </cell>
          <cell r="I1356" t="str">
            <v>Pending</v>
          </cell>
          <cell r="J1356" t="str">
            <v>TRK13955543</v>
          </cell>
          <cell r="K1356">
            <v>9</v>
          </cell>
          <cell r="L1356" t="str">
            <v>No Coupon</v>
          </cell>
          <cell r="M1356" t="str">
            <v>Instagram</v>
          </cell>
          <cell r="N1356">
            <v>1632.84</v>
          </cell>
        </row>
        <row r="1357">
          <cell r="A1357" t="str">
            <v>ORD200155</v>
          </cell>
          <cell r="B1357">
            <v>44984</v>
          </cell>
          <cell r="C1357" t="str">
            <v>C62740</v>
          </cell>
          <cell r="D1357" t="str">
            <v>Phone</v>
          </cell>
          <cell r="E1357">
            <v>1</v>
          </cell>
          <cell r="F1357">
            <v>424.4</v>
          </cell>
          <cell r="G1357" t="str">
            <v>446 Main St</v>
          </cell>
          <cell r="H1357" t="str">
            <v>Online</v>
          </cell>
          <cell r="I1357" t="str">
            <v>Shipped</v>
          </cell>
          <cell r="J1357" t="str">
            <v>TRK20706408</v>
          </cell>
          <cell r="K1357">
            <v>6</v>
          </cell>
          <cell r="L1357" t="str">
            <v>WINTER15</v>
          </cell>
          <cell r="M1357" t="str">
            <v>Referral</v>
          </cell>
          <cell r="N1357">
            <v>424.4</v>
          </cell>
        </row>
        <row r="1358">
          <cell r="A1358" t="str">
            <v>ORD200156</v>
          </cell>
          <cell r="B1358">
            <v>45604</v>
          </cell>
          <cell r="C1358" t="str">
            <v>C58808</v>
          </cell>
          <cell r="D1358" t="str">
            <v>Chair</v>
          </cell>
          <cell r="E1358">
            <v>2</v>
          </cell>
          <cell r="F1358">
            <v>269.83</v>
          </cell>
          <cell r="G1358" t="str">
            <v>651 Main St</v>
          </cell>
          <cell r="H1358" t="str">
            <v>Online</v>
          </cell>
          <cell r="I1358" t="str">
            <v>Delivered</v>
          </cell>
          <cell r="J1358" t="str">
            <v>TRK24451893</v>
          </cell>
          <cell r="K1358">
            <v>4</v>
          </cell>
          <cell r="L1358" t="str">
            <v>SAVE10</v>
          </cell>
          <cell r="M1358" t="str">
            <v>Email</v>
          </cell>
          <cell r="N1358">
            <v>539.66</v>
          </cell>
        </row>
        <row r="1359">
          <cell r="A1359" t="str">
            <v>ORD200157</v>
          </cell>
          <cell r="B1359">
            <v>45709</v>
          </cell>
          <cell r="C1359" t="str">
            <v>C50422</v>
          </cell>
          <cell r="D1359" t="str">
            <v>Monitor</v>
          </cell>
          <cell r="E1359">
            <v>2</v>
          </cell>
          <cell r="F1359">
            <v>564.58000000000004</v>
          </cell>
          <cell r="G1359" t="str">
            <v>636 Main St</v>
          </cell>
          <cell r="H1359" t="str">
            <v>Online</v>
          </cell>
          <cell r="I1359" t="str">
            <v>Returned</v>
          </cell>
          <cell r="J1359" t="str">
            <v>TRK71227815</v>
          </cell>
          <cell r="K1359">
            <v>4</v>
          </cell>
          <cell r="L1359" t="str">
            <v>WINTER15</v>
          </cell>
          <cell r="M1359" t="str">
            <v>Facebook</v>
          </cell>
          <cell r="N1359">
            <v>1129.1600000000001</v>
          </cell>
        </row>
        <row r="1360">
          <cell r="A1360" t="str">
            <v>ORD200158</v>
          </cell>
          <cell r="B1360">
            <v>45428</v>
          </cell>
          <cell r="C1360" t="str">
            <v>C23334</v>
          </cell>
          <cell r="D1360" t="str">
            <v>Tablet</v>
          </cell>
          <cell r="E1360">
            <v>1</v>
          </cell>
          <cell r="F1360">
            <v>331.06</v>
          </cell>
          <cell r="G1360" t="str">
            <v>737 Main St</v>
          </cell>
          <cell r="H1360" t="str">
            <v>Credit Card</v>
          </cell>
          <cell r="I1360" t="str">
            <v>Pending</v>
          </cell>
          <cell r="J1360" t="str">
            <v>TRK46335144</v>
          </cell>
          <cell r="K1360">
            <v>5</v>
          </cell>
          <cell r="L1360" t="str">
            <v>WINTER15</v>
          </cell>
          <cell r="M1360" t="str">
            <v>Instagram</v>
          </cell>
          <cell r="N1360">
            <v>331.06</v>
          </cell>
        </row>
        <row r="1361">
          <cell r="A1361" t="str">
            <v>ORD200159</v>
          </cell>
          <cell r="B1361">
            <v>45230</v>
          </cell>
          <cell r="C1361" t="str">
            <v>C48965</v>
          </cell>
          <cell r="D1361" t="str">
            <v>Printer</v>
          </cell>
          <cell r="E1361">
            <v>1</v>
          </cell>
          <cell r="F1361">
            <v>299.35000000000002</v>
          </cell>
          <cell r="G1361" t="str">
            <v>819 Main St</v>
          </cell>
          <cell r="H1361" t="str">
            <v>Credit Card</v>
          </cell>
          <cell r="I1361" t="str">
            <v>Cancelled</v>
          </cell>
          <cell r="J1361" t="str">
            <v>TRK50921780</v>
          </cell>
          <cell r="K1361">
            <v>5</v>
          </cell>
          <cell r="L1361" t="str">
            <v>WINTER15</v>
          </cell>
          <cell r="M1361" t="str">
            <v>Email</v>
          </cell>
          <cell r="N1361">
            <v>299.35000000000002</v>
          </cell>
        </row>
        <row r="1362">
          <cell r="A1362" t="str">
            <v>ORD200160</v>
          </cell>
          <cell r="B1362">
            <v>44974</v>
          </cell>
          <cell r="C1362" t="str">
            <v>C38669</v>
          </cell>
          <cell r="D1362" t="str">
            <v>Monitor</v>
          </cell>
          <cell r="E1362">
            <v>4</v>
          </cell>
          <cell r="F1362">
            <v>101.32</v>
          </cell>
          <cell r="G1362" t="str">
            <v>240 Main St</v>
          </cell>
          <cell r="H1362" t="str">
            <v>Cash</v>
          </cell>
          <cell r="I1362" t="str">
            <v>Pending</v>
          </cell>
          <cell r="J1362" t="str">
            <v>TRK81738254</v>
          </cell>
          <cell r="K1362">
            <v>7</v>
          </cell>
          <cell r="L1362" t="str">
            <v>No Coupon</v>
          </cell>
          <cell r="M1362" t="str">
            <v>Referral</v>
          </cell>
          <cell r="N1362">
            <v>405.28</v>
          </cell>
        </row>
        <row r="1363">
          <cell r="A1363" t="str">
            <v>ORD200161</v>
          </cell>
          <cell r="B1363">
            <v>45380</v>
          </cell>
          <cell r="C1363" t="str">
            <v>C35091</v>
          </cell>
          <cell r="D1363" t="str">
            <v>Monitor</v>
          </cell>
          <cell r="E1363">
            <v>1</v>
          </cell>
          <cell r="F1363">
            <v>211.14</v>
          </cell>
          <cell r="G1363" t="str">
            <v>513 Main St</v>
          </cell>
          <cell r="H1363" t="str">
            <v>Credit Card</v>
          </cell>
          <cell r="I1363" t="str">
            <v>Cancelled</v>
          </cell>
          <cell r="J1363" t="str">
            <v>TRK53784452</v>
          </cell>
          <cell r="K1363">
            <v>1</v>
          </cell>
          <cell r="L1363" t="str">
            <v>SAVE10</v>
          </cell>
          <cell r="M1363" t="str">
            <v>Facebook</v>
          </cell>
          <cell r="N1363">
            <v>211.14</v>
          </cell>
        </row>
        <row r="1364">
          <cell r="A1364" t="str">
            <v>ORD200162</v>
          </cell>
          <cell r="B1364">
            <v>45134</v>
          </cell>
          <cell r="C1364" t="str">
            <v>C82313</v>
          </cell>
          <cell r="D1364" t="str">
            <v>Chair</v>
          </cell>
          <cell r="E1364">
            <v>3</v>
          </cell>
          <cell r="F1364">
            <v>65.86</v>
          </cell>
          <cell r="G1364" t="str">
            <v>917 Main St</v>
          </cell>
          <cell r="H1364" t="str">
            <v>Online</v>
          </cell>
          <cell r="I1364" t="str">
            <v>Pending</v>
          </cell>
          <cell r="J1364" t="str">
            <v>TRK79854624</v>
          </cell>
          <cell r="K1364">
            <v>8</v>
          </cell>
          <cell r="L1364" t="str">
            <v>WINTER15</v>
          </cell>
          <cell r="M1364" t="str">
            <v>Google</v>
          </cell>
          <cell r="N1364">
            <v>197.58</v>
          </cell>
        </row>
        <row r="1365">
          <cell r="A1365" t="str">
            <v>ORD200163</v>
          </cell>
          <cell r="B1365">
            <v>45832</v>
          </cell>
          <cell r="C1365" t="str">
            <v>C99589</v>
          </cell>
          <cell r="D1365" t="str">
            <v>Tablet</v>
          </cell>
          <cell r="E1365">
            <v>1</v>
          </cell>
          <cell r="F1365">
            <v>641.39</v>
          </cell>
          <cell r="G1365" t="str">
            <v>277 Main St</v>
          </cell>
          <cell r="H1365" t="str">
            <v>Online</v>
          </cell>
          <cell r="I1365" t="str">
            <v>Cancelled</v>
          </cell>
          <cell r="J1365" t="str">
            <v>TRK16695001</v>
          </cell>
          <cell r="K1365">
            <v>1</v>
          </cell>
          <cell r="L1365" t="str">
            <v>No Coupon</v>
          </cell>
          <cell r="M1365" t="str">
            <v>Referral</v>
          </cell>
          <cell r="N1365">
            <v>641.39</v>
          </cell>
        </row>
        <row r="1366">
          <cell r="A1366" t="str">
            <v>ORD200164</v>
          </cell>
          <cell r="B1366">
            <v>45288</v>
          </cell>
          <cell r="C1366" t="str">
            <v>C70566</v>
          </cell>
          <cell r="D1366" t="str">
            <v>Desk</v>
          </cell>
          <cell r="E1366">
            <v>5</v>
          </cell>
          <cell r="F1366">
            <v>536.58000000000004</v>
          </cell>
          <cell r="G1366" t="str">
            <v>667 Main St</v>
          </cell>
          <cell r="H1366" t="str">
            <v>Gift Card</v>
          </cell>
          <cell r="I1366" t="str">
            <v>Pending</v>
          </cell>
          <cell r="J1366" t="str">
            <v>TRK49673411</v>
          </cell>
          <cell r="K1366">
            <v>5</v>
          </cell>
          <cell r="L1366" t="str">
            <v>SAVE10</v>
          </cell>
          <cell r="M1366" t="str">
            <v>Google</v>
          </cell>
          <cell r="N1366">
            <v>2682.9</v>
          </cell>
        </row>
        <row r="1367">
          <cell r="A1367" t="str">
            <v>ORD200165</v>
          </cell>
          <cell r="B1367">
            <v>45549</v>
          </cell>
          <cell r="C1367" t="str">
            <v>C60355</v>
          </cell>
          <cell r="D1367" t="str">
            <v>Monitor</v>
          </cell>
          <cell r="E1367">
            <v>2</v>
          </cell>
          <cell r="F1367">
            <v>500.29</v>
          </cell>
          <cell r="G1367" t="str">
            <v>226 Main St</v>
          </cell>
          <cell r="H1367" t="str">
            <v>Online</v>
          </cell>
          <cell r="I1367" t="str">
            <v>Returned</v>
          </cell>
          <cell r="J1367" t="str">
            <v>TRK30155194</v>
          </cell>
          <cell r="K1367">
            <v>7</v>
          </cell>
          <cell r="L1367" t="str">
            <v>WINTER15</v>
          </cell>
          <cell r="M1367" t="str">
            <v>Google</v>
          </cell>
          <cell r="N1367">
            <v>1000.58</v>
          </cell>
        </row>
        <row r="1368">
          <cell r="A1368" t="str">
            <v>ORD200166</v>
          </cell>
          <cell r="B1368">
            <v>45720</v>
          </cell>
          <cell r="C1368" t="str">
            <v>C28889</v>
          </cell>
          <cell r="D1368" t="str">
            <v>Chair</v>
          </cell>
          <cell r="E1368">
            <v>3</v>
          </cell>
          <cell r="F1368">
            <v>86.29</v>
          </cell>
          <cell r="G1368" t="str">
            <v>565 Main St</v>
          </cell>
          <cell r="H1368" t="str">
            <v>Cash</v>
          </cell>
          <cell r="I1368" t="str">
            <v>Delivered</v>
          </cell>
          <cell r="J1368" t="str">
            <v>TRK23791726</v>
          </cell>
          <cell r="K1368">
            <v>6</v>
          </cell>
          <cell r="L1368" t="str">
            <v>WINTER15</v>
          </cell>
          <cell r="M1368" t="str">
            <v>Instagram</v>
          </cell>
          <cell r="N1368">
            <v>258.87</v>
          </cell>
        </row>
        <row r="1369">
          <cell r="A1369" t="str">
            <v>ORD200167</v>
          </cell>
          <cell r="B1369">
            <v>45073</v>
          </cell>
          <cell r="C1369" t="str">
            <v>C88304</v>
          </cell>
          <cell r="D1369" t="str">
            <v>Chair</v>
          </cell>
          <cell r="E1369">
            <v>2</v>
          </cell>
          <cell r="F1369">
            <v>384.14</v>
          </cell>
          <cell r="G1369" t="str">
            <v>219 Main St</v>
          </cell>
          <cell r="H1369" t="str">
            <v>Online</v>
          </cell>
          <cell r="I1369" t="str">
            <v>Returned</v>
          </cell>
          <cell r="J1369" t="str">
            <v>TRK44268941</v>
          </cell>
          <cell r="K1369">
            <v>2</v>
          </cell>
          <cell r="L1369" t="str">
            <v>WINTER15</v>
          </cell>
          <cell r="M1369" t="str">
            <v>Email</v>
          </cell>
          <cell r="N1369">
            <v>768.28</v>
          </cell>
        </row>
        <row r="1370">
          <cell r="A1370" t="str">
            <v>ORD200168</v>
          </cell>
          <cell r="B1370">
            <v>45661</v>
          </cell>
          <cell r="C1370" t="str">
            <v>C49517</v>
          </cell>
          <cell r="D1370" t="str">
            <v>Printer</v>
          </cell>
          <cell r="E1370">
            <v>1</v>
          </cell>
          <cell r="F1370">
            <v>594.96</v>
          </cell>
          <cell r="G1370" t="str">
            <v>878 Main St</v>
          </cell>
          <cell r="H1370" t="str">
            <v>Cash</v>
          </cell>
          <cell r="I1370" t="str">
            <v>Returned</v>
          </cell>
          <cell r="J1370" t="str">
            <v>TRK78551375</v>
          </cell>
          <cell r="K1370">
            <v>6</v>
          </cell>
          <cell r="L1370" t="str">
            <v>No Coupon</v>
          </cell>
          <cell r="M1370" t="str">
            <v>Facebook</v>
          </cell>
          <cell r="N1370">
            <v>594.96</v>
          </cell>
        </row>
        <row r="1371">
          <cell r="A1371" t="str">
            <v>ORD200169</v>
          </cell>
          <cell r="B1371">
            <v>45389</v>
          </cell>
          <cell r="C1371" t="str">
            <v>C35785</v>
          </cell>
          <cell r="D1371" t="str">
            <v>Printer</v>
          </cell>
          <cell r="E1371">
            <v>1</v>
          </cell>
          <cell r="F1371">
            <v>427.82</v>
          </cell>
          <cell r="G1371" t="str">
            <v>732 Main St</v>
          </cell>
          <cell r="H1371" t="str">
            <v>Online</v>
          </cell>
          <cell r="I1371" t="str">
            <v>Delivered</v>
          </cell>
          <cell r="J1371" t="str">
            <v>TRK78923089</v>
          </cell>
          <cell r="K1371">
            <v>2</v>
          </cell>
          <cell r="L1371" t="str">
            <v>WINTER15</v>
          </cell>
          <cell r="M1371" t="str">
            <v>Email</v>
          </cell>
          <cell r="N1371">
            <v>427.82</v>
          </cell>
        </row>
        <row r="1372">
          <cell r="A1372" t="str">
            <v>ORD200170</v>
          </cell>
          <cell r="B1372">
            <v>45751</v>
          </cell>
          <cell r="C1372" t="str">
            <v>C80223</v>
          </cell>
          <cell r="D1372" t="str">
            <v>Desk</v>
          </cell>
          <cell r="E1372">
            <v>4</v>
          </cell>
          <cell r="F1372">
            <v>662.94</v>
          </cell>
          <cell r="G1372" t="str">
            <v>535 Main St</v>
          </cell>
          <cell r="H1372" t="str">
            <v>Cash</v>
          </cell>
          <cell r="I1372" t="str">
            <v>Cancelled</v>
          </cell>
          <cell r="J1372" t="str">
            <v>TRK68632951</v>
          </cell>
          <cell r="K1372">
            <v>8</v>
          </cell>
          <cell r="L1372" t="str">
            <v>SAVE10</v>
          </cell>
          <cell r="M1372" t="str">
            <v>Instagram</v>
          </cell>
          <cell r="N1372">
            <v>2651.76</v>
          </cell>
        </row>
        <row r="1373">
          <cell r="A1373" t="str">
            <v>ORD200171</v>
          </cell>
          <cell r="B1373">
            <v>45153</v>
          </cell>
          <cell r="C1373" t="str">
            <v>C20448</v>
          </cell>
          <cell r="D1373" t="str">
            <v>Tablet</v>
          </cell>
          <cell r="E1373">
            <v>2</v>
          </cell>
          <cell r="F1373">
            <v>148.22</v>
          </cell>
          <cell r="G1373" t="str">
            <v>336 Main St</v>
          </cell>
          <cell r="H1373" t="str">
            <v>Credit Card</v>
          </cell>
          <cell r="I1373" t="str">
            <v>Delivered</v>
          </cell>
          <cell r="J1373" t="str">
            <v>TRK67379895</v>
          </cell>
          <cell r="K1373">
            <v>7</v>
          </cell>
          <cell r="L1373" t="str">
            <v>WINTER15</v>
          </cell>
          <cell r="M1373" t="str">
            <v>Instagram</v>
          </cell>
          <cell r="N1373">
            <v>296.44</v>
          </cell>
        </row>
        <row r="1374">
          <cell r="A1374" t="str">
            <v>ORD200172</v>
          </cell>
          <cell r="B1374">
            <v>45753</v>
          </cell>
          <cell r="C1374" t="str">
            <v>C34134</v>
          </cell>
          <cell r="D1374" t="str">
            <v>Printer</v>
          </cell>
          <cell r="E1374">
            <v>1</v>
          </cell>
          <cell r="F1374">
            <v>254.12</v>
          </cell>
          <cell r="G1374" t="str">
            <v>365 Main St</v>
          </cell>
          <cell r="H1374" t="str">
            <v>Online</v>
          </cell>
          <cell r="I1374" t="str">
            <v>Delivered</v>
          </cell>
          <cell r="J1374" t="str">
            <v>TRK43074303</v>
          </cell>
          <cell r="K1374">
            <v>1</v>
          </cell>
          <cell r="L1374" t="str">
            <v>WINTER15</v>
          </cell>
          <cell r="M1374" t="str">
            <v>Email</v>
          </cell>
          <cell r="N1374">
            <v>254.12</v>
          </cell>
        </row>
        <row r="1375">
          <cell r="A1375" t="str">
            <v>ORD200173</v>
          </cell>
          <cell r="B1375">
            <v>45375</v>
          </cell>
          <cell r="C1375" t="str">
            <v>C95901</v>
          </cell>
          <cell r="D1375" t="str">
            <v>Phone</v>
          </cell>
          <cell r="E1375">
            <v>3</v>
          </cell>
          <cell r="F1375">
            <v>664.46</v>
          </cell>
          <cell r="G1375" t="str">
            <v>806 Main St</v>
          </cell>
          <cell r="H1375" t="str">
            <v>Online</v>
          </cell>
          <cell r="I1375" t="str">
            <v>Delivered</v>
          </cell>
          <cell r="J1375" t="str">
            <v>TRK56989066</v>
          </cell>
          <cell r="K1375">
            <v>4</v>
          </cell>
          <cell r="L1375" t="str">
            <v>FREESHIP</v>
          </cell>
          <cell r="M1375" t="str">
            <v>Google</v>
          </cell>
          <cell r="N1375">
            <v>1993.38</v>
          </cell>
        </row>
        <row r="1376">
          <cell r="A1376" t="str">
            <v>ORD200174</v>
          </cell>
          <cell r="B1376">
            <v>45398</v>
          </cell>
          <cell r="C1376" t="str">
            <v>C51145</v>
          </cell>
          <cell r="D1376" t="str">
            <v>Printer</v>
          </cell>
          <cell r="E1376">
            <v>4</v>
          </cell>
          <cell r="F1376">
            <v>600.80999999999995</v>
          </cell>
          <cell r="G1376" t="str">
            <v>790 Main St</v>
          </cell>
          <cell r="H1376" t="str">
            <v>Debit Card</v>
          </cell>
          <cell r="I1376" t="str">
            <v>Delivered</v>
          </cell>
          <cell r="J1376" t="str">
            <v>TRK59154274</v>
          </cell>
          <cell r="K1376">
            <v>9</v>
          </cell>
          <cell r="L1376" t="str">
            <v>SAVE10</v>
          </cell>
          <cell r="M1376" t="str">
            <v>Email</v>
          </cell>
          <cell r="N1376">
            <v>2403.2399999999998</v>
          </cell>
        </row>
        <row r="1377">
          <cell r="A1377" t="str">
            <v>ORD200175</v>
          </cell>
          <cell r="B1377">
            <v>45696</v>
          </cell>
          <cell r="C1377" t="str">
            <v>C78170</v>
          </cell>
          <cell r="D1377" t="str">
            <v>Chair</v>
          </cell>
          <cell r="E1377">
            <v>5</v>
          </cell>
          <cell r="F1377">
            <v>68.34</v>
          </cell>
          <cell r="G1377" t="str">
            <v>332 Main St</v>
          </cell>
          <cell r="H1377" t="str">
            <v>Debit Card</v>
          </cell>
          <cell r="I1377" t="str">
            <v>Pending</v>
          </cell>
          <cell r="J1377" t="str">
            <v>TRK71410605</v>
          </cell>
          <cell r="K1377">
            <v>6</v>
          </cell>
          <cell r="L1377" t="str">
            <v>WINTER15</v>
          </cell>
          <cell r="M1377" t="str">
            <v>Referral</v>
          </cell>
          <cell r="N1377">
            <v>341.7</v>
          </cell>
        </row>
        <row r="1378">
          <cell r="A1378" t="str">
            <v>ORD200176</v>
          </cell>
          <cell r="B1378">
            <v>45836</v>
          </cell>
          <cell r="C1378" t="str">
            <v>C80151</v>
          </cell>
          <cell r="D1378" t="str">
            <v>Tablet</v>
          </cell>
          <cell r="E1378">
            <v>4</v>
          </cell>
          <cell r="F1378">
            <v>430.83</v>
          </cell>
          <cell r="G1378" t="str">
            <v>553 Main St</v>
          </cell>
          <cell r="H1378" t="str">
            <v>Gift Card</v>
          </cell>
          <cell r="I1378" t="str">
            <v>Pending</v>
          </cell>
          <cell r="J1378" t="str">
            <v>TRK88251529</v>
          </cell>
          <cell r="K1378">
            <v>8</v>
          </cell>
          <cell r="L1378" t="str">
            <v>WINTER15</v>
          </cell>
          <cell r="M1378" t="str">
            <v>Referral</v>
          </cell>
          <cell r="N1378">
            <v>1723.32</v>
          </cell>
        </row>
        <row r="1379">
          <cell r="A1379" t="str">
            <v>ORD200177</v>
          </cell>
          <cell r="B1379">
            <v>45143</v>
          </cell>
          <cell r="C1379" t="str">
            <v>C55632</v>
          </cell>
          <cell r="D1379" t="str">
            <v>Chair</v>
          </cell>
          <cell r="E1379">
            <v>5</v>
          </cell>
          <cell r="F1379">
            <v>431.69</v>
          </cell>
          <cell r="G1379" t="str">
            <v>354 Main St</v>
          </cell>
          <cell r="H1379" t="str">
            <v>Credit Card</v>
          </cell>
          <cell r="I1379" t="str">
            <v>Pending</v>
          </cell>
          <cell r="J1379" t="str">
            <v>TRK13003066</v>
          </cell>
          <cell r="K1379">
            <v>10</v>
          </cell>
          <cell r="L1379" t="str">
            <v>No Coupon</v>
          </cell>
          <cell r="M1379" t="str">
            <v>Facebook</v>
          </cell>
          <cell r="N1379">
            <v>2158.4499999999998</v>
          </cell>
        </row>
        <row r="1380">
          <cell r="A1380" t="str">
            <v>ORD200178</v>
          </cell>
          <cell r="B1380">
            <v>45393</v>
          </cell>
          <cell r="C1380" t="str">
            <v>C53070</v>
          </cell>
          <cell r="D1380" t="str">
            <v>Chair</v>
          </cell>
          <cell r="E1380">
            <v>4</v>
          </cell>
          <cell r="F1380">
            <v>512.05999999999995</v>
          </cell>
          <cell r="G1380" t="str">
            <v>283 Main St</v>
          </cell>
          <cell r="H1380" t="str">
            <v>Online</v>
          </cell>
          <cell r="I1380" t="str">
            <v>Delivered</v>
          </cell>
          <cell r="J1380" t="str">
            <v>TRK49791755</v>
          </cell>
          <cell r="K1380">
            <v>5</v>
          </cell>
          <cell r="L1380" t="str">
            <v>SAVE10</v>
          </cell>
          <cell r="M1380" t="str">
            <v>Google</v>
          </cell>
          <cell r="N1380">
            <v>2048.2399999999998</v>
          </cell>
        </row>
        <row r="1381">
          <cell r="A1381" t="str">
            <v>ORD200179</v>
          </cell>
          <cell r="B1381">
            <v>45620</v>
          </cell>
          <cell r="C1381" t="str">
            <v>C27401</v>
          </cell>
          <cell r="D1381" t="str">
            <v>Laptop</v>
          </cell>
          <cell r="E1381">
            <v>3</v>
          </cell>
          <cell r="F1381">
            <v>539.91</v>
          </cell>
          <cell r="G1381" t="str">
            <v>500 Main St</v>
          </cell>
          <cell r="H1381" t="str">
            <v>Credit Card</v>
          </cell>
          <cell r="I1381" t="str">
            <v>Delivered</v>
          </cell>
          <cell r="J1381" t="str">
            <v>TRK14332053</v>
          </cell>
          <cell r="K1381">
            <v>8</v>
          </cell>
          <cell r="L1381" t="str">
            <v>No Coupon</v>
          </cell>
          <cell r="M1381" t="str">
            <v>Email</v>
          </cell>
          <cell r="N1381">
            <v>1619.73</v>
          </cell>
        </row>
        <row r="1382">
          <cell r="A1382" t="str">
            <v>ORD200180</v>
          </cell>
          <cell r="B1382">
            <v>45003</v>
          </cell>
          <cell r="C1382" t="str">
            <v>C87216</v>
          </cell>
          <cell r="D1382" t="str">
            <v>Tablet</v>
          </cell>
          <cell r="E1382">
            <v>5</v>
          </cell>
          <cell r="F1382">
            <v>316.07</v>
          </cell>
          <cell r="G1382" t="str">
            <v>970 Main St</v>
          </cell>
          <cell r="H1382" t="str">
            <v>Cash</v>
          </cell>
          <cell r="I1382" t="str">
            <v>Returned</v>
          </cell>
          <cell r="J1382" t="str">
            <v>TRK18713727</v>
          </cell>
          <cell r="K1382">
            <v>10</v>
          </cell>
          <cell r="L1382" t="str">
            <v>No Coupon</v>
          </cell>
          <cell r="M1382" t="str">
            <v>Google</v>
          </cell>
          <cell r="N1382">
            <v>1580.35</v>
          </cell>
        </row>
        <row r="1383">
          <cell r="A1383" t="str">
            <v>ORD200181</v>
          </cell>
          <cell r="B1383">
            <v>45535</v>
          </cell>
          <cell r="C1383" t="str">
            <v>C38966</v>
          </cell>
          <cell r="D1383" t="str">
            <v>Printer</v>
          </cell>
          <cell r="E1383">
            <v>5</v>
          </cell>
          <cell r="F1383">
            <v>404.39</v>
          </cell>
          <cell r="G1383" t="str">
            <v>247 Main St</v>
          </cell>
          <cell r="H1383" t="str">
            <v>Online</v>
          </cell>
          <cell r="I1383" t="str">
            <v>Shipped</v>
          </cell>
          <cell r="J1383" t="str">
            <v>TRK17205146</v>
          </cell>
          <cell r="K1383">
            <v>10</v>
          </cell>
          <cell r="L1383" t="str">
            <v>No Coupon</v>
          </cell>
          <cell r="M1383" t="str">
            <v>Referral</v>
          </cell>
          <cell r="N1383">
            <v>2021.95</v>
          </cell>
        </row>
        <row r="1384">
          <cell r="A1384" t="str">
            <v>ORD200182</v>
          </cell>
          <cell r="B1384">
            <v>45735</v>
          </cell>
          <cell r="C1384" t="str">
            <v>C16612</v>
          </cell>
          <cell r="D1384" t="str">
            <v>Desk</v>
          </cell>
          <cell r="E1384">
            <v>1</v>
          </cell>
          <cell r="F1384">
            <v>600.54</v>
          </cell>
          <cell r="G1384" t="str">
            <v>596 Main St</v>
          </cell>
          <cell r="H1384" t="str">
            <v>Debit Card</v>
          </cell>
          <cell r="I1384" t="str">
            <v>Pending</v>
          </cell>
          <cell r="J1384" t="str">
            <v>TRK96188223</v>
          </cell>
          <cell r="K1384">
            <v>4</v>
          </cell>
          <cell r="L1384" t="str">
            <v>WINTER15</v>
          </cell>
          <cell r="M1384" t="str">
            <v>Google</v>
          </cell>
          <cell r="N1384">
            <v>600.54</v>
          </cell>
        </row>
        <row r="1385">
          <cell r="A1385" t="str">
            <v>ORD200183</v>
          </cell>
          <cell r="B1385">
            <v>45400</v>
          </cell>
          <cell r="C1385" t="str">
            <v>C39246</v>
          </cell>
          <cell r="D1385" t="str">
            <v>Monitor</v>
          </cell>
          <cell r="E1385">
            <v>5</v>
          </cell>
          <cell r="F1385">
            <v>186.28</v>
          </cell>
          <cell r="G1385" t="str">
            <v>258 Main St</v>
          </cell>
          <cell r="H1385" t="str">
            <v>Debit Card</v>
          </cell>
          <cell r="I1385" t="str">
            <v>Delivered</v>
          </cell>
          <cell r="J1385" t="str">
            <v>TRK16658182</v>
          </cell>
          <cell r="K1385">
            <v>8</v>
          </cell>
          <cell r="L1385" t="str">
            <v>SAVE10</v>
          </cell>
          <cell r="M1385" t="str">
            <v>Email</v>
          </cell>
          <cell r="N1385">
            <v>931.4</v>
          </cell>
        </row>
        <row r="1386">
          <cell r="A1386" t="str">
            <v>ORD200184</v>
          </cell>
          <cell r="B1386">
            <v>45386</v>
          </cell>
          <cell r="C1386" t="str">
            <v>C65180</v>
          </cell>
          <cell r="D1386" t="str">
            <v>Tablet</v>
          </cell>
          <cell r="E1386">
            <v>4</v>
          </cell>
          <cell r="F1386">
            <v>214.54</v>
          </cell>
          <cell r="G1386" t="str">
            <v>231 Main St</v>
          </cell>
          <cell r="H1386" t="str">
            <v>Gift Card</v>
          </cell>
          <cell r="I1386" t="str">
            <v>Cancelled</v>
          </cell>
          <cell r="J1386" t="str">
            <v>TRK39255469</v>
          </cell>
          <cell r="K1386">
            <v>7</v>
          </cell>
          <cell r="L1386" t="str">
            <v>No Coupon</v>
          </cell>
          <cell r="M1386" t="str">
            <v>Referral</v>
          </cell>
          <cell r="N1386">
            <v>858.16</v>
          </cell>
        </row>
        <row r="1387">
          <cell r="A1387" t="str">
            <v>ORD200185</v>
          </cell>
          <cell r="B1387">
            <v>45690</v>
          </cell>
          <cell r="C1387" t="str">
            <v>C46877</v>
          </cell>
          <cell r="D1387" t="str">
            <v>Laptop</v>
          </cell>
          <cell r="E1387">
            <v>1</v>
          </cell>
          <cell r="F1387">
            <v>210.7</v>
          </cell>
          <cell r="G1387" t="str">
            <v>572 Main St</v>
          </cell>
          <cell r="H1387" t="str">
            <v>Online</v>
          </cell>
          <cell r="I1387" t="str">
            <v>Shipped</v>
          </cell>
          <cell r="J1387" t="str">
            <v>TRK96935978</v>
          </cell>
          <cell r="K1387">
            <v>2</v>
          </cell>
          <cell r="L1387" t="str">
            <v>WINTER15</v>
          </cell>
          <cell r="M1387" t="str">
            <v>Referral</v>
          </cell>
          <cell r="N1387">
            <v>210.7</v>
          </cell>
        </row>
        <row r="1388">
          <cell r="A1388" t="str">
            <v>ORD200186</v>
          </cell>
          <cell r="B1388">
            <v>45267</v>
          </cell>
          <cell r="C1388" t="str">
            <v>C30334</v>
          </cell>
          <cell r="D1388" t="str">
            <v>Phone</v>
          </cell>
          <cell r="E1388">
            <v>2</v>
          </cell>
          <cell r="F1388">
            <v>133.55000000000001</v>
          </cell>
          <cell r="G1388" t="str">
            <v>322 Main St</v>
          </cell>
          <cell r="H1388" t="str">
            <v>Cash</v>
          </cell>
          <cell r="I1388" t="str">
            <v>Pending</v>
          </cell>
          <cell r="J1388" t="str">
            <v>TRK66388885</v>
          </cell>
          <cell r="K1388">
            <v>7</v>
          </cell>
          <cell r="L1388" t="str">
            <v>FREESHIP</v>
          </cell>
          <cell r="M1388" t="str">
            <v>Facebook</v>
          </cell>
          <cell r="N1388">
            <v>267.10000000000002</v>
          </cell>
        </row>
        <row r="1389">
          <cell r="A1389" t="str">
            <v>ORD200187</v>
          </cell>
          <cell r="B1389">
            <v>44965</v>
          </cell>
          <cell r="C1389" t="str">
            <v>C21227</v>
          </cell>
          <cell r="D1389" t="str">
            <v>Chair</v>
          </cell>
          <cell r="E1389">
            <v>1</v>
          </cell>
          <cell r="F1389">
            <v>590.87</v>
          </cell>
          <cell r="G1389" t="str">
            <v>689 Main St</v>
          </cell>
          <cell r="H1389" t="str">
            <v>Gift Card</v>
          </cell>
          <cell r="I1389" t="str">
            <v>Returned</v>
          </cell>
          <cell r="J1389" t="str">
            <v>TRK79129657</v>
          </cell>
          <cell r="K1389">
            <v>6</v>
          </cell>
          <cell r="L1389" t="str">
            <v>FREESHIP</v>
          </cell>
          <cell r="M1389" t="str">
            <v>Referral</v>
          </cell>
          <cell r="N1389">
            <v>590.87</v>
          </cell>
        </row>
        <row r="1390">
          <cell r="A1390" t="str">
            <v>ORD200188</v>
          </cell>
          <cell r="B1390">
            <v>45731</v>
          </cell>
          <cell r="C1390" t="str">
            <v>C97715</v>
          </cell>
          <cell r="D1390" t="str">
            <v>Chair</v>
          </cell>
          <cell r="E1390">
            <v>2</v>
          </cell>
          <cell r="F1390">
            <v>363.91</v>
          </cell>
          <cell r="G1390" t="str">
            <v>927 Main St</v>
          </cell>
          <cell r="H1390" t="str">
            <v>Gift Card</v>
          </cell>
          <cell r="I1390" t="str">
            <v>Shipped</v>
          </cell>
          <cell r="J1390" t="str">
            <v>TRK19515949</v>
          </cell>
          <cell r="K1390">
            <v>2</v>
          </cell>
          <cell r="L1390" t="str">
            <v>FREESHIP</v>
          </cell>
          <cell r="M1390" t="str">
            <v>Referral</v>
          </cell>
          <cell r="N1390">
            <v>727.82</v>
          </cell>
        </row>
        <row r="1391">
          <cell r="A1391" t="str">
            <v>ORD200189</v>
          </cell>
          <cell r="B1391">
            <v>45112</v>
          </cell>
          <cell r="C1391" t="str">
            <v>C48939</v>
          </cell>
          <cell r="D1391" t="str">
            <v>Printer</v>
          </cell>
          <cell r="E1391">
            <v>5</v>
          </cell>
          <cell r="F1391">
            <v>429.45</v>
          </cell>
          <cell r="G1391" t="str">
            <v>597 Main St</v>
          </cell>
          <cell r="H1391" t="str">
            <v>Gift Card</v>
          </cell>
          <cell r="I1391" t="str">
            <v>Cancelled</v>
          </cell>
          <cell r="J1391" t="str">
            <v>TRK62786764</v>
          </cell>
          <cell r="K1391">
            <v>5</v>
          </cell>
          <cell r="L1391" t="str">
            <v>WINTER15</v>
          </cell>
          <cell r="M1391" t="str">
            <v>Email</v>
          </cell>
          <cell r="N1391">
            <v>2147.25</v>
          </cell>
        </row>
        <row r="1392">
          <cell r="A1392" t="str">
            <v>ORD200190</v>
          </cell>
          <cell r="B1392">
            <v>45535</v>
          </cell>
          <cell r="C1392" t="str">
            <v>C35483</v>
          </cell>
          <cell r="D1392" t="str">
            <v>Printer</v>
          </cell>
          <cell r="E1392">
            <v>3</v>
          </cell>
          <cell r="F1392">
            <v>223.7</v>
          </cell>
          <cell r="G1392" t="str">
            <v>725 Main St</v>
          </cell>
          <cell r="H1392" t="str">
            <v>Cash</v>
          </cell>
          <cell r="I1392" t="str">
            <v>Returned</v>
          </cell>
          <cell r="J1392" t="str">
            <v>TRK79638203</v>
          </cell>
          <cell r="K1392">
            <v>3</v>
          </cell>
          <cell r="L1392" t="str">
            <v>SAVE10</v>
          </cell>
          <cell r="M1392" t="str">
            <v>Email</v>
          </cell>
          <cell r="N1392">
            <v>671.1</v>
          </cell>
        </row>
        <row r="1393">
          <cell r="A1393" t="str">
            <v>ORD200191</v>
          </cell>
          <cell r="B1393">
            <v>45724</v>
          </cell>
          <cell r="C1393" t="str">
            <v>C51494</v>
          </cell>
          <cell r="D1393" t="str">
            <v>Laptop</v>
          </cell>
          <cell r="E1393">
            <v>2</v>
          </cell>
          <cell r="F1393">
            <v>488.87</v>
          </cell>
          <cell r="G1393" t="str">
            <v>505 Main St</v>
          </cell>
          <cell r="H1393" t="str">
            <v>Online</v>
          </cell>
          <cell r="I1393" t="str">
            <v>Cancelled</v>
          </cell>
          <cell r="J1393" t="str">
            <v>TRK58520306</v>
          </cell>
          <cell r="K1393">
            <v>4</v>
          </cell>
          <cell r="L1393" t="str">
            <v>FREESHIP</v>
          </cell>
          <cell r="M1393" t="str">
            <v>Google</v>
          </cell>
          <cell r="N1393">
            <v>977.74</v>
          </cell>
        </row>
        <row r="1394">
          <cell r="A1394" t="str">
            <v>ORD200192</v>
          </cell>
          <cell r="B1394">
            <v>45149</v>
          </cell>
          <cell r="C1394" t="str">
            <v>C58410</v>
          </cell>
          <cell r="D1394" t="str">
            <v>Desk</v>
          </cell>
          <cell r="E1394">
            <v>1</v>
          </cell>
          <cell r="F1394">
            <v>645.46</v>
          </cell>
          <cell r="G1394" t="str">
            <v>151 Main St</v>
          </cell>
          <cell r="H1394" t="str">
            <v>Gift Card</v>
          </cell>
          <cell r="I1394" t="str">
            <v>Cancelled</v>
          </cell>
          <cell r="J1394" t="str">
            <v>TRK19749672</v>
          </cell>
          <cell r="K1394">
            <v>5</v>
          </cell>
          <cell r="L1394" t="str">
            <v>SAVE10</v>
          </cell>
          <cell r="M1394" t="str">
            <v>Google</v>
          </cell>
          <cell r="N1394">
            <v>645.46</v>
          </cell>
        </row>
        <row r="1395">
          <cell r="A1395" t="str">
            <v>ORD200193</v>
          </cell>
          <cell r="B1395">
            <v>45128</v>
          </cell>
          <cell r="C1395" t="str">
            <v>C11644</v>
          </cell>
          <cell r="D1395" t="str">
            <v>Printer</v>
          </cell>
          <cell r="E1395">
            <v>1</v>
          </cell>
          <cell r="F1395">
            <v>46.66</v>
          </cell>
          <cell r="G1395" t="str">
            <v>429 Main St</v>
          </cell>
          <cell r="H1395" t="str">
            <v>Cash</v>
          </cell>
          <cell r="I1395" t="str">
            <v>Cancelled</v>
          </cell>
          <cell r="J1395" t="str">
            <v>TRK81320339</v>
          </cell>
          <cell r="K1395">
            <v>6</v>
          </cell>
          <cell r="L1395" t="str">
            <v>No Coupon</v>
          </cell>
          <cell r="M1395" t="str">
            <v>Google</v>
          </cell>
          <cell r="N1395">
            <v>46.66</v>
          </cell>
        </row>
        <row r="1396">
          <cell r="A1396" t="str">
            <v>ORD200194</v>
          </cell>
          <cell r="B1396">
            <v>45451</v>
          </cell>
          <cell r="C1396" t="str">
            <v>C53501</v>
          </cell>
          <cell r="D1396" t="str">
            <v>Monitor</v>
          </cell>
          <cell r="E1396">
            <v>1</v>
          </cell>
          <cell r="F1396">
            <v>249.57</v>
          </cell>
          <cell r="G1396" t="str">
            <v>899 Main St</v>
          </cell>
          <cell r="H1396" t="str">
            <v>Cash</v>
          </cell>
          <cell r="I1396" t="str">
            <v>Shipped</v>
          </cell>
          <cell r="J1396" t="str">
            <v>TRK90144892</v>
          </cell>
          <cell r="K1396">
            <v>3</v>
          </cell>
          <cell r="L1396" t="str">
            <v>FREESHIP</v>
          </cell>
          <cell r="M1396" t="str">
            <v>Google</v>
          </cell>
          <cell r="N1396">
            <v>249.57</v>
          </cell>
        </row>
        <row r="1397">
          <cell r="A1397" t="str">
            <v>ORD200195</v>
          </cell>
          <cell r="B1397">
            <v>45404</v>
          </cell>
          <cell r="C1397" t="str">
            <v>C63619</v>
          </cell>
          <cell r="D1397" t="str">
            <v>Chair</v>
          </cell>
          <cell r="E1397">
            <v>3</v>
          </cell>
          <cell r="F1397">
            <v>619.21</v>
          </cell>
          <cell r="G1397" t="str">
            <v>801 Main St</v>
          </cell>
          <cell r="H1397" t="str">
            <v>Debit Card</v>
          </cell>
          <cell r="I1397" t="str">
            <v>Cancelled</v>
          </cell>
          <cell r="J1397" t="str">
            <v>TRK65385674</v>
          </cell>
          <cell r="K1397">
            <v>6</v>
          </cell>
          <cell r="L1397" t="str">
            <v>No Coupon</v>
          </cell>
          <cell r="M1397" t="str">
            <v>Email</v>
          </cell>
          <cell r="N1397">
            <v>1857.63</v>
          </cell>
        </row>
        <row r="1398">
          <cell r="A1398" t="str">
            <v>ORD200196</v>
          </cell>
          <cell r="B1398">
            <v>45681</v>
          </cell>
          <cell r="C1398" t="str">
            <v>C40882</v>
          </cell>
          <cell r="D1398" t="str">
            <v>Desk</v>
          </cell>
          <cell r="E1398">
            <v>4</v>
          </cell>
          <cell r="F1398">
            <v>217.13</v>
          </cell>
          <cell r="G1398" t="str">
            <v>719 Main St</v>
          </cell>
          <cell r="H1398" t="str">
            <v>Cash</v>
          </cell>
          <cell r="I1398" t="str">
            <v>Delivered</v>
          </cell>
          <cell r="J1398" t="str">
            <v>TRK64165503</v>
          </cell>
          <cell r="K1398">
            <v>8</v>
          </cell>
          <cell r="L1398" t="str">
            <v>WINTER15</v>
          </cell>
          <cell r="M1398" t="str">
            <v>Email</v>
          </cell>
          <cell r="N1398">
            <v>868.52</v>
          </cell>
        </row>
        <row r="1399">
          <cell r="A1399" t="str">
            <v>ORD200197</v>
          </cell>
          <cell r="B1399">
            <v>45165</v>
          </cell>
          <cell r="C1399" t="str">
            <v>C80135</v>
          </cell>
          <cell r="D1399" t="str">
            <v>Laptop</v>
          </cell>
          <cell r="E1399">
            <v>5</v>
          </cell>
          <cell r="F1399">
            <v>221.51</v>
          </cell>
          <cell r="G1399" t="str">
            <v>723 Main St</v>
          </cell>
          <cell r="H1399" t="str">
            <v>Cash</v>
          </cell>
          <cell r="I1399" t="str">
            <v>Returned</v>
          </cell>
          <cell r="J1399" t="str">
            <v>TRK95222269</v>
          </cell>
          <cell r="K1399">
            <v>5</v>
          </cell>
          <cell r="L1399" t="str">
            <v>WINTER15</v>
          </cell>
          <cell r="M1399" t="str">
            <v>Referral</v>
          </cell>
          <cell r="N1399">
            <v>1107.55</v>
          </cell>
        </row>
        <row r="1400">
          <cell r="A1400" t="str">
            <v>ORD200198</v>
          </cell>
          <cell r="B1400">
            <v>45454</v>
          </cell>
          <cell r="C1400" t="str">
            <v>C37594</v>
          </cell>
          <cell r="D1400" t="str">
            <v>Laptop</v>
          </cell>
          <cell r="E1400">
            <v>4</v>
          </cell>
          <cell r="F1400">
            <v>340.3</v>
          </cell>
          <cell r="G1400" t="str">
            <v>926 Main St</v>
          </cell>
          <cell r="H1400" t="str">
            <v>Cash</v>
          </cell>
          <cell r="I1400" t="str">
            <v>Cancelled</v>
          </cell>
          <cell r="J1400" t="str">
            <v>TRK94405162</v>
          </cell>
          <cell r="K1400">
            <v>8</v>
          </cell>
          <cell r="L1400" t="str">
            <v>SAVE10</v>
          </cell>
          <cell r="M1400" t="str">
            <v>Referral</v>
          </cell>
          <cell r="N1400">
            <v>1361.2</v>
          </cell>
        </row>
        <row r="1401">
          <cell r="A1401" t="str">
            <v>ORD200199</v>
          </cell>
          <cell r="B1401">
            <v>45680</v>
          </cell>
          <cell r="C1401" t="str">
            <v>C87524</v>
          </cell>
          <cell r="D1401" t="str">
            <v>Phone</v>
          </cell>
          <cell r="E1401">
            <v>1</v>
          </cell>
          <cell r="F1401">
            <v>625</v>
          </cell>
          <cell r="G1401" t="str">
            <v>358 Main St</v>
          </cell>
          <cell r="H1401" t="str">
            <v>Online</v>
          </cell>
          <cell r="I1401" t="str">
            <v>Returned</v>
          </cell>
          <cell r="J1401" t="str">
            <v>TRK21114341</v>
          </cell>
          <cell r="K1401">
            <v>5</v>
          </cell>
          <cell r="L1401" t="str">
            <v>WINTER15</v>
          </cell>
          <cell r="M1401" t="str">
            <v>Google</v>
          </cell>
          <cell r="N1401">
            <v>625</v>
          </cell>
        </row>
        <row r="1402">
          <cell r="A1402" t="str">
            <v>ORD200200</v>
          </cell>
          <cell r="B1402">
            <v>45815</v>
          </cell>
          <cell r="C1402" t="str">
            <v>C97681</v>
          </cell>
          <cell r="D1402" t="str">
            <v>Tablet</v>
          </cell>
          <cell r="E1402">
            <v>5</v>
          </cell>
          <cell r="F1402">
            <v>433.26</v>
          </cell>
          <cell r="G1402" t="str">
            <v>895 Main St</v>
          </cell>
          <cell r="H1402" t="str">
            <v>Credit Card</v>
          </cell>
          <cell r="I1402" t="str">
            <v>Delivered</v>
          </cell>
          <cell r="J1402" t="str">
            <v>TRK37531040</v>
          </cell>
          <cell r="K1402">
            <v>9</v>
          </cell>
          <cell r="L1402" t="str">
            <v>SAVE10</v>
          </cell>
          <cell r="M1402" t="str">
            <v>Google</v>
          </cell>
          <cell r="N1402">
            <v>2166.3000000000002</v>
          </cell>
        </row>
        <row r="1403">
          <cell r="A1403" t="str">
            <v>ORD200201</v>
          </cell>
          <cell r="B1403">
            <v>45095</v>
          </cell>
          <cell r="C1403" t="str">
            <v>C10126</v>
          </cell>
          <cell r="D1403" t="str">
            <v>Monitor</v>
          </cell>
          <cell r="E1403">
            <v>2</v>
          </cell>
          <cell r="F1403">
            <v>674.9</v>
          </cell>
          <cell r="G1403" t="str">
            <v>146 Main St</v>
          </cell>
          <cell r="H1403" t="str">
            <v>Online</v>
          </cell>
          <cell r="I1403" t="str">
            <v>Shipped</v>
          </cell>
          <cell r="J1403" t="str">
            <v>TRK75607531</v>
          </cell>
          <cell r="K1403">
            <v>4</v>
          </cell>
          <cell r="L1403" t="str">
            <v>SAVE10</v>
          </cell>
          <cell r="M1403" t="str">
            <v>Facebook</v>
          </cell>
          <cell r="N1403">
            <v>1349.8</v>
          </cell>
        </row>
        <row r="1404">
          <cell r="A1404" t="str">
            <v>ORD200202</v>
          </cell>
          <cell r="B1404">
            <v>45694</v>
          </cell>
          <cell r="C1404" t="str">
            <v>C36938</v>
          </cell>
          <cell r="D1404" t="str">
            <v>Monitor</v>
          </cell>
          <cell r="E1404">
            <v>3</v>
          </cell>
          <cell r="F1404">
            <v>253.98</v>
          </cell>
          <cell r="G1404" t="str">
            <v>636 Main St</v>
          </cell>
          <cell r="H1404" t="str">
            <v>Credit Card</v>
          </cell>
          <cell r="I1404" t="str">
            <v>Cancelled</v>
          </cell>
          <cell r="J1404" t="str">
            <v>TRK52522904</v>
          </cell>
          <cell r="K1404">
            <v>3</v>
          </cell>
          <cell r="L1404" t="str">
            <v>FREESHIP</v>
          </cell>
          <cell r="M1404" t="str">
            <v>Email</v>
          </cell>
          <cell r="N1404">
            <v>761.94</v>
          </cell>
        </row>
        <row r="1405">
          <cell r="A1405" t="str">
            <v>ORD200203</v>
          </cell>
          <cell r="B1405">
            <v>45678</v>
          </cell>
          <cell r="C1405" t="str">
            <v>C99173</v>
          </cell>
          <cell r="D1405" t="str">
            <v>Printer</v>
          </cell>
          <cell r="E1405">
            <v>3</v>
          </cell>
          <cell r="F1405">
            <v>356.84</v>
          </cell>
          <cell r="G1405" t="str">
            <v>172 Main St</v>
          </cell>
          <cell r="H1405" t="str">
            <v>Online</v>
          </cell>
          <cell r="I1405" t="str">
            <v>Shipped</v>
          </cell>
          <cell r="J1405" t="str">
            <v>TRK89849342</v>
          </cell>
          <cell r="K1405">
            <v>5</v>
          </cell>
          <cell r="L1405" t="str">
            <v>SAVE10</v>
          </cell>
          <cell r="M1405" t="str">
            <v>Instagram</v>
          </cell>
          <cell r="N1405">
            <v>1070.52</v>
          </cell>
        </row>
        <row r="1406">
          <cell r="A1406" t="str">
            <v>ORD200204</v>
          </cell>
          <cell r="B1406">
            <v>45174</v>
          </cell>
          <cell r="C1406" t="str">
            <v>C99775</v>
          </cell>
          <cell r="D1406" t="str">
            <v>Laptop</v>
          </cell>
          <cell r="E1406">
            <v>4</v>
          </cell>
          <cell r="F1406">
            <v>413.71</v>
          </cell>
          <cell r="G1406" t="str">
            <v>478 Main St</v>
          </cell>
          <cell r="H1406" t="str">
            <v>Gift Card</v>
          </cell>
          <cell r="I1406" t="str">
            <v>Cancelled</v>
          </cell>
          <cell r="J1406" t="str">
            <v>TRK21638425</v>
          </cell>
          <cell r="K1406">
            <v>9</v>
          </cell>
          <cell r="L1406" t="str">
            <v>FREESHIP</v>
          </cell>
          <cell r="M1406" t="str">
            <v>Facebook</v>
          </cell>
          <cell r="N1406">
            <v>1654.84</v>
          </cell>
        </row>
        <row r="1407">
          <cell r="A1407" t="str">
            <v>ORD200205</v>
          </cell>
          <cell r="B1407">
            <v>44989</v>
          </cell>
          <cell r="C1407" t="str">
            <v>C19266</v>
          </cell>
          <cell r="D1407" t="str">
            <v>Desk</v>
          </cell>
          <cell r="E1407">
            <v>3</v>
          </cell>
          <cell r="F1407">
            <v>147.38999999999999</v>
          </cell>
          <cell r="G1407" t="str">
            <v>609 Main St</v>
          </cell>
          <cell r="H1407" t="str">
            <v>Debit Card</v>
          </cell>
          <cell r="I1407" t="str">
            <v>Returned</v>
          </cell>
          <cell r="J1407" t="str">
            <v>TRK58357269</v>
          </cell>
          <cell r="K1407">
            <v>3</v>
          </cell>
          <cell r="L1407" t="str">
            <v>No Coupon</v>
          </cell>
          <cell r="M1407" t="str">
            <v>Email</v>
          </cell>
          <cell r="N1407">
            <v>442.17</v>
          </cell>
        </row>
        <row r="1408">
          <cell r="A1408" t="str">
            <v>ORD200206</v>
          </cell>
          <cell r="B1408">
            <v>45398</v>
          </cell>
          <cell r="C1408" t="str">
            <v>C31072</v>
          </cell>
          <cell r="D1408" t="str">
            <v>Laptop</v>
          </cell>
          <cell r="E1408">
            <v>4</v>
          </cell>
          <cell r="F1408">
            <v>229.1</v>
          </cell>
          <cell r="G1408" t="str">
            <v>729 Main St</v>
          </cell>
          <cell r="H1408" t="str">
            <v>Gift Card</v>
          </cell>
          <cell r="I1408" t="str">
            <v>Returned</v>
          </cell>
          <cell r="J1408" t="str">
            <v>TRK77172975</v>
          </cell>
          <cell r="K1408">
            <v>8</v>
          </cell>
          <cell r="L1408" t="str">
            <v>WINTER15</v>
          </cell>
          <cell r="M1408" t="str">
            <v>Email</v>
          </cell>
          <cell r="N1408">
            <v>916.4</v>
          </cell>
        </row>
        <row r="1409">
          <cell r="A1409" t="str">
            <v>ORD200207</v>
          </cell>
          <cell r="B1409">
            <v>45734</v>
          </cell>
          <cell r="C1409" t="str">
            <v>C54595</v>
          </cell>
          <cell r="D1409" t="str">
            <v>Phone</v>
          </cell>
          <cell r="E1409">
            <v>1</v>
          </cell>
          <cell r="F1409">
            <v>121.96</v>
          </cell>
          <cell r="G1409" t="str">
            <v>999 Main St</v>
          </cell>
          <cell r="H1409" t="str">
            <v>Debit Card</v>
          </cell>
          <cell r="I1409" t="str">
            <v>Delivered</v>
          </cell>
          <cell r="J1409" t="str">
            <v>TRK44416659</v>
          </cell>
          <cell r="K1409">
            <v>3</v>
          </cell>
          <cell r="L1409" t="str">
            <v>No Coupon</v>
          </cell>
          <cell r="M1409" t="str">
            <v>Google</v>
          </cell>
          <cell r="N1409">
            <v>121.96</v>
          </cell>
        </row>
        <row r="1410">
          <cell r="A1410" t="str">
            <v>ORD200208</v>
          </cell>
          <cell r="B1410">
            <v>45573</v>
          </cell>
          <cell r="C1410" t="str">
            <v>C87777</v>
          </cell>
          <cell r="D1410" t="str">
            <v>Desk</v>
          </cell>
          <cell r="E1410">
            <v>2</v>
          </cell>
          <cell r="F1410">
            <v>408.32</v>
          </cell>
          <cell r="G1410" t="str">
            <v>597 Main St</v>
          </cell>
          <cell r="H1410" t="str">
            <v>Online</v>
          </cell>
          <cell r="I1410" t="str">
            <v>Shipped</v>
          </cell>
          <cell r="J1410" t="str">
            <v>TRK29003608</v>
          </cell>
          <cell r="K1410">
            <v>3</v>
          </cell>
          <cell r="L1410" t="str">
            <v>FREESHIP</v>
          </cell>
          <cell r="M1410" t="str">
            <v>Facebook</v>
          </cell>
          <cell r="N1410">
            <v>816.64</v>
          </cell>
        </row>
        <row r="1411">
          <cell r="A1411" t="str">
            <v>ORD200209</v>
          </cell>
          <cell r="B1411">
            <v>45167</v>
          </cell>
          <cell r="C1411" t="str">
            <v>C35854</v>
          </cell>
          <cell r="D1411" t="str">
            <v>Tablet</v>
          </cell>
          <cell r="E1411">
            <v>5</v>
          </cell>
          <cell r="F1411">
            <v>187.97</v>
          </cell>
          <cell r="G1411" t="str">
            <v>706 Main St</v>
          </cell>
          <cell r="H1411" t="str">
            <v>Cash</v>
          </cell>
          <cell r="I1411" t="str">
            <v>Returned</v>
          </cell>
          <cell r="J1411" t="str">
            <v>TRK30615168</v>
          </cell>
          <cell r="K1411">
            <v>9</v>
          </cell>
          <cell r="L1411" t="str">
            <v>SAVE10</v>
          </cell>
          <cell r="M1411" t="str">
            <v>Google</v>
          </cell>
          <cell r="N1411">
            <v>939.85</v>
          </cell>
        </row>
        <row r="1412">
          <cell r="A1412" t="str">
            <v>ORD200210</v>
          </cell>
          <cell r="B1412">
            <v>45631</v>
          </cell>
          <cell r="C1412" t="str">
            <v>C93821</v>
          </cell>
          <cell r="D1412" t="str">
            <v>Chair</v>
          </cell>
          <cell r="E1412">
            <v>3</v>
          </cell>
          <cell r="F1412">
            <v>358.48</v>
          </cell>
          <cell r="G1412" t="str">
            <v>513 Main St</v>
          </cell>
          <cell r="H1412" t="str">
            <v>Gift Card</v>
          </cell>
          <cell r="I1412" t="str">
            <v>Delivered</v>
          </cell>
          <cell r="J1412" t="str">
            <v>TRK10658539</v>
          </cell>
          <cell r="K1412">
            <v>7</v>
          </cell>
          <cell r="L1412" t="str">
            <v>FREESHIP</v>
          </cell>
          <cell r="M1412" t="str">
            <v>Facebook</v>
          </cell>
          <cell r="N1412">
            <v>1075.44</v>
          </cell>
        </row>
        <row r="1413">
          <cell r="A1413" t="str">
            <v>ORD200211</v>
          </cell>
          <cell r="B1413">
            <v>45660</v>
          </cell>
          <cell r="C1413" t="str">
            <v>C54390</v>
          </cell>
          <cell r="D1413" t="str">
            <v>Printer</v>
          </cell>
          <cell r="E1413">
            <v>3</v>
          </cell>
          <cell r="F1413">
            <v>193.58</v>
          </cell>
          <cell r="G1413" t="str">
            <v>185 Main St</v>
          </cell>
          <cell r="H1413" t="str">
            <v>Gift Card</v>
          </cell>
          <cell r="I1413" t="str">
            <v>Pending</v>
          </cell>
          <cell r="J1413" t="str">
            <v>TRK83853742</v>
          </cell>
          <cell r="K1413">
            <v>7</v>
          </cell>
          <cell r="L1413" t="str">
            <v>FREESHIP</v>
          </cell>
          <cell r="M1413" t="str">
            <v>Email</v>
          </cell>
          <cell r="N1413">
            <v>580.74</v>
          </cell>
        </row>
        <row r="1414">
          <cell r="A1414" t="str">
            <v>ORD200212</v>
          </cell>
          <cell r="B1414">
            <v>45097</v>
          </cell>
          <cell r="C1414" t="str">
            <v>C53215</v>
          </cell>
          <cell r="D1414" t="str">
            <v>Monitor</v>
          </cell>
          <cell r="E1414">
            <v>1</v>
          </cell>
          <cell r="F1414">
            <v>265.38</v>
          </cell>
          <cell r="G1414" t="str">
            <v>367 Main St</v>
          </cell>
          <cell r="H1414" t="str">
            <v>Credit Card</v>
          </cell>
          <cell r="I1414" t="str">
            <v>Cancelled</v>
          </cell>
          <cell r="J1414" t="str">
            <v>TRK34751835</v>
          </cell>
          <cell r="K1414">
            <v>6</v>
          </cell>
          <cell r="L1414" t="str">
            <v>WINTER15</v>
          </cell>
          <cell r="M1414" t="str">
            <v>Email</v>
          </cell>
          <cell r="N1414">
            <v>265.38</v>
          </cell>
        </row>
        <row r="1415">
          <cell r="A1415" t="str">
            <v>ORD200213</v>
          </cell>
          <cell r="B1415">
            <v>45036</v>
          </cell>
          <cell r="C1415" t="str">
            <v>C71122</v>
          </cell>
          <cell r="D1415" t="str">
            <v>Laptop</v>
          </cell>
          <cell r="E1415">
            <v>1</v>
          </cell>
          <cell r="F1415">
            <v>634.4</v>
          </cell>
          <cell r="G1415" t="str">
            <v>317 Main St</v>
          </cell>
          <cell r="H1415" t="str">
            <v>Cash</v>
          </cell>
          <cell r="I1415" t="str">
            <v>Cancelled</v>
          </cell>
          <cell r="J1415" t="str">
            <v>TRK54757882</v>
          </cell>
          <cell r="K1415">
            <v>6</v>
          </cell>
          <cell r="L1415" t="str">
            <v>SAVE10</v>
          </cell>
          <cell r="M1415" t="str">
            <v>Email</v>
          </cell>
          <cell r="N1415">
            <v>634.4</v>
          </cell>
        </row>
        <row r="1416">
          <cell r="A1416" t="str">
            <v>ORD200214</v>
          </cell>
          <cell r="B1416">
            <v>45525</v>
          </cell>
          <cell r="C1416" t="str">
            <v>C29483</v>
          </cell>
          <cell r="D1416" t="str">
            <v>Desk</v>
          </cell>
          <cell r="E1416">
            <v>4</v>
          </cell>
          <cell r="F1416">
            <v>305.72000000000003</v>
          </cell>
          <cell r="G1416" t="str">
            <v>673 Main St</v>
          </cell>
          <cell r="H1416" t="str">
            <v>Online</v>
          </cell>
          <cell r="I1416" t="str">
            <v>Delivered</v>
          </cell>
          <cell r="J1416" t="str">
            <v>TRK89423603</v>
          </cell>
          <cell r="K1416">
            <v>5</v>
          </cell>
          <cell r="L1416" t="str">
            <v>No Coupon</v>
          </cell>
          <cell r="M1416" t="str">
            <v>Facebook</v>
          </cell>
          <cell r="N1416">
            <v>1222.8800000000001</v>
          </cell>
        </row>
        <row r="1417">
          <cell r="A1417" t="str">
            <v>ORD200215</v>
          </cell>
          <cell r="B1417">
            <v>45148</v>
          </cell>
          <cell r="C1417" t="str">
            <v>C26767</v>
          </cell>
          <cell r="D1417" t="str">
            <v>Printer</v>
          </cell>
          <cell r="E1417">
            <v>1</v>
          </cell>
          <cell r="F1417">
            <v>303.60000000000002</v>
          </cell>
          <cell r="G1417" t="str">
            <v>432 Main St</v>
          </cell>
          <cell r="H1417" t="str">
            <v>Cash</v>
          </cell>
          <cell r="I1417" t="str">
            <v>Shipped</v>
          </cell>
          <cell r="J1417" t="str">
            <v>TRK24585307</v>
          </cell>
          <cell r="K1417">
            <v>5</v>
          </cell>
          <cell r="L1417" t="str">
            <v>FREESHIP</v>
          </cell>
          <cell r="M1417" t="str">
            <v>Facebook</v>
          </cell>
          <cell r="N1417">
            <v>303.60000000000002</v>
          </cell>
        </row>
        <row r="1418">
          <cell r="A1418" t="str">
            <v>ORD200216</v>
          </cell>
          <cell r="B1418">
            <v>45762</v>
          </cell>
          <cell r="C1418" t="str">
            <v>C70492</v>
          </cell>
          <cell r="D1418" t="str">
            <v>Monitor</v>
          </cell>
          <cell r="E1418">
            <v>4</v>
          </cell>
          <cell r="F1418">
            <v>496</v>
          </cell>
          <cell r="G1418" t="str">
            <v>811 Main St</v>
          </cell>
          <cell r="H1418" t="str">
            <v>Online</v>
          </cell>
          <cell r="I1418" t="str">
            <v>Cancelled</v>
          </cell>
          <cell r="J1418" t="str">
            <v>TRK84625405</v>
          </cell>
          <cell r="K1418">
            <v>8</v>
          </cell>
          <cell r="L1418" t="str">
            <v>WINTER15</v>
          </cell>
          <cell r="M1418" t="str">
            <v>Google</v>
          </cell>
          <cell r="N1418">
            <v>1984</v>
          </cell>
        </row>
        <row r="1419">
          <cell r="A1419" t="str">
            <v>ORD200217</v>
          </cell>
          <cell r="B1419">
            <v>45432</v>
          </cell>
          <cell r="C1419" t="str">
            <v>C61549</v>
          </cell>
          <cell r="D1419" t="str">
            <v>Desk</v>
          </cell>
          <cell r="E1419">
            <v>4</v>
          </cell>
          <cell r="F1419">
            <v>321.51</v>
          </cell>
          <cell r="G1419" t="str">
            <v>908 Main St</v>
          </cell>
          <cell r="H1419" t="str">
            <v>Cash</v>
          </cell>
          <cell r="I1419" t="str">
            <v>Returned</v>
          </cell>
          <cell r="J1419" t="str">
            <v>TRK65596914</v>
          </cell>
          <cell r="K1419">
            <v>9</v>
          </cell>
          <cell r="L1419" t="str">
            <v>No Coupon</v>
          </cell>
          <cell r="M1419" t="str">
            <v>Google</v>
          </cell>
          <cell r="N1419">
            <v>1286.04</v>
          </cell>
        </row>
        <row r="1420">
          <cell r="A1420" t="str">
            <v>ORD200218</v>
          </cell>
          <cell r="B1420">
            <v>45044</v>
          </cell>
          <cell r="C1420" t="str">
            <v>C11665</v>
          </cell>
          <cell r="D1420" t="str">
            <v>Tablet</v>
          </cell>
          <cell r="E1420">
            <v>3</v>
          </cell>
          <cell r="F1420">
            <v>112.46</v>
          </cell>
          <cell r="G1420" t="str">
            <v>882 Main St</v>
          </cell>
          <cell r="H1420" t="str">
            <v>Gift Card</v>
          </cell>
          <cell r="I1420" t="str">
            <v>Shipped</v>
          </cell>
          <cell r="J1420" t="str">
            <v>TRK10993930</v>
          </cell>
          <cell r="K1420">
            <v>6</v>
          </cell>
          <cell r="L1420" t="str">
            <v>SAVE10</v>
          </cell>
          <cell r="M1420" t="str">
            <v>Instagram</v>
          </cell>
          <cell r="N1420">
            <v>337.38</v>
          </cell>
        </row>
        <row r="1421">
          <cell r="A1421" t="str">
            <v>ORD200219</v>
          </cell>
          <cell r="B1421">
            <v>45779</v>
          </cell>
          <cell r="C1421" t="str">
            <v>C48946</v>
          </cell>
          <cell r="D1421" t="str">
            <v>Laptop</v>
          </cell>
          <cell r="E1421">
            <v>5</v>
          </cell>
          <cell r="F1421">
            <v>61.97</v>
          </cell>
          <cell r="G1421" t="str">
            <v>457 Main St</v>
          </cell>
          <cell r="H1421" t="str">
            <v>Cash</v>
          </cell>
          <cell r="I1421" t="str">
            <v>Delivered</v>
          </cell>
          <cell r="J1421" t="str">
            <v>TRK99387220</v>
          </cell>
          <cell r="K1421">
            <v>6</v>
          </cell>
          <cell r="L1421" t="str">
            <v>SAVE10</v>
          </cell>
          <cell r="M1421" t="str">
            <v>Email</v>
          </cell>
          <cell r="N1421">
            <v>309.85000000000002</v>
          </cell>
        </row>
        <row r="1422">
          <cell r="A1422" t="str">
            <v>ORD200220</v>
          </cell>
          <cell r="B1422">
            <v>45125</v>
          </cell>
          <cell r="C1422" t="str">
            <v>C79506</v>
          </cell>
          <cell r="D1422" t="str">
            <v>Laptop</v>
          </cell>
          <cell r="E1422">
            <v>2</v>
          </cell>
          <cell r="F1422">
            <v>373.17</v>
          </cell>
          <cell r="G1422" t="str">
            <v>497 Main St</v>
          </cell>
          <cell r="H1422" t="str">
            <v>Credit Card</v>
          </cell>
          <cell r="I1422" t="str">
            <v>Pending</v>
          </cell>
          <cell r="J1422" t="str">
            <v>TRK95188748</v>
          </cell>
          <cell r="K1422">
            <v>6</v>
          </cell>
          <cell r="L1422" t="str">
            <v>SAVE10</v>
          </cell>
          <cell r="M1422" t="str">
            <v>Referral</v>
          </cell>
          <cell r="N1422">
            <v>746.34</v>
          </cell>
        </row>
        <row r="1423">
          <cell r="A1423" t="str">
            <v>ORD200221</v>
          </cell>
          <cell r="B1423">
            <v>45345</v>
          </cell>
          <cell r="C1423" t="str">
            <v>C93473</v>
          </cell>
          <cell r="D1423" t="str">
            <v>Tablet</v>
          </cell>
          <cell r="E1423">
            <v>5</v>
          </cell>
          <cell r="F1423">
            <v>639.37</v>
          </cell>
          <cell r="G1423" t="str">
            <v>552 Main St</v>
          </cell>
          <cell r="H1423" t="str">
            <v>Debit Card</v>
          </cell>
          <cell r="I1423" t="str">
            <v>Pending</v>
          </cell>
          <cell r="J1423" t="str">
            <v>TRK50003989</v>
          </cell>
          <cell r="K1423">
            <v>6</v>
          </cell>
          <cell r="L1423" t="str">
            <v>SAVE10</v>
          </cell>
          <cell r="M1423" t="str">
            <v>Google</v>
          </cell>
          <cell r="N1423">
            <v>3196.85</v>
          </cell>
        </row>
        <row r="1424">
          <cell r="A1424" t="str">
            <v>ORD200222</v>
          </cell>
          <cell r="B1424">
            <v>45050</v>
          </cell>
          <cell r="C1424" t="str">
            <v>C43124</v>
          </cell>
          <cell r="D1424" t="str">
            <v>Chair</v>
          </cell>
          <cell r="E1424">
            <v>4</v>
          </cell>
          <cell r="F1424">
            <v>693.36</v>
          </cell>
          <cell r="G1424" t="str">
            <v>931 Main St</v>
          </cell>
          <cell r="H1424" t="str">
            <v>Online</v>
          </cell>
          <cell r="I1424" t="str">
            <v>Shipped</v>
          </cell>
          <cell r="J1424" t="str">
            <v>TRK17293348</v>
          </cell>
          <cell r="K1424">
            <v>8</v>
          </cell>
          <cell r="L1424" t="str">
            <v>No Coupon</v>
          </cell>
          <cell r="M1424" t="str">
            <v>Instagram</v>
          </cell>
          <cell r="N1424">
            <v>2773.44</v>
          </cell>
        </row>
        <row r="1425">
          <cell r="A1425" t="str">
            <v>ORD200223</v>
          </cell>
          <cell r="B1425">
            <v>45546</v>
          </cell>
          <cell r="C1425" t="str">
            <v>C22783</v>
          </cell>
          <cell r="D1425" t="str">
            <v>Phone</v>
          </cell>
          <cell r="E1425">
            <v>4</v>
          </cell>
          <cell r="F1425">
            <v>692.91</v>
          </cell>
          <cell r="G1425" t="str">
            <v>673 Main St</v>
          </cell>
          <cell r="H1425" t="str">
            <v>Credit Card</v>
          </cell>
          <cell r="I1425" t="str">
            <v>Pending</v>
          </cell>
          <cell r="J1425" t="str">
            <v>TRK55009149</v>
          </cell>
          <cell r="K1425">
            <v>9</v>
          </cell>
          <cell r="L1425" t="str">
            <v>SAVE10</v>
          </cell>
          <cell r="M1425" t="str">
            <v>Instagram</v>
          </cell>
          <cell r="N1425">
            <v>2771.64</v>
          </cell>
        </row>
        <row r="1426">
          <cell r="A1426" t="str">
            <v>ORD200224</v>
          </cell>
          <cell r="B1426">
            <v>45192</v>
          </cell>
          <cell r="C1426" t="str">
            <v>C18567</v>
          </cell>
          <cell r="D1426" t="str">
            <v>Printer</v>
          </cell>
          <cell r="E1426">
            <v>4</v>
          </cell>
          <cell r="F1426">
            <v>91.46</v>
          </cell>
          <cell r="G1426" t="str">
            <v>507 Main St</v>
          </cell>
          <cell r="H1426" t="str">
            <v>Cash</v>
          </cell>
          <cell r="I1426" t="str">
            <v>Cancelled</v>
          </cell>
          <cell r="J1426" t="str">
            <v>TRK17554673</v>
          </cell>
          <cell r="K1426">
            <v>9</v>
          </cell>
          <cell r="L1426" t="str">
            <v>SAVE10</v>
          </cell>
          <cell r="M1426" t="str">
            <v>Referral</v>
          </cell>
          <cell r="N1426">
            <v>365.84</v>
          </cell>
        </row>
        <row r="1427">
          <cell r="A1427" t="str">
            <v>ORD200225</v>
          </cell>
          <cell r="B1427">
            <v>45364</v>
          </cell>
          <cell r="C1427" t="str">
            <v>C99879</v>
          </cell>
          <cell r="D1427" t="str">
            <v>Phone</v>
          </cell>
          <cell r="E1427">
            <v>3</v>
          </cell>
          <cell r="F1427">
            <v>273.95999999999998</v>
          </cell>
          <cell r="G1427" t="str">
            <v>692 Main St</v>
          </cell>
          <cell r="H1427" t="str">
            <v>Debit Card</v>
          </cell>
          <cell r="I1427" t="str">
            <v>Returned</v>
          </cell>
          <cell r="J1427" t="str">
            <v>TRK50246700</v>
          </cell>
          <cell r="K1427">
            <v>8</v>
          </cell>
          <cell r="L1427" t="str">
            <v>SAVE10</v>
          </cell>
          <cell r="M1427" t="str">
            <v>Google</v>
          </cell>
          <cell r="N1427">
            <v>821.88</v>
          </cell>
        </row>
        <row r="1428">
          <cell r="A1428" t="str">
            <v>ORD200226</v>
          </cell>
          <cell r="B1428">
            <v>45835</v>
          </cell>
          <cell r="C1428" t="str">
            <v>C31501</v>
          </cell>
          <cell r="D1428" t="str">
            <v>Desk</v>
          </cell>
          <cell r="E1428">
            <v>3</v>
          </cell>
          <cell r="F1428">
            <v>588.04999999999995</v>
          </cell>
          <cell r="G1428" t="str">
            <v>242 Main St</v>
          </cell>
          <cell r="H1428" t="str">
            <v>Gift Card</v>
          </cell>
          <cell r="I1428" t="str">
            <v>Delivered</v>
          </cell>
          <cell r="J1428" t="str">
            <v>TRK93063929</v>
          </cell>
          <cell r="K1428">
            <v>8</v>
          </cell>
          <cell r="L1428" t="str">
            <v>No Coupon</v>
          </cell>
          <cell r="M1428" t="str">
            <v>Instagram</v>
          </cell>
          <cell r="N1428">
            <v>1764.15</v>
          </cell>
        </row>
        <row r="1429">
          <cell r="A1429" t="str">
            <v>ORD200227</v>
          </cell>
          <cell r="B1429">
            <v>45232</v>
          </cell>
          <cell r="C1429" t="str">
            <v>C93220</v>
          </cell>
          <cell r="D1429" t="str">
            <v>Monitor</v>
          </cell>
          <cell r="E1429">
            <v>2</v>
          </cell>
          <cell r="F1429">
            <v>365.17</v>
          </cell>
          <cell r="G1429" t="str">
            <v>353 Main St</v>
          </cell>
          <cell r="H1429" t="str">
            <v>Online</v>
          </cell>
          <cell r="I1429" t="str">
            <v>Cancelled</v>
          </cell>
          <cell r="J1429" t="str">
            <v>TRK89023251</v>
          </cell>
          <cell r="K1429">
            <v>4</v>
          </cell>
          <cell r="L1429" t="str">
            <v>FREESHIP</v>
          </cell>
          <cell r="M1429" t="str">
            <v>Facebook</v>
          </cell>
          <cell r="N1429">
            <v>730.34</v>
          </cell>
        </row>
        <row r="1430">
          <cell r="A1430" t="str">
            <v>ORD200228</v>
          </cell>
          <cell r="B1430">
            <v>45063</v>
          </cell>
          <cell r="C1430" t="str">
            <v>C57867</v>
          </cell>
          <cell r="D1430" t="str">
            <v>Chair</v>
          </cell>
          <cell r="E1430">
            <v>4</v>
          </cell>
          <cell r="F1430">
            <v>385.92</v>
          </cell>
          <cell r="G1430" t="str">
            <v>579 Main St</v>
          </cell>
          <cell r="H1430" t="str">
            <v>Credit Card</v>
          </cell>
          <cell r="I1430" t="str">
            <v>Cancelled</v>
          </cell>
          <cell r="J1430" t="str">
            <v>TRK92055007</v>
          </cell>
          <cell r="K1430">
            <v>8</v>
          </cell>
          <cell r="L1430" t="str">
            <v>No Coupon</v>
          </cell>
          <cell r="M1430" t="str">
            <v>Instagram</v>
          </cell>
          <cell r="N1430">
            <v>1543.68</v>
          </cell>
        </row>
        <row r="1431">
          <cell r="A1431" t="str">
            <v>ORD200229</v>
          </cell>
          <cell r="B1431">
            <v>45744</v>
          </cell>
          <cell r="C1431" t="str">
            <v>C62622</v>
          </cell>
          <cell r="D1431" t="str">
            <v>Tablet</v>
          </cell>
          <cell r="E1431">
            <v>1</v>
          </cell>
          <cell r="F1431">
            <v>562.61</v>
          </cell>
          <cell r="G1431" t="str">
            <v>762 Main St</v>
          </cell>
          <cell r="H1431" t="str">
            <v>Credit Card</v>
          </cell>
          <cell r="I1431" t="str">
            <v>Delivered</v>
          </cell>
          <cell r="J1431" t="str">
            <v>TRK70997648</v>
          </cell>
          <cell r="K1431">
            <v>3</v>
          </cell>
          <cell r="L1431" t="str">
            <v>WINTER15</v>
          </cell>
          <cell r="M1431" t="str">
            <v>Facebook</v>
          </cell>
          <cell r="N1431">
            <v>562.61</v>
          </cell>
        </row>
        <row r="1432">
          <cell r="A1432" t="str">
            <v>ORD200230</v>
          </cell>
          <cell r="B1432">
            <v>45276</v>
          </cell>
          <cell r="C1432" t="str">
            <v>C94595</v>
          </cell>
          <cell r="D1432" t="str">
            <v>Desk</v>
          </cell>
          <cell r="E1432">
            <v>4</v>
          </cell>
          <cell r="F1432">
            <v>61.91</v>
          </cell>
          <cell r="G1432" t="str">
            <v>948 Main St</v>
          </cell>
          <cell r="H1432" t="str">
            <v>Gift Card</v>
          </cell>
          <cell r="I1432" t="str">
            <v>Delivered</v>
          </cell>
          <cell r="J1432" t="str">
            <v>TRK24497305</v>
          </cell>
          <cell r="K1432">
            <v>6</v>
          </cell>
          <cell r="L1432" t="str">
            <v>WINTER15</v>
          </cell>
          <cell r="M1432" t="str">
            <v>Email</v>
          </cell>
          <cell r="N1432">
            <v>247.64</v>
          </cell>
        </row>
        <row r="1433">
          <cell r="A1433" t="str">
            <v>ORD200231</v>
          </cell>
          <cell r="B1433">
            <v>45235</v>
          </cell>
          <cell r="C1433" t="str">
            <v>C30955</v>
          </cell>
          <cell r="D1433" t="str">
            <v>Phone</v>
          </cell>
          <cell r="E1433">
            <v>4</v>
          </cell>
          <cell r="F1433">
            <v>41.9</v>
          </cell>
          <cell r="G1433" t="str">
            <v>327 Main St</v>
          </cell>
          <cell r="H1433" t="str">
            <v>Gift Card</v>
          </cell>
          <cell r="I1433" t="str">
            <v>Pending</v>
          </cell>
          <cell r="J1433" t="str">
            <v>TRK46898848</v>
          </cell>
          <cell r="K1433">
            <v>9</v>
          </cell>
          <cell r="L1433" t="str">
            <v>FREESHIP</v>
          </cell>
          <cell r="M1433" t="str">
            <v>Instagram</v>
          </cell>
          <cell r="N1433">
            <v>167.6</v>
          </cell>
        </row>
        <row r="1434">
          <cell r="A1434" t="str">
            <v>ORD200232</v>
          </cell>
          <cell r="B1434">
            <v>45065</v>
          </cell>
          <cell r="C1434" t="str">
            <v>C20731</v>
          </cell>
          <cell r="D1434" t="str">
            <v>Printer</v>
          </cell>
          <cell r="E1434">
            <v>4</v>
          </cell>
          <cell r="F1434">
            <v>444.44</v>
          </cell>
          <cell r="G1434" t="str">
            <v>610 Main St</v>
          </cell>
          <cell r="H1434" t="str">
            <v>Debit Card</v>
          </cell>
          <cell r="I1434" t="str">
            <v>Cancelled</v>
          </cell>
          <cell r="J1434" t="str">
            <v>TRK75568437</v>
          </cell>
          <cell r="K1434">
            <v>8</v>
          </cell>
          <cell r="L1434" t="str">
            <v>WINTER15</v>
          </cell>
          <cell r="M1434" t="str">
            <v>Google</v>
          </cell>
          <cell r="N1434">
            <v>1777.76</v>
          </cell>
        </row>
        <row r="1435">
          <cell r="A1435" t="str">
            <v>ORD200233</v>
          </cell>
          <cell r="B1435">
            <v>45528</v>
          </cell>
          <cell r="C1435" t="str">
            <v>C30168</v>
          </cell>
          <cell r="D1435" t="str">
            <v>Phone</v>
          </cell>
          <cell r="E1435">
            <v>3</v>
          </cell>
          <cell r="F1435">
            <v>311.33</v>
          </cell>
          <cell r="G1435" t="str">
            <v>146 Main St</v>
          </cell>
          <cell r="H1435" t="str">
            <v>Cash</v>
          </cell>
          <cell r="I1435" t="str">
            <v>Cancelled</v>
          </cell>
          <cell r="J1435" t="str">
            <v>TRK73699939</v>
          </cell>
          <cell r="K1435">
            <v>3</v>
          </cell>
          <cell r="L1435" t="str">
            <v>WINTER15</v>
          </cell>
          <cell r="M1435" t="str">
            <v>Instagram</v>
          </cell>
          <cell r="N1435">
            <v>933.99</v>
          </cell>
        </row>
        <row r="1436">
          <cell r="A1436" t="str">
            <v>ORD200234</v>
          </cell>
          <cell r="B1436">
            <v>45622</v>
          </cell>
          <cell r="C1436" t="str">
            <v>C79842</v>
          </cell>
          <cell r="D1436" t="str">
            <v>Printer</v>
          </cell>
          <cell r="E1436">
            <v>4</v>
          </cell>
          <cell r="F1436">
            <v>236.41</v>
          </cell>
          <cell r="G1436" t="str">
            <v>337 Main St</v>
          </cell>
          <cell r="H1436" t="str">
            <v>Debit Card</v>
          </cell>
          <cell r="I1436" t="str">
            <v>Pending</v>
          </cell>
          <cell r="J1436" t="str">
            <v>TRK26957950</v>
          </cell>
          <cell r="K1436">
            <v>7</v>
          </cell>
          <cell r="L1436" t="str">
            <v>SAVE10</v>
          </cell>
          <cell r="M1436" t="str">
            <v>Google</v>
          </cell>
          <cell r="N1436">
            <v>945.64</v>
          </cell>
        </row>
        <row r="1437">
          <cell r="A1437" t="str">
            <v>ORD200235</v>
          </cell>
          <cell r="B1437">
            <v>44977</v>
          </cell>
          <cell r="C1437" t="str">
            <v>C32854</v>
          </cell>
          <cell r="D1437" t="str">
            <v>Desk</v>
          </cell>
          <cell r="E1437">
            <v>1</v>
          </cell>
          <cell r="F1437">
            <v>65.45</v>
          </cell>
          <cell r="G1437" t="str">
            <v>815 Main St</v>
          </cell>
          <cell r="H1437" t="str">
            <v>Cash</v>
          </cell>
          <cell r="I1437" t="str">
            <v>Pending</v>
          </cell>
          <cell r="J1437" t="str">
            <v>TRK30009218</v>
          </cell>
          <cell r="K1437">
            <v>2</v>
          </cell>
          <cell r="L1437" t="str">
            <v>WINTER15</v>
          </cell>
          <cell r="M1437" t="str">
            <v>Google</v>
          </cell>
          <cell r="N1437">
            <v>65.45</v>
          </cell>
        </row>
        <row r="1438">
          <cell r="A1438" t="str">
            <v>ORD200236</v>
          </cell>
          <cell r="B1438">
            <v>44927</v>
          </cell>
          <cell r="C1438" t="str">
            <v>C14847</v>
          </cell>
          <cell r="D1438" t="str">
            <v>Monitor</v>
          </cell>
          <cell r="E1438">
            <v>1</v>
          </cell>
          <cell r="F1438">
            <v>318.81</v>
          </cell>
          <cell r="G1438" t="str">
            <v>562 Main St</v>
          </cell>
          <cell r="H1438" t="str">
            <v>Debit Card</v>
          </cell>
          <cell r="I1438" t="str">
            <v>Pending</v>
          </cell>
          <cell r="J1438" t="str">
            <v>TRK39663243</v>
          </cell>
          <cell r="K1438">
            <v>3</v>
          </cell>
          <cell r="L1438" t="str">
            <v>WINTER15</v>
          </cell>
          <cell r="M1438" t="str">
            <v>Email</v>
          </cell>
          <cell r="N1438">
            <v>318.81</v>
          </cell>
        </row>
        <row r="1439">
          <cell r="A1439" t="str">
            <v>ORD200237</v>
          </cell>
          <cell r="B1439">
            <v>45365</v>
          </cell>
          <cell r="C1439" t="str">
            <v>C88645</v>
          </cell>
          <cell r="D1439" t="str">
            <v>Monitor</v>
          </cell>
          <cell r="E1439">
            <v>3</v>
          </cell>
          <cell r="F1439">
            <v>583.72</v>
          </cell>
          <cell r="G1439" t="str">
            <v>783 Main St</v>
          </cell>
          <cell r="H1439" t="str">
            <v>Credit Card</v>
          </cell>
          <cell r="I1439" t="str">
            <v>Shipped</v>
          </cell>
          <cell r="J1439" t="str">
            <v>TRK74097570</v>
          </cell>
          <cell r="K1439">
            <v>5</v>
          </cell>
          <cell r="L1439" t="str">
            <v>FREESHIP</v>
          </cell>
          <cell r="M1439" t="str">
            <v>Facebook</v>
          </cell>
          <cell r="N1439">
            <v>1751.16</v>
          </cell>
        </row>
        <row r="1440">
          <cell r="A1440" t="str">
            <v>ORD200238</v>
          </cell>
          <cell r="B1440">
            <v>45639</v>
          </cell>
          <cell r="C1440" t="str">
            <v>C66149</v>
          </cell>
          <cell r="D1440" t="str">
            <v>Desk</v>
          </cell>
          <cell r="E1440">
            <v>4</v>
          </cell>
          <cell r="F1440">
            <v>384.32</v>
          </cell>
          <cell r="G1440" t="str">
            <v>770 Main St</v>
          </cell>
          <cell r="H1440" t="str">
            <v>Credit Card</v>
          </cell>
          <cell r="I1440" t="str">
            <v>Pending</v>
          </cell>
          <cell r="J1440" t="str">
            <v>TRK76307307</v>
          </cell>
          <cell r="K1440">
            <v>6</v>
          </cell>
          <cell r="L1440" t="str">
            <v>WINTER15</v>
          </cell>
          <cell r="M1440" t="str">
            <v>Google</v>
          </cell>
          <cell r="N1440">
            <v>1537.28</v>
          </cell>
        </row>
        <row r="1441">
          <cell r="A1441" t="str">
            <v>ORD200239</v>
          </cell>
          <cell r="B1441">
            <v>45637</v>
          </cell>
          <cell r="C1441" t="str">
            <v>C20256</v>
          </cell>
          <cell r="D1441" t="str">
            <v>Tablet</v>
          </cell>
          <cell r="E1441">
            <v>3</v>
          </cell>
          <cell r="F1441">
            <v>538.74</v>
          </cell>
          <cell r="G1441" t="str">
            <v>456 Main St</v>
          </cell>
          <cell r="H1441" t="str">
            <v>Online</v>
          </cell>
          <cell r="I1441" t="str">
            <v>Shipped</v>
          </cell>
          <cell r="J1441" t="str">
            <v>TRK71127943</v>
          </cell>
          <cell r="K1441">
            <v>6</v>
          </cell>
          <cell r="L1441" t="str">
            <v>FREESHIP</v>
          </cell>
          <cell r="M1441" t="str">
            <v>Email</v>
          </cell>
          <cell r="N1441">
            <v>1616.22</v>
          </cell>
        </row>
        <row r="1442">
          <cell r="A1442" t="str">
            <v>ORD200240</v>
          </cell>
          <cell r="B1442">
            <v>45119</v>
          </cell>
          <cell r="C1442" t="str">
            <v>C14983</v>
          </cell>
          <cell r="D1442" t="str">
            <v>Tablet</v>
          </cell>
          <cell r="E1442">
            <v>1</v>
          </cell>
          <cell r="F1442">
            <v>17.239999999999998</v>
          </cell>
          <cell r="G1442" t="str">
            <v>255 Main St</v>
          </cell>
          <cell r="H1442" t="str">
            <v>Online</v>
          </cell>
          <cell r="I1442" t="str">
            <v>Pending</v>
          </cell>
          <cell r="J1442" t="str">
            <v>TRK93444157</v>
          </cell>
          <cell r="K1442">
            <v>2</v>
          </cell>
          <cell r="L1442" t="str">
            <v>FREESHIP</v>
          </cell>
          <cell r="M1442" t="str">
            <v>Instagram</v>
          </cell>
          <cell r="N1442">
            <v>17.239999999999998</v>
          </cell>
        </row>
        <row r="1443">
          <cell r="A1443" t="str">
            <v>ORD200241</v>
          </cell>
          <cell r="B1443">
            <v>45062</v>
          </cell>
          <cell r="C1443" t="str">
            <v>C20817</v>
          </cell>
          <cell r="D1443" t="str">
            <v>Chair</v>
          </cell>
          <cell r="E1443">
            <v>5</v>
          </cell>
          <cell r="F1443">
            <v>615.66999999999996</v>
          </cell>
          <cell r="G1443" t="str">
            <v>407 Main St</v>
          </cell>
          <cell r="H1443" t="str">
            <v>Online</v>
          </cell>
          <cell r="I1443" t="str">
            <v>Pending</v>
          </cell>
          <cell r="J1443" t="str">
            <v>TRK44164590</v>
          </cell>
          <cell r="K1443">
            <v>6</v>
          </cell>
          <cell r="L1443" t="str">
            <v>SAVE10</v>
          </cell>
          <cell r="M1443" t="str">
            <v>Email</v>
          </cell>
          <cell r="N1443">
            <v>3078.35</v>
          </cell>
        </row>
        <row r="1444">
          <cell r="A1444" t="str">
            <v>ORD200242</v>
          </cell>
          <cell r="B1444">
            <v>45055</v>
          </cell>
          <cell r="C1444" t="str">
            <v>C94921</v>
          </cell>
          <cell r="D1444" t="str">
            <v>Printer</v>
          </cell>
          <cell r="E1444">
            <v>2</v>
          </cell>
          <cell r="F1444">
            <v>219.1</v>
          </cell>
          <cell r="G1444" t="str">
            <v>134 Main St</v>
          </cell>
          <cell r="H1444" t="str">
            <v>Online</v>
          </cell>
          <cell r="I1444" t="str">
            <v>Pending</v>
          </cell>
          <cell r="J1444" t="str">
            <v>TRK97794327</v>
          </cell>
          <cell r="K1444">
            <v>4</v>
          </cell>
          <cell r="L1444" t="str">
            <v>SAVE10</v>
          </cell>
          <cell r="M1444" t="str">
            <v>Referral</v>
          </cell>
          <cell r="N1444">
            <v>438.2</v>
          </cell>
        </row>
        <row r="1445">
          <cell r="A1445" t="str">
            <v>ORD200243</v>
          </cell>
          <cell r="B1445">
            <v>45786</v>
          </cell>
          <cell r="C1445" t="str">
            <v>C54725</v>
          </cell>
          <cell r="D1445" t="str">
            <v>Chair</v>
          </cell>
          <cell r="E1445">
            <v>2</v>
          </cell>
          <cell r="F1445">
            <v>144.66</v>
          </cell>
          <cell r="G1445" t="str">
            <v>506 Main St</v>
          </cell>
          <cell r="H1445" t="str">
            <v>Online</v>
          </cell>
          <cell r="I1445" t="str">
            <v>Cancelled</v>
          </cell>
          <cell r="J1445" t="str">
            <v>TRK30601940</v>
          </cell>
          <cell r="K1445">
            <v>7</v>
          </cell>
          <cell r="L1445" t="str">
            <v>FREESHIP</v>
          </cell>
          <cell r="M1445" t="str">
            <v>Google</v>
          </cell>
          <cell r="N1445">
            <v>289.32</v>
          </cell>
        </row>
        <row r="1446">
          <cell r="A1446" t="str">
            <v>ORD200244</v>
          </cell>
          <cell r="B1446">
            <v>44973</v>
          </cell>
          <cell r="C1446" t="str">
            <v>C98096</v>
          </cell>
          <cell r="D1446" t="str">
            <v>Desk</v>
          </cell>
          <cell r="E1446">
            <v>2</v>
          </cell>
          <cell r="F1446">
            <v>317.77</v>
          </cell>
          <cell r="G1446" t="str">
            <v>838 Main St</v>
          </cell>
          <cell r="H1446" t="str">
            <v>Debit Card</v>
          </cell>
          <cell r="I1446" t="str">
            <v>Cancelled</v>
          </cell>
          <cell r="J1446" t="str">
            <v>TRK51518631</v>
          </cell>
          <cell r="K1446">
            <v>4</v>
          </cell>
          <cell r="L1446" t="str">
            <v>WINTER15</v>
          </cell>
          <cell r="M1446" t="str">
            <v>Facebook</v>
          </cell>
          <cell r="N1446">
            <v>635.54</v>
          </cell>
        </row>
        <row r="1447">
          <cell r="A1447" t="str">
            <v>ORD200245</v>
          </cell>
          <cell r="B1447">
            <v>45767</v>
          </cell>
          <cell r="C1447" t="str">
            <v>C12667</v>
          </cell>
          <cell r="D1447" t="str">
            <v>Laptop</v>
          </cell>
          <cell r="E1447">
            <v>1</v>
          </cell>
          <cell r="F1447">
            <v>223.3</v>
          </cell>
          <cell r="G1447" t="str">
            <v>306 Main St</v>
          </cell>
          <cell r="H1447" t="str">
            <v>Online</v>
          </cell>
          <cell r="I1447" t="str">
            <v>Returned</v>
          </cell>
          <cell r="J1447" t="str">
            <v>TRK25390491</v>
          </cell>
          <cell r="K1447">
            <v>1</v>
          </cell>
          <cell r="L1447" t="str">
            <v>No Coupon</v>
          </cell>
          <cell r="M1447" t="str">
            <v>Facebook</v>
          </cell>
          <cell r="N1447">
            <v>223.3</v>
          </cell>
        </row>
        <row r="1448">
          <cell r="A1448" t="str">
            <v>ORD200246</v>
          </cell>
          <cell r="B1448">
            <v>45534</v>
          </cell>
          <cell r="C1448" t="str">
            <v>C55354</v>
          </cell>
          <cell r="D1448" t="str">
            <v>Desk</v>
          </cell>
          <cell r="E1448">
            <v>2</v>
          </cell>
          <cell r="F1448">
            <v>342.11</v>
          </cell>
          <cell r="G1448" t="str">
            <v>164 Main St</v>
          </cell>
          <cell r="H1448" t="str">
            <v>Gift Card</v>
          </cell>
          <cell r="I1448" t="str">
            <v>Shipped</v>
          </cell>
          <cell r="J1448" t="str">
            <v>TRK15439493</v>
          </cell>
          <cell r="K1448">
            <v>2</v>
          </cell>
          <cell r="L1448" t="str">
            <v>WINTER15</v>
          </cell>
          <cell r="M1448" t="str">
            <v>Instagram</v>
          </cell>
          <cell r="N1448">
            <v>684.22</v>
          </cell>
        </row>
        <row r="1449">
          <cell r="A1449" t="str">
            <v>ORD200247</v>
          </cell>
          <cell r="B1449">
            <v>45127</v>
          </cell>
          <cell r="C1449" t="str">
            <v>C14600</v>
          </cell>
          <cell r="D1449" t="str">
            <v>Printer</v>
          </cell>
          <cell r="E1449">
            <v>2</v>
          </cell>
          <cell r="F1449">
            <v>220.9</v>
          </cell>
          <cell r="G1449" t="str">
            <v>785 Main St</v>
          </cell>
          <cell r="H1449" t="str">
            <v>Gift Card</v>
          </cell>
          <cell r="I1449" t="str">
            <v>Shipped</v>
          </cell>
          <cell r="J1449" t="str">
            <v>TRK84984764</v>
          </cell>
          <cell r="K1449">
            <v>4</v>
          </cell>
          <cell r="L1449" t="str">
            <v>No Coupon</v>
          </cell>
          <cell r="M1449" t="str">
            <v>Email</v>
          </cell>
          <cell r="N1449">
            <v>441.8</v>
          </cell>
        </row>
        <row r="1450">
          <cell r="A1450" t="str">
            <v>ORD200248</v>
          </cell>
          <cell r="B1450">
            <v>45109</v>
          </cell>
          <cell r="C1450" t="str">
            <v>C97187</v>
          </cell>
          <cell r="D1450" t="str">
            <v>Laptop</v>
          </cell>
          <cell r="E1450">
            <v>1</v>
          </cell>
          <cell r="F1450">
            <v>670.54</v>
          </cell>
          <cell r="G1450" t="str">
            <v>471 Main St</v>
          </cell>
          <cell r="H1450" t="str">
            <v>Cash</v>
          </cell>
          <cell r="I1450" t="str">
            <v>Shipped</v>
          </cell>
          <cell r="J1450" t="str">
            <v>TRK62283713</v>
          </cell>
          <cell r="K1450">
            <v>6</v>
          </cell>
          <cell r="L1450" t="str">
            <v>FREESHIP</v>
          </cell>
          <cell r="M1450" t="str">
            <v>Referral</v>
          </cell>
          <cell r="N1450">
            <v>670.54</v>
          </cell>
        </row>
        <row r="1451">
          <cell r="A1451" t="str">
            <v>ORD200249</v>
          </cell>
          <cell r="B1451">
            <v>45329</v>
          </cell>
          <cell r="C1451" t="str">
            <v>C39106</v>
          </cell>
          <cell r="D1451" t="str">
            <v>Printer</v>
          </cell>
          <cell r="E1451">
            <v>1</v>
          </cell>
          <cell r="F1451">
            <v>546.19000000000005</v>
          </cell>
          <cell r="G1451" t="str">
            <v>245 Main St</v>
          </cell>
          <cell r="H1451" t="str">
            <v>Cash</v>
          </cell>
          <cell r="I1451" t="str">
            <v>Pending</v>
          </cell>
          <cell r="J1451" t="str">
            <v>TRK35464433</v>
          </cell>
          <cell r="K1451">
            <v>5</v>
          </cell>
          <cell r="L1451" t="str">
            <v>FREESHIP</v>
          </cell>
          <cell r="M1451" t="str">
            <v>Referral</v>
          </cell>
          <cell r="N1451">
            <v>546.19000000000005</v>
          </cell>
        </row>
        <row r="1452">
          <cell r="A1452" t="str">
            <v>ORD200250</v>
          </cell>
          <cell r="B1452">
            <v>45021</v>
          </cell>
          <cell r="C1452" t="str">
            <v>C93379</v>
          </cell>
          <cell r="D1452" t="str">
            <v>Desk</v>
          </cell>
          <cell r="E1452">
            <v>3</v>
          </cell>
          <cell r="F1452">
            <v>42.95</v>
          </cell>
          <cell r="G1452" t="str">
            <v>318 Main St</v>
          </cell>
          <cell r="H1452" t="str">
            <v>Gift Card</v>
          </cell>
          <cell r="I1452" t="str">
            <v>Returned</v>
          </cell>
          <cell r="J1452" t="str">
            <v>TRK67954150</v>
          </cell>
          <cell r="K1452">
            <v>8</v>
          </cell>
          <cell r="L1452" t="str">
            <v>SAVE10</v>
          </cell>
          <cell r="M1452" t="str">
            <v>Email</v>
          </cell>
          <cell r="N1452">
            <v>128.85</v>
          </cell>
        </row>
        <row r="1453">
          <cell r="A1453" t="str">
            <v>ORD200251</v>
          </cell>
          <cell r="B1453">
            <v>45792</v>
          </cell>
          <cell r="C1453" t="str">
            <v>C93175</v>
          </cell>
          <cell r="D1453" t="str">
            <v>Monitor</v>
          </cell>
          <cell r="E1453">
            <v>4</v>
          </cell>
          <cell r="F1453">
            <v>14.69</v>
          </cell>
          <cell r="G1453" t="str">
            <v>814 Main St</v>
          </cell>
          <cell r="H1453" t="str">
            <v>Cash</v>
          </cell>
          <cell r="I1453" t="str">
            <v>Cancelled</v>
          </cell>
          <cell r="J1453" t="str">
            <v>TRK32995144</v>
          </cell>
          <cell r="K1453">
            <v>9</v>
          </cell>
          <cell r="L1453" t="str">
            <v>No Coupon</v>
          </cell>
          <cell r="M1453" t="str">
            <v>Email</v>
          </cell>
          <cell r="N1453">
            <v>58.76</v>
          </cell>
        </row>
        <row r="1454">
          <cell r="A1454" t="str">
            <v>ORD200252</v>
          </cell>
          <cell r="B1454">
            <v>45555</v>
          </cell>
          <cell r="C1454" t="str">
            <v>C19648</v>
          </cell>
          <cell r="D1454" t="str">
            <v>Phone</v>
          </cell>
          <cell r="E1454">
            <v>4</v>
          </cell>
          <cell r="F1454">
            <v>668.36</v>
          </cell>
          <cell r="G1454" t="str">
            <v>821 Main St</v>
          </cell>
          <cell r="H1454" t="str">
            <v>Gift Card</v>
          </cell>
          <cell r="I1454" t="str">
            <v>Cancelled</v>
          </cell>
          <cell r="J1454" t="str">
            <v>TRK51297879</v>
          </cell>
          <cell r="K1454">
            <v>5</v>
          </cell>
          <cell r="L1454" t="str">
            <v>FREESHIP</v>
          </cell>
          <cell r="M1454" t="str">
            <v>Facebook</v>
          </cell>
          <cell r="N1454">
            <v>2673.44</v>
          </cell>
        </row>
        <row r="1455">
          <cell r="A1455" t="str">
            <v>ORD200253</v>
          </cell>
          <cell r="B1455">
            <v>45374</v>
          </cell>
          <cell r="C1455" t="str">
            <v>C14891</v>
          </cell>
          <cell r="D1455" t="str">
            <v>Chair</v>
          </cell>
          <cell r="E1455">
            <v>4</v>
          </cell>
          <cell r="F1455">
            <v>413.74</v>
          </cell>
          <cell r="G1455" t="str">
            <v>743 Main St</v>
          </cell>
          <cell r="H1455" t="str">
            <v>Gift Card</v>
          </cell>
          <cell r="I1455" t="str">
            <v>Returned</v>
          </cell>
          <cell r="J1455" t="str">
            <v>TRK79471534</v>
          </cell>
          <cell r="K1455">
            <v>7</v>
          </cell>
          <cell r="L1455" t="str">
            <v>FREESHIP</v>
          </cell>
          <cell r="M1455" t="str">
            <v>Instagram</v>
          </cell>
          <cell r="N1455">
            <v>1654.96</v>
          </cell>
        </row>
        <row r="1456">
          <cell r="A1456" t="str">
            <v>ORD200254</v>
          </cell>
          <cell r="B1456">
            <v>45286</v>
          </cell>
          <cell r="C1456" t="str">
            <v>C10866</v>
          </cell>
          <cell r="D1456" t="str">
            <v>Monitor</v>
          </cell>
          <cell r="E1456">
            <v>3</v>
          </cell>
          <cell r="F1456">
            <v>263.19</v>
          </cell>
          <cell r="G1456" t="str">
            <v>770 Main St</v>
          </cell>
          <cell r="H1456" t="str">
            <v>Online</v>
          </cell>
          <cell r="I1456" t="str">
            <v>Delivered</v>
          </cell>
          <cell r="J1456" t="str">
            <v>TRK34809583</v>
          </cell>
          <cell r="K1456">
            <v>5</v>
          </cell>
          <cell r="L1456" t="str">
            <v>No Coupon</v>
          </cell>
          <cell r="M1456" t="str">
            <v>Instagram</v>
          </cell>
          <cell r="N1456">
            <v>789.57</v>
          </cell>
        </row>
        <row r="1457">
          <cell r="A1457" t="str">
            <v>ORD200255</v>
          </cell>
          <cell r="B1457">
            <v>45425</v>
          </cell>
          <cell r="C1457" t="str">
            <v>C47283</v>
          </cell>
          <cell r="D1457" t="str">
            <v>Monitor</v>
          </cell>
          <cell r="E1457">
            <v>1</v>
          </cell>
          <cell r="F1457">
            <v>263.95999999999998</v>
          </cell>
          <cell r="G1457" t="str">
            <v>806 Main St</v>
          </cell>
          <cell r="H1457" t="str">
            <v>Gift Card</v>
          </cell>
          <cell r="I1457" t="str">
            <v>Returned</v>
          </cell>
          <cell r="J1457" t="str">
            <v>TRK56235117</v>
          </cell>
          <cell r="K1457">
            <v>2</v>
          </cell>
          <cell r="L1457" t="str">
            <v>SAVE10</v>
          </cell>
          <cell r="M1457" t="str">
            <v>Google</v>
          </cell>
          <cell r="N1457">
            <v>263.95999999999998</v>
          </cell>
        </row>
        <row r="1458">
          <cell r="A1458" t="str">
            <v>ORD200256</v>
          </cell>
          <cell r="B1458">
            <v>45838</v>
          </cell>
          <cell r="C1458" t="str">
            <v>C94323</v>
          </cell>
          <cell r="D1458" t="str">
            <v>Chair</v>
          </cell>
          <cell r="E1458">
            <v>5</v>
          </cell>
          <cell r="F1458">
            <v>75.81</v>
          </cell>
          <cell r="G1458" t="str">
            <v>463 Main St</v>
          </cell>
          <cell r="H1458" t="str">
            <v>Gift Card</v>
          </cell>
          <cell r="I1458" t="str">
            <v>Returned</v>
          </cell>
          <cell r="J1458" t="str">
            <v>TRK22663277</v>
          </cell>
          <cell r="K1458">
            <v>10</v>
          </cell>
          <cell r="L1458" t="str">
            <v>WINTER15</v>
          </cell>
          <cell r="M1458" t="str">
            <v>Instagram</v>
          </cell>
          <cell r="N1458">
            <v>379.05</v>
          </cell>
        </row>
        <row r="1459">
          <cell r="A1459" t="str">
            <v>ORD200257</v>
          </cell>
          <cell r="B1459">
            <v>45405</v>
          </cell>
          <cell r="C1459" t="str">
            <v>C89732</v>
          </cell>
          <cell r="D1459" t="str">
            <v>Phone</v>
          </cell>
          <cell r="E1459">
            <v>1</v>
          </cell>
          <cell r="F1459">
            <v>406.22</v>
          </cell>
          <cell r="G1459" t="str">
            <v>712 Main St</v>
          </cell>
          <cell r="H1459" t="str">
            <v>Credit Card</v>
          </cell>
          <cell r="I1459" t="str">
            <v>Cancelled</v>
          </cell>
          <cell r="J1459" t="str">
            <v>TRK41059233</v>
          </cell>
          <cell r="K1459">
            <v>5</v>
          </cell>
          <cell r="L1459" t="str">
            <v>SAVE10</v>
          </cell>
          <cell r="M1459" t="str">
            <v>Referral</v>
          </cell>
          <cell r="N1459">
            <v>406.22</v>
          </cell>
        </row>
        <row r="1460">
          <cell r="A1460" t="str">
            <v>ORD200258</v>
          </cell>
          <cell r="B1460">
            <v>45348</v>
          </cell>
          <cell r="C1460" t="str">
            <v>C87764</v>
          </cell>
          <cell r="D1460" t="str">
            <v>Tablet</v>
          </cell>
          <cell r="E1460">
            <v>2</v>
          </cell>
          <cell r="F1460">
            <v>103.41</v>
          </cell>
          <cell r="G1460" t="str">
            <v>294 Main St</v>
          </cell>
          <cell r="H1460" t="str">
            <v>Online</v>
          </cell>
          <cell r="I1460" t="str">
            <v>Shipped</v>
          </cell>
          <cell r="J1460" t="str">
            <v>TRK94082469</v>
          </cell>
          <cell r="K1460">
            <v>2</v>
          </cell>
          <cell r="L1460" t="str">
            <v>FREESHIP</v>
          </cell>
          <cell r="M1460" t="str">
            <v>Referral</v>
          </cell>
          <cell r="N1460">
            <v>206.82</v>
          </cell>
        </row>
        <row r="1461">
          <cell r="A1461" t="str">
            <v>ORD200259</v>
          </cell>
          <cell r="B1461">
            <v>45088</v>
          </cell>
          <cell r="C1461" t="str">
            <v>C20977</v>
          </cell>
          <cell r="D1461" t="str">
            <v>Chair</v>
          </cell>
          <cell r="E1461">
            <v>4</v>
          </cell>
          <cell r="F1461">
            <v>435.12</v>
          </cell>
          <cell r="G1461" t="str">
            <v>636 Main St</v>
          </cell>
          <cell r="H1461" t="str">
            <v>Credit Card</v>
          </cell>
          <cell r="I1461" t="str">
            <v>Delivered</v>
          </cell>
          <cell r="J1461" t="str">
            <v>TRK54991561</v>
          </cell>
          <cell r="K1461">
            <v>9</v>
          </cell>
          <cell r="L1461" t="str">
            <v>SAVE10</v>
          </cell>
          <cell r="M1461" t="str">
            <v>Instagram</v>
          </cell>
          <cell r="N1461">
            <v>1740.48</v>
          </cell>
        </row>
        <row r="1462">
          <cell r="A1462" t="str">
            <v>ORD200260</v>
          </cell>
          <cell r="B1462">
            <v>45063</v>
          </cell>
          <cell r="C1462" t="str">
            <v>C12245</v>
          </cell>
          <cell r="D1462" t="str">
            <v>Monitor</v>
          </cell>
          <cell r="E1462">
            <v>2</v>
          </cell>
          <cell r="F1462">
            <v>407.79</v>
          </cell>
          <cell r="G1462" t="str">
            <v>153 Main St</v>
          </cell>
          <cell r="H1462" t="str">
            <v>Debit Card</v>
          </cell>
          <cell r="I1462" t="str">
            <v>Shipped</v>
          </cell>
          <cell r="J1462" t="str">
            <v>TRK22000463</v>
          </cell>
          <cell r="K1462">
            <v>3</v>
          </cell>
          <cell r="L1462" t="str">
            <v>No Coupon</v>
          </cell>
          <cell r="M1462" t="str">
            <v>Google</v>
          </cell>
          <cell r="N1462">
            <v>815.58</v>
          </cell>
        </row>
        <row r="1463">
          <cell r="A1463" t="str">
            <v>ORD200261</v>
          </cell>
          <cell r="B1463">
            <v>45805</v>
          </cell>
          <cell r="C1463" t="str">
            <v>C68976</v>
          </cell>
          <cell r="D1463" t="str">
            <v>Phone</v>
          </cell>
          <cell r="E1463">
            <v>5</v>
          </cell>
          <cell r="F1463">
            <v>173.65</v>
          </cell>
          <cell r="G1463" t="str">
            <v>460 Main St</v>
          </cell>
          <cell r="H1463" t="str">
            <v>Gift Card</v>
          </cell>
          <cell r="I1463" t="str">
            <v>Delivered</v>
          </cell>
          <cell r="J1463" t="str">
            <v>TRK25491356</v>
          </cell>
          <cell r="K1463">
            <v>9</v>
          </cell>
          <cell r="L1463" t="str">
            <v>SAVE10</v>
          </cell>
          <cell r="M1463" t="str">
            <v>Email</v>
          </cell>
          <cell r="N1463">
            <v>868.25</v>
          </cell>
        </row>
        <row r="1464">
          <cell r="A1464" t="str">
            <v>ORD200262</v>
          </cell>
          <cell r="B1464">
            <v>44936</v>
          </cell>
          <cell r="C1464" t="str">
            <v>C69476</v>
          </cell>
          <cell r="D1464" t="str">
            <v>Phone</v>
          </cell>
          <cell r="E1464">
            <v>4</v>
          </cell>
          <cell r="F1464">
            <v>249.07</v>
          </cell>
          <cell r="G1464" t="str">
            <v>642 Main St</v>
          </cell>
          <cell r="H1464" t="str">
            <v>Credit Card</v>
          </cell>
          <cell r="I1464" t="str">
            <v>Returned</v>
          </cell>
          <cell r="J1464" t="str">
            <v>TRK65869386</v>
          </cell>
          <cell r="K1464">
            <v>5</v>
          </cell>
          <cell r="L1464" t="str">
            <v>WINTER15</v>
          </cell>
          <cell r="M1464" t="str">
            <v>Referral</v>
          </cell>
          <cell r="N1464">
            <v>996.28</v>
          </cell>
        </row>
        <row r="1465">
          <cell r="A1465" t="str">
            <v>ORD200263</v>
          </cell>
          <cell r="B1465">
            <v>45010</v>
          </cell>
          <cell r="C1465" t="str">
            <v>C71040</v>
          </cell>
          <cell r="D1465" t="str">
            <v>Phone</v>
          </cell>
          <cell r="E1465">
            <v>4</v>
          </cell>
          <cell r="F1465">
            <v>434.85</v>
          </cell>
          <cell r="G1465" t="str">
            <v>250 Main St</v>
          </cell>
          <cell r="H1465" t="str">
            <v>Credit Card</v>
          </cell>
          <cell r="I1465" t="str">
            <v>Pending</v>
          </cell>
          <cell r="J1465" t="str">
            <v>TRK41397604</v>
          </cell>
          <cell r="K1465">
            <v>4</v>
          </cell>
          <cell r="L1465" t="str">
            <v>WINTER15</v>
          </cell>
          <cell r="M1465" t="str">
            <v>Google</v>
          </cell>
          <cell r="N1465">
            <v>1739.4</v>
          </cell>
        </row>
        <row r="1466">
          <cell r="A1466" t="str">
            <v>ORD200264</v>
          </cell>
          <cell r="B1466">
            <v>45507</v>
          </cell>
          <cell r="C1466" t="str">
            <v>C71035</v>
          </cell>
          <cell r="D1466" t="str">
            <v>Tablet</v>
          </cell>
          <cell r="E1466">
            <v>1</v>
          </cell>
          <cell r="F1466">
            <v>436.77</v>
          </cell>
          <cell r="G1466" t="str">
            <v>977 Main St</v>
          </cell>
          <cell r="H1466" t="str">
            <v>Cash</v>
          </cell>
          <cell r="I1466" t="str">
            <v>Returned</v>
          </cell>
          <cell r="J1466" t="str">
            <v>TRK19599578</v>
          </cell>
          <cell r="K1466">
            <v>5</v>
          </cell>
          <cell r="L1466" t="str">
            <v>FREESHIP</v>
          </cell>
          <cell r="M1466" t="str">
            <v>Google</v>
          </cell>
          <cell r="N1466">
            <v>436.77</v>
          </cell>
        </row>
        <row r="1467">
          <cell r="A1467" t="str">
            <v>ORD200265</v>
          </cell>
          <cell r="B1467">
            <v>45282</v>
          </cell>
          <cell r="C1467" t="str">
            <v>C20752</v>
          </cell>
          <cell r="D1467" t="str">
            <v>Printer</v>
          </cell>
          <cell r="E1467">
            <v>1</v>
          </cell>
          <cell r="F1467">
            <v>572.13</v>
          </cell>
          <cell r="G1467" t="str">
            <v>150 Main St</v>
          </cell>
          <cell r="H1467" t="str">
            <v>Debit Card</v>
          </cell>
          <cell r="I1467" t="str">
            <v>Cancelled</v>
          </cell>
          <cell r="J1467" t="str">
            <v>TRK22298450</v>
          </cell>
          <cell r="K1467">
            <v>4</v>
          </cell>
          <cell r="L1467" t="str">
            <v>SAVE10</v>
          </cell>
          <cell r="M1467" t="str">
            <v>Google</v>
          </cell>
          <cell r="N1467">
            <v>572.13</v>
          </cell>
        </row>
        <row r="1468">
          <cell r="A1468" t="str">
            <v>ORD200266</v>
          </cell>
          <cell r="B1468">
            <v>45451</v>
          </cell>
          <cell r="C1468" t="str">
            <v>C38840</v>
          </cell>
          <cell r="D1468" t="str">
            <v>Chair</v>
          </cell>
          <cell r="E1468">
            <v>4</v>
          </cell>
          <cell r="F1468">
            <v>583.07000000000005</v>
          </cell>
          <cell r="G1468" t="str">
            <v>589 Main St</v>
          </cell>
          <cell r="H1468" t="str">
            <v>Credit Card</v>
          </cell>
          <cell r="I1468" t="str">
            <v>Cancelled</v>
          </cell>
          <cell r="J1468" t="str">
            <v>TRK48484633</v>
          </cell>
          <cell r="K1468">
            <v>6</v>
          </cell>
          <cell r="L1468" t="str">
            <v>FREESHIP</v>
          </cell>
          <cell r="M1468" t="str">
            <v>Referral</v>
          </cell>
          <cell r="N1468">
            <v>2332.2800000000002</v>
          </cell>
        </row>
        <row r="1469">
          <cell r="A1469" t="str">
            <v>ORD200267</v>
          </cell>
          <cell r="B1469">
            <v>45764</v>
          </cell>
          <cell r="C1469" t="str">
            <v>C84480</v>
          </cell>
          <cell r="D1469" t="str">
            <v>Chair</v>
          </cell>
          <cell r="E1469">
            <v>5</v>
          </cell>
          <cell r="F1469">
            <v>468.51</v>
          </cell>
          <cell r="G1469" t="str">
            <v>803 Main St</v>
          </cell>
          <cell r="H1469" t="str">
            <v>Debit Card</v>
          </cell>
          <cell r="I1469" t="str">
            <v>Delivered</v>
          </cell>
          <cell r="J1469" t="str">
            <v>TRK62361867</v>
          </cell>
          <cell r="K1469">
            <v>9</v>
          </cell>
          <cell r="L1469" t="str">
            <v>No Coupon</v>
          </cell>
          <cell r="M1469" t="str">
            <v>Facebook</v>
          </cell>
          <cell r="N1469">
            <v>2342.5500000000002</v>
          </cell>
        </row>
        <row r="1470">
          <cell r="A1470" t="str">
            <v>ORD200268</v>
          </cell>
          <cell r="B1470">
            <v>45149</v>
          </cell>
          <cell r="C1470" t="str">
            <v>C37032</v>
          </cell>
          <cell r="D1470" t="str">
            <v>Phone</v>
          </cell>
          <cell r="E1470">
            <v>2</v>
          </cell>
          <cell r="F1470">
            <v>423.88</v>
          </cell>
          <cell r="G1470" t="str">
            <v>655 Main St</v>
          </cell>
          <cell r="H1470" t="str">
            <v>Debit Card</v>
          </cell>
          <cell r="I1470" t="str">
            <v>Delivered</v>
          </cell>
          <cell r="J1470" t="str">
            <v>TRK48639226</v>
          </cell>
          <cell r="K1470">
            <v>7</v>
          </cell>
          <cell r="L1470" t="str">
            <v>SAVE10</v>
          </cell>
          <cell r="M1470" t="str">
            <v>Referral</v>
          </cell>
          <cell r="N1470">
            <v>847.76</v>
          </cell>
        </row>
        <row r="1471">
          <cell r="A1471" t="str">
            <v>ORD200269</v>
          </cell>
          <cell r="B1471">
            <v>45255</v>
          </cell>
          <cell r="C1471" t="str">
            <v>C48942</v>
          </cell>
          <cell r="D1471" t="str">
            <v>Tablet</v>
          </cell>
          <cell r="E1471">
            <v>4</v>
          </cell>
          <cell r="F1471">
            <v>663.67</v>
          </cell>
          <cell r="G1471" t="str">
            <v>129 Main St</v>
          </cell>
          <cell r="H1471" t="str">
            <v>Credit Card</v>
          </cell>
          <cell r="I1471" t="str">
            <v>Pending</v>
          </cell>
          <cell r="J1471" t="str">
            <v>TRK29355120</v>
          </cell>
          <cell r="K1471">
            <v>7</v>
          </cell>
          <cell r="L1471" t="str">
            <v>FREESHIP</v>
          </cell>
          <cell r="M1471" t="str">
            <v>Google</v>
          </cell>
          <cell r="N1471">
            <v>2654.68</v>
          </cell>
        </row>
        <row r="1472">
          <cell r="A1472" t="str">
            <v>ORD200270</v>
          </cell>
          <cell r="B1472">
            <v>45081</v>
          </cell>
          <cell r="C1472" t="str">
            <v>C13540</v>
          </cell>
          <cell r="D1472" t="str">
            <v>Printer</v>
          </cell>
          <cell r="E1472">
            <v>4</v>
          </cell>
          <cell r="F1472">
            <v>309.91000000000003</v>
          </cell>
          <cell r="G1472" t="str">
            <v>127 Main St</v>
          </cell>
          <cell r="H1472" t="str">
            <v>Debit Card</v>
          </cell>
          <cell r="I1472" t="str">
            <v>Shipped</v>
          </cell>
          <cell r="J1472" t="str">
            <v>TRK81087373</v>
          </cell>
          <cell r="K1472">
            <v>5</v>
          </cell>
          <cell r="L1472" t="str">
            <v>WINTER15</v>
          </cell>
          <cell r="M1472" t="str">
            <v>Google</v>
          </cell>
          <cell r="N1472">
            <v>1239.6400000000001</v>
          </cell>
        </row>
        <row r="1473">
          <cell r="A1473" t="str">
            <v>ORD200271</v>
          </cell>
          <cell r="B1473">
            <v>45013</v>
          </cell>
          <cell r="C1473" t="str">
            <v>C59572</v>
          </cell>
          <cell r="D1473" t="str">
            <v>Monitor</v>
          </cell>
          <cell r="E1473">
            <v>1</v>
          </cell>
          <cell r="F1473">
            <v>542.07000000000005</v>
          </cell>
          <cell r="G1473" t="str">
            <v>791 Main St</v>
          </cell>
          <cell r="H1473" t="str">
            <v>Cash</v>
          </cell>
          <cell r="I1473" t="str">
            <v>Shipped</v>
          </cell>
          <cell r="J1473" t="str">
            <v>TRK16792991</v>
          </cell>
          <cell r="K1473">
            <v>6</v>
          </cell>
          <cell r="L1473" t="str">
            <v>WINTER15</v>
          </cell>
          <cell r="M1473" t="str">
            <v>Referral</v>
          </cell>
          <cell r="N1473">
            <v>542.07000000000005</v>
          </cell>
        </row>
        <row r="1474">
          <cell r="A1474" t="str">
            <v>ORD200272</v>
          </cell>
          <cell r="B1474">
            <v>45188</v>
          </cell>
          <cell r="C1474" t="str">
            <v>C29758</v>
          </cell>
          <cell r="D1474" t="str">
            <v>Chair</v>
          </cell>
          <cell r="E1474">
            <v>2</v>
          </cell>
          <cell r="F1474">
            <v>399.32</v>
          </cell>
          <cell r="G1474" t="str">
            <v>119 Main St</v>
          </cell>
          <cell r="H1474" t="str">
            <v>Online</v>
          </cell>
          <cell r="I1474" t="str">
            <v>Pending</v>
          </cell>
          <cell r="J1474" t="str">
            <v>TRK12990043</v>
          </cell>
          <cell r="K1474">
            <v>6</v>
          </cell>
          <cell r="L1474" t="str">
            <v>WINTER15</v>
          </cell>
          <cell r="M1474" t="str">
            <v>Instagram</v>
          </cell>
          <cell r="N1474">
            <v>798.64</v>
          </cell>
        </row>
        <row r="1475">
          <cell r="A1475" t="str">
            <v>ORD200273</v>
          </cell>
          <cell r="B1475">
            <v>45592</v>
          </cell>
          <cell r="C1475" t="str">
            <v>C11849</v>
          </cell>
          <cell r="D1475" t="str">
            <v>Tablet</v>
          </cell>
          <cell r="E1475">
            <v>2</v>
          </cell>
          <cell r="F1475">
            <v>238.25</v>
          </cell>
          <cell r="G1475" t="str">
            <v>974 Main St</v>
          </cell>
          <cell r="H1475" t="str">
            <v>Online</v>
          </cell>
          <cell r="I1475" t="str">
            <v>Cancelled</v>
          </cell>
          <cell r="J1475" t="str">
            <v>TRK91195261</v>
          </cell>
          <cell r="K1475">
            <v>7</v>
          </cell>
          <cell r="L1475" t="str">
            <v>FREESHIP</v>
          </cell>
          <cell r="M1475" t="str">
            <v>Email</v>
          </cell>
          <cell r="N1475">
            <v>476.5</v>
          </cell>
        </row>
        <row r="1476">
          <cell r="A1476" t="str">
            <v>ORD200274</v>
          </cell>
          <cell r="B1476">
            <v>44961</v>
          </cell>
          <cell r="C1476" t="str">
            <v>C50967</v>
          </cell>
          <cell r="D1476" t="str">
            <v>Phone</v>
          </cell>
          <cell r="E1476">
            <v>2</v>
          </cell>
          <cell r="F1476">
            <v>182.4</v>
          </cell>
          <cell r="G1476" t="str">
            <v>884 Main St</v>
          </cell>
          <cell r="H1476" t="str">
            <v>Gift Card</v>
          </cell>
          <cell r="I1476" t="str">
            <v>Cancelled</v>
          </cell>
          <cell r="J1476" t="str">
            <v>TRK65300814</v>
          </cell>
          <cell r="K1476">
            <v>5</v>
          </cell>
          <cell r="L1476" t="str">
            <v>SAVE10</v>
          </cell>
          <cell r="M1476" t="str">
            <v>Referral</v>
          </cell>
          <cell r="N1476">
            <v>364.8</v>
          </cell>
        </row>
        <row r="1477">
          <cell r="A1477" t="str">
            <v>ORD200275</v>
          </cell>
          <cell r="B1477">
            <v>45234</v>
          </cell>
          <cell r="C1477" t="str">
            <v>C80735</v>
          </cell>
          <cell r="D1477" t="str">
            <v>Chair</v>
          </cell>
          <cell r="E1477">
            <v>2</v>
          </cell>
          <cell r="F1477">
            <v>65.069999999999993</v>
          </cell>
          <cell r="G1477" t="str">
            <v>360 Main St</v>
          </cell>
          <cell r="H1477" t="str">
            <v>Credit Card</v>
          </cell>
          <cell r="I1477" t="str">
            <v>Cancelled</v>
          </cell>
          <cell r="J1477" t="str">
            <v>TRK99880231</v>
          </cell>
          <cell r="K1477">
            <v>4</v>
          </cell>
          <cell r="L1477" t="str">
            <v>SAVE10</v>
          </cell>
          <cell r="M1477" t="str">
            <v>Google</v>
          </cell>
          <cell r="N1477">
            <v>130.13999999999999</v>
          </cell>
        </row>
        <row r="1478">
          <cell r="A1478" t="str">
            <v>ORD200276</v>
          </cell>
          <cell r="B1478">
            <v>45745</v>
          </cell>
          <cell r="C1478" t="str">
            <v>C99050</v>
          </cell>
          <cell r="D1478" t="str">
            <v>Printer</v>
          </cell>
          <cell r="E1478">
            <v>2</v>
          </cell>
          <cell r="F1478">
            <v>600.57000000000005</v>
          </cell>
          <cell r="G1478" t="str">
            <v>654 Main St</v>
          </cell>
          <cell r="H1478" t="str">
            <v>Debit Card</v>
          </cell>
          <cell r="I1478" t="str">
            <v>Returned</v>
          </cell>
          <cell r="J1478" t="str">
            <v>TRK56927089</v>
          </cell>
          <cell r="K1478">
            <v>3</v>
          </cell>
          <cell r="L1478" t="str">
            <v>WINTER15</v>
          </cell>
          <cell r="M1478" t="str">
            <v>Instagram</v>
          </cell>
          <cell r="N1478">
            <v>1201.1400000000001</v>
          </cell>
        </row>
        <row r="1479">
          <cell r="A1479" t="str">
            <v>ORD200277</v>
          </cell>
          <cell r="B1479">
            <v>45544</v>
          </cell>
          <cell r="C1479" t="str">
            <v>C11210</v>
          </cell>
          <cell r="D1479" t="str">
            <v>Chair</v>
          </cell>
          <cell r="E1479">
            <v>5</v>
          </cell>
          <cell r="F1479">
            <v>90.92</v>
          </cell>
          <cell r="G1479" t="str">
            <v>910 Main St</v>
          </cell>
          <cell r="H1479" t="str">
            <v>Credit Card</v>
          </cell>
          <cell r="I1479" t="str">
            <v>Delivered</v>
          </cell>
          <cell r="J1479" t="str">
            <v>TRK44929965</v>
          </cell>
          <cell r="K1479">
            <v>9</v>
          </cell>
          <cell r="L1479" t="str">
            <v>SAVE10</v>
          </cell>
          <cell r="M1479" t="str">
            <v>Facebook</v>
          </cell>
          <cell r="N1479">
            <v>454.6</v>
          </cell>
        </row>
        <row r="1480">
          <cell r="A1480" t="str">
            <v>ORD200278</v>
          </cell>
          <cell r="B1480">
            <v>45614</v>
          </cell>
          <cell r="C1480" t="str">
            <v>C46015</v>
          </cell>
          <cell r="D1480" t="str">
            <v>Laptop</v>
          </cell>
          <cell r="E1480">
            <v>5</v>
          </cell>
          <cell r="F1480">
            <v>362.46</v>
          </cell>
          <cell r="G1480" t="str">
            <v>299 Main St</v>
          </cell>
          <cell r="H1480" t="str">
            <v>Cash</v>
          </cell>
          <cell r="I1480" t="str">
            <v>Delivered</v>
          </cell>
          <cell r="J1480" t="str">
            <v>TRK46598430</v>
          </cell>
          <cell r="K1480">
            <v>6</v>
          </cell>
          <cell r="L1480" t="str">
            <v>FREESHIP</v>
          </cell>
          <cell r="M1480" t="str">
            <v>Instagram</v>
          </cell>
          <cell r="N1480">
            <v>1812.3</v>
          </cell>
        </row>
        <row r="1481">
          <cell r="A1481" t="str">
            <v>ORD200279</v>
          </cell>
          <cell r="B1481">
            <v>45219</v>
          </cell>
          <cell r="C1481" t="str">
            <v>C69167</v>
          </cell>
          <cell r="D1481" t="str">
            <v>Chair</v>
          </cell>
          <cell r="E1481">
            <v>3</v>
          </cell>
          <cell r="F1481">
            <v>55.01</v>
          </cell>
          <cell r="G1481" t="str">
            <v>263 Main St</v>
          </cell>
          <cell r="H1481" t="str">
            <v>Online</v>
          </cell>
          <cell r="I1481" t="str">
            <v>Pending</v>
          </cell>
          <cell r="J1481" t="str">
            <v>TRK12425655</v>
          </cell>
          <cell r="K1481">
            <v>7</v>
          </cell>
          <cell r="L1481" t="str">
            <v>WINTER15</v>
          </cell>
          <cell r="M1481" t="str">
            <v>Email</v>
          </cell>
          <cell r="N1481">
            <v>165.03</v>
          </cell>
        </row>
        <row r="1482">
          <cell r="A1482" t="str">
            <v>ORD200280</v>
          </cell>
          <cell r="B1482">
            <v>45012</v>
          </cell>
          <cell r="C1482" t="str">
            <v>C55388</v>
          </cell>
          <cell r="D1482" t="str">
            <v>Tablet</v>
          </cell>
          <cell r="E1482">
            <v>3</v>
          </cell>
          <cell r="F1482">
            <v>404.62</v>
          </cell>
          <cell r="G1482" t="str">
            <v>740 Main St</v>
          </cell>
          <cell r="H1482" t="str">
            <v>Gift Card</v>
          </cell>
          <cell r="I1482" t="str">
            <v>Delivered</v>
          </cell>
          <cell r="J1482" t="str">
            <v>TRK75741001</v>
          </cell>
          <cell r="K1482">
            <v>6</v>
          </cell>
          <cell r="L1482" t="str">
            <v>FREESHIP</v>
          </cell>
          <cell r="M1482" t="str">
            <v>Instagram</v>
          </cell>
          <cell r="N1482">
            <v>1213.8599999999999</v>
          </cell>
        </row>
        <row r="1483">
          <cell r="A1483" t="str">
            <v>ORD200281</v>
          </cell>
          <cell r="B1483">
            <v>45134</v>
          </cell>
          <cell r="C1483" t="str">
            <v>C87181</v>
          </cell>
          <cell r="D1483" t="str">
            <v>Desk</v>
          </cell>
          <cell r="E1483">
            <v>4</v>
          </cell>
          <cell r="F1483">
            <v>654.79</v>
          </cell>
          <cell r="G1483" t="str">
            <v>195 Main St</v>
          </cell>
          <cell r="H1483" t="str">
            <v>Cash</v>
          </cell>
          <cell r="I1483" t="str">
            <v>Pending</v>
          </cell>
          <cell r="J1483" t="str">
            <v>TRK60093390</v>
          </cell>
          <cell r="K1483">
            <v>9</v>
          </cell>
          <cell r="L1483" t="str">
            <v>No Coupon</v>
          </cell>
          <cell r="M1483" t="str">
            <v>Referral</v>
          </cell>
          <cell r="N1483">
            <v>2619.16</v>
          </cell>
        </row>
        <row r="1484">
          <cell r="A1484" t="str">
            <v>ORD200282</v>
          </cell>
          <cell r="B1484">
            <v>45769</v>
          </cell>
          <cell r="C1484" t="str">
            <v>C30411</v>
          </cell>
          <cell r="D1484" t="str">
            <v>Printer</v>
          </cell>
          <cell r="E1484">
            <v>4</v>
          </cell>
          <cell r="F1484">
            <v>637.79</v>
          </cell>
          <cell r="G1484" t="str">
            <v>375 Main St</v>
          </cell>
          <cell r="H1484" t="str">
            <v>Gift Card</v>
          </cell>
          <cell r="I1484" t="str">
            <v>Cancelled</v>
          </cell>
          <cell r="J1484" t="str">
            <v>TRK71810536</v>
          </cell>
          <cell r="K1484">
            <v>9</v>
          </cell>
          <cell r="L1484" t="str">
            <v>FREESHIP</v>
          </cell>
          <cell r="M1484" t="str">
            <v>Google</v>
          </cell>
          <cell r="N1484">
            <v>2551.16</v>
          </cell>
        </row>
        <row r="1485">
          <cell r="A1485" t="str">
            <v>ORD200283</v>
          </cell>
          <cell r="B1485">
            <v>45716</v>
          </cell>
          <cell r="C1485" t="str">
            <v>C39638</v>
          </cell>
          <cell r="D1485" t="str">
            <v>Laptop</v>
          </cell>
          <cell r="E1485">
            <v>4</v>
          </cell>
          <cell r="F1485">
            <v>540.33000000000004</v>
          </cell>
          <cell r="G1485" t="str">
            <v>990 Main St</v>
          </cell>
          <cell r="H1485" t="str">
            <v>Cash</v>
          </cell>
          <cell r="I1485" t="str">
            <v>Shipped</v>
          </cell>
          <cell r="J1485" t="str">
            <v>TRK69745608</v>
          </cell>
          <cell r="K1485">
            <v>6</v>
          </cell>
          <cell r="L1485" t="str">
            <v>No Coupon</v>
          </cell>
          <cell r="M1485" t="str">
            <v>Google</v>
          </cell>
          <cell r="N1485">
            <v>2161.3200000000002</v>
          </cell>
        </row>
        <row r="1486">
          <cell r="A1486" t="str">
            <v>ORD200284</v>
          </cell>
          <cell r="B1486">
            <v>44973</v>
          </cell>
          <cell r="C1486" t="str">
            <v>C27203</v>
          </cell>
          <cell r="D1486" t="str">
            <v>Laptop</v>
          </cell>
          <cell r="E1486">
            <v>5</v>
          </cell>
          <cell r="F1486">
            <v>208.17</v>
          </cell>
          <cell r="G1486" t="str">
            <v>516 Main St</v>
          </cell>
          <cell r="H1486" t="str">
            <v>Credit Card</v>
          </cell>
          <cell r="I1486" t="str">
            <v>Returned</v>
          </cell>
          <cell r="J1486" t="str">
            <v>TRK22023906</v>
          </cell>
          <cell r="K1486">
            <v>6</v>
          </cell>
          <cell r="L1486" t="str">
            <v>SAVE10</v>
          </cell>
          <cell r="M1486" t="str">
            <v>Facebook</v>
          </cell>
          <cell r="N1486">
            <v>1040.8499999999999</v>
          </cell>
        </row>
        <row r="1487">
          <cell r="A1487" t="str">
            <v>ORD200285</v>
          </cell>
          <cell r="B1487">
            <v>45818</v>
          </cell>
          <cell r="C1487" t="str">
            <v>C67583</v>
          </cell>
          <cell r="D1487" t="str">
            <v>Phone</v>
          </cell>
          <cell r="E1487">
            <v>1</v>
          </cell>
          <cell r="F1487">
            <v>338.31</v>
          </cell>
          <cell r="G1487" t="str">
            <v>974 Main St</v>
          </cell>
          <cell r="H1487" t="str">
            <v>Online</v>
          </cell>
          <cell r="I1487" t="str">
            <v>Delivered</v>
          </cell>
          <cell r="J1487" t="str">
            <v>TRK93281700</v>
          </cell>
          <cell r="K1487">
            <v>3</v>
          </cell>
          <cell r="L1487" t="str">
            <v>No Coupon</v>
          </cell>
          <cell r="M1487" t="str">
            <v>Google</v>
          </cell>
          <cell r="N1487">
            <v>338.31</v>
          </cell>
        </row>
        <row r="1488">
          <cell r="A1488" t="str">
            <v>ORD200286</v>
          </cell>
          <cell r="B1488">
            <v>45754</v>
          </cell>
          <cell r="C1488" t="str">
            <v>C70554</v>
          </cell>
          <cell r="D1488" t="str">
            <v>Monitor</v>
          </cell>
          <cell r="E1488">
            <v>3</v>
          </cell>
          <cell r="F1488">
            <v>139.44999999999999</v>
          </cell>
          <cell r="G1488" t="str">
            <v>187 Main St</v>
          </cell>
          <cell r="H1488" t="str">
            <v>Gift Card</v>
          </cell>
          <cell r="I1488" t="str">
            <v>Returned</v>
          </cell>
          <cell r="J1488" t="str">
            <v>TRK61086952</v>
          </cell>
          <cell r="K1488">
            <v>8</v>
          </cell>
          <cell r="L1488" t="str">
            <v>WINTER15</v>
          </cell>
          <cell r="M1488" t="str">
            <v>Google</v>
          </cell>
          <cell r="N1488">
            <v>418.35</v>
          </cell>
        </row>
        <row r="1489">
          <cell r="A1489" t="str">
            <v>ORD200287</v>
          </cell>
          <cell r="B1489">
            <v>45254</v>
          </cell>
          <cell r="C1489" t="str">
            <v>C70437</v>
          </cell>
          <cell r="D1489" t="str">
            <v>Chair</v>
          </cell>
          <cell r="E1489">
            <v>4</v>
          </cell>
          <cell r="F1489">
            <v>655.17999999999995</v>
          </cell>
          <cell r="G1489" t="str">
            <v>630 Main St</v>
          </cell>
          <cell r="H1489" t="str">
            <v>Online</v>
          </cell>
          <cell r="I1489" t="str">
            <v>Shipped</v>
          </cell>
          <cell r="J1489" t="str">
            <v>TRK26628830</v>
          </cell>
          <cell r="K1489">
            <v>5</v>
          </cell>
          <cell r="L1489" t="str">
            <v>No Coupon</v>
          </cell>
          <cell r="M1489" t="str">
            <v>Facebook</v>
          </cell>
          <cell r="N1489">
            <v>2620.7199999999998</v>
          </cell>
        </row>
        <row r="1490">
          <cell r="A1490" t="str">
            <v>ORD200288</v>
          </cell>
          <cell r="B1490">
            <v>44997</v>
          </cell>
          <cell r="C1490" t="str">
            <v>C97643</v>
          </cell>
          <cell r="D1490" t="str">
            <v>Laptop</v>
          </cell>
          <cell r="E1490">
            <v>4</v>
          </cell>
          <cell r="F1490">
            <v>512.75</v>
          </cell>
          <cell r="G1490" t="str">
            <v>537 Main St</v>
          </cell>
          <cell r="H1490" t="str">
            <v>Debit Card</v>
          </cell>
          <cell r="I1490" t="str">
            <v>Returned</v>
          </cell>
          <cell r="J1490" t="str">
            <v>TRK60831391</v>
          </cell>
          <cell r="K1490">
            <v>8</v>
          </cell>
          <cell r="L1490" t="str">
            <v>WINTER15</v>
          </cell>
          <cell r="M1490" t="str">
            <v>Google</v>
          </cell>
          <cell r="N1490">
            <v>2051</v>
          </cell>
        </row>
        <row r="1491">
          <cell r="A1491" t="str">
            <v>ORD200289</v>
          </cell>
          <cell r="B1491">
            <v>45133</v>
          </cell>
          <cell r="C1491" t="str">
            <v>C17136</v>
          </cell>
          <cell r="D1491" t="str">
            <v>Chair</v>
          </cell>
          <cell r="E1491">
            <v>4</v>
          </cell>
          <cell r="F1491">
            <v>160.49</v>
          </cell>
          <cell r="G1491" t="str">
            <v>333 Main St</v>
          </cell>
          <cell r="H1491" t="str">
            <v>Credit Card</v>
          </cell>
          <cell r="I1491" t="str">
            <v>Shipped</v>
          </cell>
          <cell r="J1491" t="str">
            <v>TRK55362541</v>
          </cell>
          <cell r="K1491">
            <v>8</v>
          </cell>
          <cell r="L1491" t="str">
            <v>WINTER15</v>
          </cell>
          <cell r="M1491" t="str">
            <v>Referral</v>
          </cell>
          <cell r="N1491">
            <v>641.96</v>
          </cell>
        </row>
        <row r="1492">
          <cell r="A1492" t="str">
            <v>ORD200290</v>
          </cell>
          <cell r="B1492">
            <v>45051</v>
          </cell>
          <cell r="C1492" t="str">
            <v>C24901</v>
          </cell>
          <cell r="D1492" t="str">
            <v>Chair</v>
          </cell>
          <cell r="E1492">
            <v>3</v>
          </cell>
          <cell r="F1492">
            <v>99.9</v>
          </cell>
          <cell r="G1492" t="str">
            <v>258 Main St</v>
          </cell>
          <cell r="H1492" t="str">
            <v>Cash</v>
          </cell>
          <cell r="I1492" t="str">
            <v>Delivered</v>
          </cell>
          <cell r="J1492" t="str">
            <v>TRK14029489</v>
          </cell>
          <cell r="K1492">
            <v>8</v>
          </cell>
          <cell r="L1492" t="str">
            <v>FREESHIP</v>
          </cell>
          <cell r="M1492" t="str">
            <v>Facebook</v>
          </cell>
          <cell r="N1492">
            <v>299.7</v>
          </cell>
        </row>
        <row r="1493">
          <cell r="A1493" t="str">
            <v>ORD200291</v>
          </cell>
          <cell r="B1493">
            <v>45424</v>
          </cell>
          <cell r="C1493" t="str">
            <v>C61521</v>
          </cell>
          <cell r="D1493" t="str">
            <v>Phone</v>
          </cell>
          <cell r="E1493">
            <v>2</v>
          </cell>
          <cell r="F1493">
            <v>345.01</v>
          </cell>
          <cell r="G1493" t="str">
            <v>670 Main St</v>
          </cell>
          <cell r="H1493" t="str">
            <v>Credit Card</v>
          </cell>
          <cell r="I1493" t="str">
            <v>Delivered</v>
          </cell>
          <cell r="J1493" t="str">
            <v>TRK93676567</v>
          </cell>
          <cell r="K1493">
            <v>6</v>
          </cell>
          <cell r="L1493" t="str">
            <v>FREESHIP</v>
          </cell>
          <cell r="M1493" t="str">
            <v>Google</v>
          </cell>
          <cell r="N1493">
            <v>690.02</v>
          </cell>
        </row>
        <row r="1494">
          <cell r="A1494" t="str">
            <v>ORD200292</v>
          </cell>
          <cell r="B1494">
            <v>45672</v>
          </cell>
          <cell r="C1494" t="str">
            <v>C39639</v>
          </cell>
          <cell r="D1494" t="str">
            <v>Monitor</v>
          </cell>
          <cell r="E1494">
            <v>1</v>
          </cell>
          <cell r="F1494">
            <v>65.95</v>
          </cell>
          <cell r="G1494" t="str">
            <v>185 Main St</v>
          </cell>
          <cell r="H1494" t="str">
            <v>Credit Card</v>
          </cell>
          <cell r="I1494" t="str">
            <v>Delivered</v>
          </cell>
          <cell r="J1494" t="str">
            <v>TRK31042152</v>
          </cell>
          <cell r="K1494">
            <v>5</v>
          </cell>
          <cell r="L1494" t="str">
            <v>No Coupon</v>
          </cell>
          <cell r="M1494" t="str">
            <v>Facebook</v>
          </cell>
          <cell r="N1494">
            <v>65.95</v>
          </cell>
        </row>
        <row r="1495">
          <cell r="A1495" t="str">
            <v>ORD200293</v>
          </cell>
          <cell r="B1495">
            <v>44973</v>
          </cell>
          <cell r="C1495" t="str">
            <v>C33220</v>
          </cell>
          <cell r="D1495" t="str">
            <v>Tablet</v>
          </cell>
          <cell r="E1495">
            <v>4</v>
          </cell>
          <cell r="F1495">
            <v>463.04</v>
          </cell>
          <cell r="G1495" t="str">
            <v>564 Main St</v>
          </cell>
          <cell r="H1495" t="str">
            <v>Gift Card</v>
          </cell>
          <cell r="I1495" t="str">
            <v>Returned</v>
          </cell>
          <cell r="J1495" t="str">
            <v>TRK40450219</v>
          </cell>
          <cell r="K1495">
            <v>9</v>
          </cell>
          <cell r="L1495" t="str">
            <v>No Coupon</v>
          </cell>
          <cell r="M1495" t="str">
            <v>Instagram</v>
          </cell>
          <cell r="N1495">
            <v>1852.16</v>
          </cell>
        </row>
        <row r="1496">
          <cell r="A1496" t="str">
            <v>ORD200294</v>
          </cell>
          <cell r="B1496">
            <v>45748</v>
          </cell>
          <cell r="C1496" t="str">
            <v>C65414</v>
          </cell>
          <cell r="D1496" t="str">
            <v>Phone</v>
          </cell>
          <cell r="E1496">
            <v>2</v>
          </cell>
          <cell r="F1496">
            <v>297.70999999999998</v>
          </cell>
          <cell r="G1496" t="str">
            <v>208 Main St</v>
          </cell>
          <cell r="H1496" t="str">
            <v>Online</v>
          </cell>
          <cell r="I1496" t="str">
            <v>Shipped</v>
          </cell>
          <cell r="J1496" t="str">
            <v>TRK67562517</v>
          </cell>
          <cell r="K1496">
            <v>7</v>
          </cell>
          <cell r="L1496" t="str">
            <v>SAVE10</v>
          </cell>
          <cell r="M1496" t="str">
            <v>Referral</v>
          </cell>
          <cell r="N1496">
            <v>595.41999999999996</v>
          </cell>
        </row>
        <row r="1497">
          <cell r="A1497" t="str">
            <v>ORD200295</v>
          </cell>
          <cell r="B1497">
            <v>44951</v>
          </cell>
          <cell r="C1497" t="str">
            <v>C49009</v>
          </cell>
          <cell r="D1497" t="str">
            <v>Printer</v>
          </cell>
          <cell r="E1497">
            <v>5</v>
          </cell>
          <cell r="F1497">
            <v>107.48</v>
          </cell>
          <cell r="G1497" t="str">
            <v>278 Main St</v>
          </cell>
          <cell r="H1497" t="str">
            <v>Debit Card</v>
          </cell>
          <cell r="I1497" t="str">
            <v>Cancelled</v>
          </cell>
          <cell r="J1497" t="str">
            <v>TRK46285799</v>
          </cell>
          <cell r="K1497">
            <v>9</v>
          </cell>
          <cell r="L1497" t="str">
            <v>FREESHIP</v>
          </cell>
          <cell r="M1497" t="str">
            <v>Email</v>
          </cell>
          <cell r="N1497">
            <v>537.4</v>
          </cell>
        </row>
        <row r="1498">
          <cell r="A1498" t="str">
            <v>ORD200296</v>
          </cell>
          <cell r="B1498">
            <v>45462</v>
          </cell>
          <cell r="C1498" t="str">
            <v>C48453</v>
          </cell>
          <cell r="D1498" t="str">
            <v>Desk</v>
          </cell>
          <cell r="E1498">
            <v>5</v>
          </cell>
          <cell r="F1498">
            <v>638.79999999999995</v>
          </cell>
          <cell r="G1498" t="str">
            <v>434 Main St</v>
          </cell>
          <cell r="H1498" t="str">
            <v>Debit Card</v>
          </cell>
          <cell r="I1498" t="str">
            <v>Cancelled</v>
          </cell>
          <cell r="J1498" t="str">
            <v>TRK52110494</v>
          </cell>
          <cell r="K1498">
            <v>10</v>
          </cell>
          <cell r="L1498" t="str">
            <v>WINTER15</v>
          </cell>
          <cell r="M1498" t="str">
            <v>Referral</v>
          </cell>
          <cell r="N1498">
            <v>3194</v>
          </cell>
        </row>
        <row r="1499">
          <cell r="A1499" t="str">
            <v>ORD200297</v>
          </cell>
          <cell r="B1499">
            <v>44979</v>
          </cell>
          <cell r="C1499" t="str">
            <v>C68078</v>
          </cell>
          <cell r="D1499" t="str">
            <v>Desk</v>
          </cell>
          <cell r="E1499">
            <v>2</v>
          </cell>
          <cell r="F1499">
            <v>493.88</v>
          </cell>
          <cell r="G1499" t="str">
            <v>252 Main St</v>
          </cell>
          <cell r="H1499" t="str">
            <v>Credit Card</v>
          </cell>
          <cell r="I1499" t="str">
            <v>Returned</v>
          </cell>
          <cell r="J1499" t="str">
            <v>TRK64862812</v>
          </cell>
          <cell r="K1499">
            <v>7</v>
          </cell>
          <cell r="L1499" t="str">
            <v>SAVE10</v>
          </cell>
          <cell r="M1499" t="str">
            <v>Instagram</v>
          </cell>
          <cell r="N1499">
            <v>987.76</v>
          </cell>
        </row>
        <row r="1500">
          <cell r="A1500" t="str">
            <v>ORD200298</v>
          </cell>
          <cell r="B1500">
            <v>45279</v>
          </cell>
          <cell r="C1500" t="str">
            <v>C19402</v>
          </cell>
          <cell r="D1500" t="str">
            <v>Printer</v>
          </cell>
          <cell r="E1500">
            <v>4</v>
          </cell>
          <cell r="F1500">
            <v>301.17</v>
          </cell>
          <cell r="G1500" t="str">
            <v>267 Main St</v>
          </cell>
          <cell r="H1500" t="str">
            <v>Online</v>
          </cell>
          <cell r="I1500" t="str">
            <v>Cancelled</v>
          </cell>
          <cell r="J1500" t="str">
            <v>TRK97825212</v>
          </cell>
          <cell r="K1500">
            <v>6</v>
          </cell>
          <cell r="L1500" t="str">
            <v>No Coupon</v>
          </cell>
          <cell r="M1500" t="str">
            <v>Email</v>
          </cell>
          <cell r="N1500">
            <v>1204.68</v>
          </cell>
        </row>
        <row r="1501">
          <cell r="A1501" t="str">
            <v>ORD200299</v>
          </cell>
          <cell r="B1501">
            <v>45311</v>
          </cell>
          <cell r="C1501" t="str">
            <v>C30711</v>
          </cell>
          <cell r="D1501" t="str">
            <v>Monitor</v>
          </cell>
          <cell r="E1501">
            <v>1</v>
          </cell>
          <cell r="F1501">
            <v>278.66000000000003</v>
          </cell>
          <cell r="G1501" t="str">
            <v>856 Main St</v>
          </cell>
          <cell r="H1501" t="str">
            <v>Gift Card</v>
          </cell>
          <cell r="I1501" t="str">
            <v>Cancelled</v>
          </cell>
          <cell r="J1501" t="str">
            <v>TRK42696593</v>
          </cell>
          <cell r="K1501">
            <v>2</v>
          </cell>
          <cell r="L1501" t="str">
            <v>FREESHIP</v>
          </cell>
          <cell r="M1501" t="str">
            <v>Instagram</v>
          </cell>
          <cell r="N1501">
            <v>278.66000000000003</v>
          </cell>
        </row>
        <row r="1502">
          <cell r="A1502" t="str">
            <v>ORD200300</v>
          </cell>
          <cell r="B1502">
            <v>45537</v>
          </cell>
          <cell r="C1502" t="str">
            <v>C39000</v>
          </cell>
          <cell r="D1502" t="str">
            <v>Phone</v>
          </cell>
          <cell r="E1502">
            <v>1</v>
          </cell>
          <cell r="F1502">
            <v>287.45999999999998</v>
          </cell>
          <cell r="G1502" t="str">
            <v>894 Main St</v>
          </cell>
          <cell r="H1502" t="str">
            <v>Debit Card</v>
          </cell>
          <cell r="I1502" t="str">
            <v>Returned</v>
          </cell>
          <cell r="J1502" t="str">
            <v>TRK33753945</v>
          </cell>
          <cell r="K1502">
            <v>3</v>
          </cell>
          <cell r="L1502" t="str">
            <v>FREESHIP</v>
          </cell>
          <cell r="M1502" t="str">
            <v>Facebook</v>
          </cell>
          <cell r="N1502">
            <v>287.45999999999998</v>
          </cell>
        </row>
        <row r="1503">
          <cell r="A1503" t="str">
            <v>ORD200301</v>
          </cell>
          <cell r="B1503">
            <v>45057</v>
          </cell>
          <cell r="C1503" t="str">
            <v>C31105</v>
          </cell>
          <cell r="D1503" t="str">
            <v>Chair</v>
          </cell>
          <cell r="E1503">
            <v>1</v>
          </cell>
          <cell r="F1503">
            <v>583.99</v>
          </cell>
          <cell r="G1503" t="str">
            <v>726 Main St</v>
          </cell>
          <cell r="H1503" t="str">
            <v>Cash</v>
          </cell>
          <cell r="I1503" t="str">
            <v>Cancelled</v>
          </cell>
          <cell r="J1503" t="str">
            <v>TRK40149095</v>
          </cell>
          <cell r="K1503">
            <v>2</v>
          </cell>
          <cell r="L1503" t="str">
            <v>SAVE10</v>
          </cell>
          <cell r="M1503" t="str">
            <v>Email</v>
          </cell>
          <cell r="N1503">
            <v>583.99</v>
          </cell>
        </row>
        <row r="1504">
          <cell r="A1504" t="str">
            <v>ORD200302</v>
          </cell>
          <cell r="B1504">
            <v>45062</v>
          </cell>
          <cell r="C1504" t="str">
            <v>C29432</v>
          </cell>
          <cell r="D1504" t="str">
            <v>Chair</v>
          </cell>
          <cell r="E1504">
            <v>3</v>
          </cell>
          <cell r="F1504">
            <v>468.74</v>
          </cell>
          <cell r="G1504" t="str">
            <v>121 Main St</v>
          </cell>
          <cell r="H1504" t="str">
            <v>Cash</v>
          </cell>
          <cell r="I1504" t="str">
            <v>Pending</v>
          </cell>
          <cell r="J1504" t="str">
            <v>TRK44142517</v>
          </cell>
          <cell r="K1504">
            <v>4</v>
          </cell>
          <cell r="L1504" t="str">
            <v>FREESHIP</v>
          </cell>
          <cell r="M1504" t="str">
            <v>Instagram</v>
          </cell>
          <cell r="N1504">
            <v>1406.22</v>
          </cell>
        </row>
        <row r="1505">
          <cell r="A1505" t="str">
            <v>ORD200303</v>
          </cell>
          <cell r="B1505">
            <v>45633</v>
          </cell>
          <cell r="C1505" t="str">
            <v>C48531</v>
          </cell>
          <cell r="D1505" t="str">
            <v>Tablet</v>
          </cell>
          <cell r="E1505">
            <v>1</v>
          </cell>
          <cell r="F1505">
            <v>30.54</v>
          </cell>
          <cell r="G1505" t="str">
            <v>368 Main St</v>
          </cell>
          <cell r="H1505" t="str">
            <v>Debit Card</v>
          </cell>
          <cell r="I1505" t="str">
            <v>Returned</v>
          </cell>
          <cell r="J1505" t="str">
            <v>TRK95462192</v>
          </cell>
          <cell r="K1505">
            <v>1</v>
          </cell>
          <cell r="L1505" t="str">
            <v>No Coupon</v>
          </cell>
          <cell r="M1505" t="str">
            <v>Google</v>
          </cell>
          <cell r="N1505">
            <v>30.54</v>
          </cell>
        </row>
        <row r="1506">
          <cell r="A1506" t="str">
            <v>ORD200304</v>
          </cell>
          <cell r="B1506">
            <v>45583</v>
          </cell>
          <cell r="C1506" t="str">
            <v>C86762</v>
          </cell>
          <cell r="D1506" t="str">
            <v>Monitor</v>
          </cell>
          <cell r="E1506">
            <v>5</v>
          </cell>
          <cell r="F1506">
            <v>408.73</v>
          </cell>
          <cell r="G1506" t="str">
            <v>326 Main St</v>
          </cell>
          <cell r="H1506" t="str">
            <v>Gift Card</v>
          </cell>
          <cell r="I1506" t="str">
            <v>Delivered</v>
          </cell>
          <cell r="J1506" t="str">
            <v>TRK75686292</v>
          </cell>
          <cell r="K1506">
            <v>10</v>
          </cell>
          <cell r="L1506" t="str">
            <v>FREESHIP</v>
          </cell>
          <cell r="M1506" t="str">
            <v>Instagram</v>
          </cell>
          <cell r="N1506">
            <v>2043.65</v>
          </cell>
        </row>
        <row r="1507">
          <cell r="A1507" t="str">
            <v>ORD200305</v>
          </cell>
          <cell r="B1507">
            <v>45255</v>
          </cell>
          <cell r="C1507" t="str">
            <v>C63822</v>
          </cell>
          <cell r="D1507" t="str">
            <v>Laptop</v>
          </cell>
          <cell r="E1507">
            <v>4</v>
          </cell>
          <cell r="F1507">
            <v>126.89</v>
          </cell>
          <cell r="G1507" t="str">
            <v>235 Main St</v>
          </cell>
          <cell r="H1507" t="str">
            <v>Cash</v>
          </cell>
          <cell r="I1507" t="str">
            <v>Pending</v>
          </cell>
          <cell r="J1507" t="str">
            <v>TRK59353216</v>
          </cell>
          <cell r="K1507">
            <v>9</v>
          </cell>
          <cell r="L1507" t="str">
            <v>FREESHIP</v>
          </cell>
          <cell r="M1507" t="str">
            <v>Instagram</v>
          </cell>
          <cell r="N1507">
            <v>507.56</v>
          </cell>
        </row>
        <row r="1508">
          <cell r="A1508" t="str">
            <v>ORD200306</v>
          </cell>
          <cell r="B1508">
            <v>45450</v>
          </cell>
          <cell r="C1508" t="str">
            <v>C70495</v>
          </cell>
          <cell r="D1508" t="str">
            <v>Printer</v>
          </cell>
          <cell r="E1508">
            <v>2</v>
          </cell>
          <cell r="F1508">
            <v>57.07</v>
          </cell>
          <cell r="G1508" t="str">
            <v>238 Main St</v>
          </cell>
          <cell r="H1508" t="str">
            <v>Debit Card</v>
          </cell>
          <cell r="I1508" t="str">
            <v>Returned</v>
          </cell>
          <cell r="J1508" t="str">
            <v>TRK65511225</v>
          </cell>
          <cell r="K1508">
            <v>3</v>
          </cell>
          <cell r="L1508" t="str">
            <v>SAVE10</v>
          </cell>
          <cell r="M1508" t="str">
            <v>Instagram</v>
          </cell>
          <cell r="N1508">
            <v>114.14</v>
          </cell>
        </row>
        <row r="1509">
          <cell r="A1509" t="str">
            <v>ORD200307</v>
          </cell>
          <cell r="B1509">
            <v>45108</v>
          </cell>
          <cell r="C1509" t="str">
            <v>C92407</v>
          </cell>
          <cell r="D1509" t="str">
            <v>Laptop</v>
          </cell>
          <cell r="E1509">
            <v>3</v>
          </cell>
          <cell r="F1509">
            <v>557.41</v>
          </cell>
          <cell r="G1509" t="str">
            <v>135 Main St</v>
          </cell>
          <cell r="H1509" t="str">
            <v>Online</v>
          </cell>
          <cell r="I1509" t="str">
            <v>Delivered</v>
          </cell>
          <cell r="J1509" t="str">
            <v>TRK11755610</v>
          </cell>
          <cell r="K1509">
            <v>4</v>
          </cell>
          <cell r="L1509" t="str">
            <v>No Coupon</v>
          </cell>
          <cell r="M1509" t="str">
            <v>Email</v>
          </cell>
          <cell r="N1509">
            <v>1672.23</v>
          </cell>
        </row>
        <row r="1510">
          <cell r="A1510" t="str">
            <v>ORD200308</v>
          </cell>
          <cell r="B1510">
            <v>45271</v>
          </cell>
          <cell r="C1510" t="str">
            <v>C75888</v>
          </cell>
          <cell r="D1510" t="str">
            <v>Printer</v>
          </cell>
          <cell r="E1510">
            <v>3</v>
          </cell>
          <cell r="F1510">
            <v>448.9</v>
          </cell>
          <cell r="G1510" t="str">
            <v>790 Main St</v>
          </cell>
          <cell r="H1510" t="str">
            <v>Debit Card</v>
          </cell>
          <cell r="I1510" t="str">
            <v>Returned</v>
          </cell>
          <cell r="J1510" t="str">
            <v>TRK98467398</v>
          </cell>
          <cell r="K1510">
            <v>7</v>
          </cell>
          <cell r="L1510" t="str">
            <v>SAVE10</v>
          </cell>
          <cell r="M1510" t="str">
            <v>Instagram</v>
          </cell>
          <cell r="N1510">
            <v>1346.7</v>
          </cell>
        </row>
        <row r="1511">
          <cell r="A1511" t="str">
            <v>ORD200309</v>
          </cell>
          <cell r="B1511">
            <v>45202</v>
          </cell>
          <cell r="C1511" t="str">
            <v>C63153</v>
          </cell>
          <cell r="D1511" t="str">
            <v>Chair</v>
          </cell>
          <cell r="E1511">
            <v>4</v>
          </cell>
          <cell r="F1511">
            <v>549.76</v>
          </cell>
          <cell r="G1511" t="str">
            <v>625 Main St</v>
          </cell>
          <cell r="H1511" t="str">
            <v>Debit Card</v>
          </cell>
          <cell r="I1511" t="str">
            <v>Delivered</v>
          </cell>
          <cell r="J1511" t="str">
            <v>TRK38033305</v>
          </cell>
          <cell r="K1511">
            <v>4</v>
          </cell>
          <cell r="L1511" t="str">
            <v>FREESHIP</v>
          </cell>
          <cell r="M1511" t="str">
            <v>Facebook</v>
          </cell>
          <cell r="N1511">
            <v>2199.04</v>
          </cell>
        </row>
        <row r="1512">
          <cell r="A1512" t="str">
            <v>ORD200310</v>
          </cell>
          <cell r="B1512">
            <v>45346</v>
          </cell>
          <cell r="C1512" t="str">
            <v>C85863</v>
          </cell>
          <cell r="D1512" t="str">
            <v>Printer</v>
          </cell>
          <cell r="E1512">
            <v>3</v>
          </cell>
          <cell r="F1512">
            <v>132.47999999999999</v>
          </cell>
          <cell r="G1512" t="str">
            <v>968 Main St</v>
          </cell>
          <cell r="H1512" t="str">
            <v>Online</v>
          </cell>
          <cell r="I1512" t="str">
            <v>Shipped</v>
          </cell>
          <cell r="J1512" t="str">
            <v>TRK16094218</v>
          </cell>
          <cell r="K1512">
            <v>4</v>
          </cell>
          <cell r="L1512" t="str">
            <v>No Coupon</v>
          </cell>
          <cell r="M1512" t="str">
            <v>Referral</v>
          </cell>
          <cell r="N1512">
            <v>397.44</v>
          </cell>
        </row>
        <row r="1513">
          <cell r="A1513" t="str">
            <v>ORD200311</v>
          </cell>
          <cell r="B1513">
            <v>45794</v>
          </cell>
          <cell r="C1513" t="str">
            <v>C71698</v>
          </cell>
          <cell r="D1513" t="str">
            <v>Desk</v>
          </cell>
          <cell r="E1513">
            <v>5</v>
          </cell>
          <cell r="F1513">
            <v>489.37</v>
          </cell>
          <cell r="G1513" t="str">
            <v>274 Main St</v>
          </cell>
          <cell r="H1513" t="str">
            <v>Online</v>
          </cell>
          <cell r="I1513" t="str">
            <v>Returned</v>
          </cell>
          <cell r="J1513" t="str">
            <v>TRK34786818</v>
          </cell>
          <cell r="K1513">
            <v>8</v>
          </cell>
          <cell r="L1513" t="str">
            <v>No Coupon</v>
          </cell>
          <cell r="M1513" t="str">
            <v>Instagram</v>
          </cell>
          <cell r="N1513">
            <v>2446.85</v>
          </cell>
        </row>
        <row r="1514">
          <cell r="A1514" t="str">
            <v>ORD200312</v>
          </cell>
          <cell r="B1514">
            <v>45801</v>
          </cell>
          <cell r="C1514" t="str">
            <v>C35397</v>
          </cell>
          <cell r="D1514" t="str">
            <v>Printer</v>
          </cell>
          <cell r="E1514">
            <v>5</v>
          </cell>
          <cell r="F1514">
            <v>66.31</v>
          </cell>
          <cell r="G1514" t="str">
            <v>579 Main St</v>
          </cell>
          <cell r="H1514" t="str">
            <v>Gift Card</v>
          </cell>
          <cell r="I1514" t="str">
            <v>Pending</v>
          </cell>
          <cell r="J1514" t="str">
            <v>TRK64742535</v>
          </cell>
          <cell r="K1514">
            <v>7</v>
          </cell>
          <cell r="L1514" t="str">
            <v>FREESHIP</v>
          </cell>
          <cell r="M1514" t="str">
            <v>Referral</v>
          </cell>
          <cell r="N1514">
            <v>331.55</v>
          </cell>
        </row>
        <row r="1515">
          <cell r="A1515" t="str">
            <v>ORD200313</v>
          </cell>
          <cell r="B1515">
            <v>45116</v>
          </cell>
          <cell r="C1515" t="str">
            <v>C67687</v>
          </cell>
          <cell r="D1515" t="str">
            <v>Chair</v>
          </cell>
          <cell r="E1515">
            <v>2</v>
          </cell>
          <cell r="F1515">
            <v>434.3</v>
          </cell>
          <cell r="G1515" t="str">
            <v>978 Main St</v>
          </cell>
          <cell r="H1515" t="str">
            <v>Cash</v>
          </cell>
          <cell r="I1515" t="str">
            <v>Delivered</v>
          </cell>
          <cell r="J1515" t="str">
            <v>TRK22838735</v>
          </cell>
          <cell r="K1515">
            <v>7</v>
          </cell>
          <cell r="L1515" t="str">
            <v>SAVE10</v>
          </cell>
          <cell r="M1515" t="str">
            <v>Instagram</v>
          </cell>
          <cell r="N1515">
            <v>868.6</v>
          </cell>
        </row>
        <row r="1516">
          <cell r="A1516" t="str">
            <v>ORD200314</v>
          </cell>
          <cell r="B1516">
            <v>45203</v>
          </cell>
          <cell r="C1516" t="str">
            <v>C29931</v>
          </cell>
          <cell r="D1516" t="str">
            <v>Desk</v>
          </cell>
          <cell r="E1516">
            <v>4</v>
          </cell>
          <cell r="F1516">
            <v>153.09</v>
          </cell>
          <cell r="G1516" t="str">
            <v>540 Main St</v>
          </cell>
          <cell r="H1516" t="str">
            <v>Online</v>
          </cell>
          <cell r="I1516" t="str">
            <v>Delivered</v>
          </cell>
          <cell r="J1516" t="str">
            <v>TRK48712417</v>
          </cell>
          <cell r="K1516">
            <v>4</v>
          </cell>
          <cell r="L1516" t="str">
            <v>FREESHIP</v>
          </cell>
          <cell r="M1516" t="str">
            <v>Referral</v>
          </cell>
          <cell r="N1516">
            <v>612.36</v>
          </cell>
        </row>
        <row r="1517">
          <cell r="A1517" t="str">
            <v>ORD200315</v>
          </cell>
          <cell r="B1517">
            <v>45789</v>
          </cell>
          <cell r="C1517" t="str">
            <v>C59139</v>
          </cell>
          <cell r="D1517" t="str">
            <v>Tablet</v>
          </cell>
          <cell r="E1517">
            <v>5</v>
          </cell>
          <cell r="F1517">
            <v>91.67</v>
          </cell>
          <cell r="G1517" t="str">
            <v>301 Main St</v>
          </cell>
          <cell r="H1517" t="str">
            <v>Online</v>
          </cell>
          <cell r="I1517" t="str">
            <v>Cancelled</v>
          </cell>
          <cell r="J1517" t="str">
            <v>TRK45507090</v>
          </cell>
          <cell r="K1517">
            <v>9</v>
          </cell>
          <cell r="L1517" t="str">
            <v>FREESHIP</v>
          </cell>
          <cell r="M1517" t="str">
            <v>Email</v>
          </cell>
          <cell r="N1517">
            <v>458.35</v>
          </cell>
        </row>
        <row r="1518">
          <cell r="A1518" t="str">
            <v>ORD200316</v>
          </cell>
          <cell r="B1518">
            <v>45201</v>
          </cell>
          <cell r="C1518" t="str">
            <v>C66078</v>
          </cell>
          <cell r="D1518" t="str">
            <v>Desk</v>
          </cell>
          <cell r="E1518">
            <v>4</v>
          </cell>
          <cell r="F1518">
            <v>275.27999999999997</v>
          </cell>
          <cell r="G1518" t="str">
            <v>101 Main St</v>
          </cell>
          <cell r="H1518" t="str">
            <v>Gift Card</v>
          </cell>
          <cell r="I1518" t="str">
            <v>Shipped</v>
          </cell>
          <cell r="J1518" t="str">
            <v>TRK86474559</v>
          </cell>
          <cell r="K1518">
            <v>9</v>
          </cell>
          <cell r="L1518" t="str">
            <v>WINTER15</v>
          </cell>
          <cell r="M1518" t="str">
            <v>Facebook</v>
          </cell>
          <cell r="N1518">
            <v>1101.1199999999999</v>
          </cell>
        </row>
        <row r="1519">
          <cell r="A1519" t="str">
            <v>ORD200317</v>
          </cell>
          <cell r="B1519">
            <v>45026</v>
          </cell>
          <cell r="C1519" t="str">
            <v>C88370</v>
          </cell>
          <cell r="D1519" t="str">
            <v>Monitor</v>
          </cell>
          <cell r="E1519">
            <v>2</v>
          </cell>
          <cell r="F1519">
            <v>139.94999999999999</v>
          </cell>
          <cell r="G1519" t="str">
            <v>339 Main St</v>
          </cell>
          <cell r="H1519" t="str">
            <v>Online</v>
          </cell>
          <cell r="I1519" t="str">
            <v>Returned</v>
          </cell>
          <cell r="J1519" t="str">
            <v>TRK22575151</v>
          </cell>
          <cell r="K1519">
            <v>5</v>
          </cell>
          <cell r="L1519" t="str">
            <v>No Coupon</v>
          </cell>
          <cell r="M1519" t="str">
            <v>Instagram</v>
          </cell>
          <cell r="N1519">
            <v>279.89999999999998</v>
          </cell>
        </row>
        <row r="1520">
          <cell r="A1520" t="str">
            <v>ORD200318</v>
          </cell>
          <cell r="B1520">
            <v>45500</v>
          </cell>
          <cell r="C1520" t="str">
            <v>C93375</v>
          </cell>
          <cell r="D1520" t="str">
            <v>Chair</v>
          </cell>
          <cell r="E1520">
            <v>3</v>
          </cell>
          <cell r="F1520">
            <v>148.72</v>
          </cell>
          <cell r="G1520" t="str">
            <v>317 Main St</v>
          </cell>
          <cell r="H1520" t="str">
            <v>Debit Card</v>
          </cell>
          <cell r="I1520" t="str">
            <v>Cancelled</v>
          </cell>
          <cell r="J1520" t="str">
            <v>TRK95706967</v>
          </cell>
          <cell r="K1520">
            <v>7</v>
          </cell>
          <cell r="L1520" t="str">
            <v>SAVE10</v>
          </cell>
          <cell r="M1520" t="str">
            <v>Google</v>
          </cell>
          <cell r="N1520">
            <v>446.16</v>
          </cell>
        </row>
        <row r="1521">
          <cell r="A1521" t="str">
            <v>ORD200319</v>
          </cell>
          <cell r="B1521">
            <v>45262</v>
          </cell>
          <cell r="C1521" t="str">
            <v>C53049</v>
          </cell>
          <cell r="D1521" t="str">
            <v>Laptop</v>
          </cell>
          <cell r="E1521">
            <v>2</v>
          </cell>
          <cell r="F1521">
            <v>563.05999999999995</v>
          </cell>
          <cell r="G1521" t="str">
            <v>413 Main St</v>
          </cell>
          <cell r="H1521" t="str">
            <v>Cash</v>
          </cell>
          <cell r="I1521" t="str">
            <v>Returned</v>
          </cell>
          <cell r="J1521" t="str">
            <v>TRK48974907</v>
          </cell>
          <cell r="K1521">
            <v>6</v>
          </cell>
          <cell r="L1521" t="str">
            <v>No Coupon</v>
          </cell>
          <cell r="M1521" t="str">
            <v>Instagram</v>
          </cell>
          <cell r="N1521">
            <v>1126.1199999999999</v>
          </cell>
        </row>
        <row r="1522">
          <cell r="A1522" t="str">
            <v>ORD200320</v>
          </cell>
          <cell r="B1522">
            <v>45645</v>
          </cell>
          <cell r="C1522" t="str">
            <v>C55590</v>
          </cell>
          <cell r="D1522" t="str">
            <v>Printer</v>
          </cell>
          <cell r="E1522">
            <v>1</v>
          </cell>
          <cell r="F1522">
            <v>625.51</v>
          </cell>
          <cell r="G1522" t="str">
            <v>772 Main St</v>
          </cell>
          <cell r="H1522" t="str">
            <v>Credit Card</v>
          </cell>
          <cell r="I1522" t="str">
            <v>Shipped</v>
          </cell>
          <cell r="J1522" t="str">
            <v>TRK48792951</v>
          </cell>
          <cell r="K1522">
            <v>1</v>
          </cell>
          <cell r="L1522" t="str">
            <v>FREESHIP</v>
          </cell>
          <cell r="M1522" t="str">
            <v>Facebook</v>
          </cell>
          <cell r="N1522">
            <v>625.51</v>
          </cell>
        </row>
        <row r="1523">
          <cell r="A1523" t="str">
            <v>ORD200321</v>
          </cell>
          <cell r="B1523">
            <v>45147</v>
          </cell>
          <cell r="C1523" t="str">
            <v>C47086</v>
          </cell>
          <cell r="D1523" t="str">
            <v>Phone</v>
          </cell>
          <cell r="E1523">
            <v>4</v>
          </cell>
          <cell r="F1523">
            <v>152.29</v>
          </cell>
          <cell r="G1523" t="str">
            <v>135 Main St</v>
          </cell>
          <cell r="H1523" t="str">
            <v>Debit Card</v>
          </cell>
          <cell r="I1523" t="str">
            <v>Cancelled</v>
          </cell>
          <cell r="J1523" t="str">
            <v>TRK44194358</v>
          </cell>
          <cell r="K1523">
            <v>6</v>
          </cell>
          <cell r="L1523" t="str">
            <v>WINTER15</v>
          </cell>
          <cell r="M1523" t="str">
            <v>Google</v>
          </cell>
          <cell r="N1523">
            <v>609.16</v>
          </cell>
        </row>
        <row r="1524">
          <cell r="A1524" t="str">
            <v>ORD200322</v>
          </cell>
          <cell r="B1524">
            <v>45457</v>
          </cell>
          <cell r="C1524" t="str">
            <v>C48646</v>
          </cell>
          <cell r="D1524" t="str">
            <v>Phone</v>
          </cell>
          <cell r="E1524">
            <v>5</v>
          </cell>
          <cell r="F1524">
            <v>231.82</v>
          </cell>
          <cell r="G1524" t="str">
            <v>339 Main St</v>
          </cell>
          <cell r="H1524" t="str">
            <v>Debit Card</v>
          </cell>
          <cell r="I1524" t="str">
            <v>Delivered</v>
          </cell>
          <cell r="J1524" t="str">
            <v>TRK18233748</v>
          </cell>
          <cell r="K1524">
            <v>6</v>
          </cell>
          <cell r="L1524" t="str">
            <v>SAVE10</v>
          </cell>
          <cell r="M1524" t="str">
            <v>Facebook</v>
          </cell>
          <cell r="N1524">
            <v>1159.0999999999999</v>
          </cell>
        </row>
        <row r="1525">
          <cell r="A1525" t="str">
            <v>ORD200323</v>
          </cell>
          <cell r="B1525">
            <v>45683</v>
          </cell>
          <cell r="C1525" t="str">
            <v>C29416</v>
          </cell>
          <cell r="D1525" t="str">
            <v>Laptop</v>
          </cell>
          <cell r="E1525">
            <v>1</v>
          </cell>
          <cell r="F1525">
            <v>150.16999999999999</v>
          </cell>
          <cell r="G1525" t="str">
            <v>414 Main St</v>
          </cell>
          <cell r="H1525" t="str">
            <v>Debit Card</v>
          </cell>
          <cell r="I1525" t="str">
            <v>Returned</v>
          </cell>
          <cell r="J1525" t="str">
            <v>TRK63820842</v>
          </cell>
          <cell r="K1525">
            <v>1</v>
          </cell>
          <cell r="L1525" t="str">
            <v>SAVE10</v>
          </cell>
          <cell r="M1525" t="str">
            <v>Referral</v>
          </cell>
          <cell r="N1525">
            <v>150.16999999999999</v>
          </cell>
        </row>
        <row r="1526">
          <cell r="A1526" t="str">
            <v>ORD200324</v>
          </cell>
          <cell r="B1526">
            <v>45456</v>
          </cell>
          <cell r="C1526" t="str">
            <v>C13525</v>
          </cell>
          <cell r="D1526" t="str">
            <v>Tablet</v>
          </cell>
          <cell r="E1526">
            <v>3</v>
          </cell>
          <cell r="F1526">
            <v>70.930000000000007</v>
          </cell>
          <cell r="G1526" t="str">
            <v>847 Main St</v>
          </cell>
          <cell r="H1526" t="str">
            <v>Debit Card</v>
          </cell>
          <cell r="I1526" t="str">
            <v>Returned</v>
          </cell>
          <cell r="J1526" t="str">
            <v>TRK70193221</v>
          </cell>
          <cell r="K1526">
            <v>5</v>
          </cell>
          <cell r="L1526" t="str">
            <v>No Coupon</v>
          </cell>
          <cell r="M1526" t="str">
            <v>Referral</v>
          </cell>
          <cell r="N1526">
            <v>212.79</v>
          </cell>
        </row>
        <row r="1527">
          <cell r="A1527" t="str">
            <v>ORD200325</v>
          </cell>
          <cell r="B1527">
            <v>45106</v>
          </cell>
          <cell r="C1527" t="str">
            <v>C53545</v>
          </cell>
          <cell r="D1527" t="str">
            <v>Desk</v>
          </cell>
          <cell r="E1527">
            <v>3</v>
          </cell>
          <cell r="F1527">
            <v>361.39</v>
          </cell>
          <cell r="G1527" t="str">
            <v>665 Main St</v>
          </cell>
          <cell r="H1527" t="str">
            <v>Credit Card</v>
          </cell>
          <cell r="I1527" t="str">
            <v>Shipped</v>
          </cell>
          <cell r="J1527" t="str">
            <v>TRK61123177</v>
          </cell>
          <cell r="K1527">
            <v>8</v>
          </cell>
          <cell r="L1527" t="str">
            <v>No Coupon</v>
          </cell>
          <cell r="M1527" t="str">
            <v>Referral</v>
          </cell>
          <cell r="N1527">
            <v>1084.17</v>
          </cell>
        </row>
        <row r="1528">
          <cell r="A1528" t="str">
            <v>ORD200326</v>
          </cell>
          <cell r="B1528">
            <v>45474</v>
          </cell>
          <cell r="C1528" t="str">
            <v>C65986</v>
          </cell>
          <cell r="D1528" t="str">
            <v>Laptop</v>
          </cell>
          <cell r="E1528">
            <v>5</v>
          </cell>
          <cell r="F1528">
            <v>670.48</v>
          </cell>
          <cell r="G1528" t="str">
            <v>273 Main St</v>
          </cell>
          <cell r="H1528" t="str">
            <v>Gift Card</v>
          </cell>
          <cell r="I1528" t="str">
            <v>Returned</v>
          </cell>
          <cell r="J1528" t="str">
            <v>TRK98353867</v>
          </cell>
          <cell r="K1528">
            <v>5</v>
          </cell>
          <cell r="L1528" t="str">
            <v>SAVE10</v>
          </cell>
          <cell r="M1528" t="str">
            <v>Facebook</v>
          </cell>
          <cell r="N1528">
            <v>3352.4</v>
          </cell>
        </row>
        <row r="1529">
          <cell r="A1529" t="str">
            <v>ORD200327</v>
          </cell>
          <cell r="B1529">
            <v>45132</v>
          </cell>
          <cell r="C1529" t="str">
            <v>C17302</v>
          </cell>
          <cell r="D1529" t="str">
            <v>Phone</v>
          </cell>
          <cell r="E1529">
            <v>1</v>
          </cell>
          <cell r="F1529">
            <v>359.99</v>
          </cell>
          <cell r="G1529" t="str">
            <v>385 Main St</v>
          </cell>
          <cell r="H1529" t="str">
            <v>Gift Card</v>
          </cell>
          <cell r="I1529" t="str">
            <v>Cancelled</v>
          </cell>
          <cell r="J1529" t="str">
            <v>TRK43940016</v>
          </cell>
          <cell r="K1529">
            <v>5</v>
          </cell>
          <cell r="L1529" t="str">
            <v>SAVE10</v>
          </cell>
          <cell r="M1529" t="str">
            <v>Email</v>
          </cell>
          <cell r="N1529">
            <v>359.99</v>
          </cell>
        </row>
        <row r="1530">
          <cell r="A1530" t="str">
            <v>ORD200328</v>
          </cell>
          <cell r="B1530">
            <v>44985</v>
          </cell>
          <cell r="C1530" t="str">
            <v>C18404</v>
          </cell>
          <cell r="D1530" t="str">
            <v>Tablet</v>
          </cell>
          <cell r="E1530">
            <v>5</v>
          </cell>
          <cell r="F1530">
            <v>674.04</v>
          </cell>
          <cell r="G1530" t="str">
            <v>546 Main St</v>
          </cell>
          <cell r="H1530" t="str">
            <v>Online</v>
          </cell>
          <cell r="I1530" t="str">
            <v>Cancelled</v>
          </cell>
          <cell r="J1530" t="str">
            <v>TRK89401624</v>
          </cell>
          <cell r="K1530">
            <v>7</v>
          </cell>
          <cell r="L1530" t="str">
            <v>SAVE10</v>
          </cell>
          <cell r="M1530" t="str">
            <v>Google</v>
          </cell>
          <cell r="N1530">
            <v>3370.2</v>
          </cell>
        </row>
        <row r="1531">
          <cell r="A1531" t="str">
            <v>ORD200329</v>
          </cell>
          <cell r="B1531">
            <v>45651</v>
          </cell>
          <cell r="C1531" t="str">
            <v>C88371</v>
          </cell>
          <cell r="D1531" t="str">
            <v>Chair</v>
          </cell>
          <cell r="E1531">
            <v>4</v>
          </cell>
          <cell r="F1531">
            <v>283.16000000000003</v>
          </cell>
          <cell r="G1531" t="str">
            <v>306 Main St</v>
          </cell>
          <cell r="H1531" t="str">
            <v>Credit Card</v>
          </cell>
          <cell r="I1531" t="str">
            <v>Shipped</v>
          </cell>
          <cell r="J1531" t="str">
            <v>TRK63224811</v>
          </cell>
          <cell r="K1531">
            <v>6</v>
          </cell>
          <cell r="L1531" t="str">
            <v>No Coupon</v>
          </cell>
          <cell r="M1531" t="str">
            <v>Google</v>
          </cell>
          <cell r="N1531">
            <v>1132.6400000000001</v>
          </cell>
        </row>
        <row r="1532">
          <cell r="A1532" t="str">
            <v>ORD200330</v>
          </cell>
          <cell r="B1532">
            <v>45445</v>
          </cell>
          <cell r="C1532" t="str">
            <v>C38068</v>
          </cell>
          <cell r="D1532" t="str">
            <v>Desk</v>
          </cell>
          <cell r="E1532">
            <v>5</v>
          </cell>
          <cell r="F1532">
            <v>260.52999999999997</v>
          </cell>
          <cell r="G1532" t="str">
            <v>532 Main St</v>
          </cell>
          <cell r="H1532" t="str">
            <v>Gift Card</v>
          </cell>
          <cell r="I1532" t="str">
            <v>Pending</v>
          </cell>
          <cell r="J1532" t="str">
            <v>TRK54059198</v>
          </cell>
          <cell r="K1532">
            <v>5</v>
          </cell>
          <cell r="L1532" t="str">
            <v>SAVE10</v>
          </cell>
          <cell r="M1532" t="str">
            <v>Instagram</v>
          </cell>
          <cell r="N1532">
            <v>1302.6500000000001</v>
          </cell>
        </row>
        <row r="1533">
          <cell r="A1533" t="str">
            <v>ORD200331</v>
          </cell>
          <cell r="B1533">
            <v>45031</v>
          </cell>
          <cell r="C1533" t="str">
            <v>C78724</v>
          </cell>
          <cell r="D1533" t="str">
            <v>Printer</v>
          </cell>
          <cell r="E1533">
            <v>3</v>
          </cell>
          <cell r="F1533">
            <v>422.13</v>
          </cell>
          <cell r="G1533" t="str">
            <v>187 Main St</v>
          </cell>
          <cell r="H1533" t="str">
            <v>Online</v>
          </cell>
          <cell r="I1533" t="str">
            <v>Delivered</v>
          </cell>
          <cell r="J1533" t="str">
            <v>TRK25703134</v>
          </cell>
          <cell r="K1533">
            <v>7</v>
          </cell>
          <cell r="L1533" t="str">
            <v>SAVE10</v>
          </cell>
          <cell r="M1533" t="str">
            <v>Facebook</v>
          </cell>
          <cell r="N1533">
            <v>1266.3900000000001</v>
          </cell>
        </row>
        <row r="1534">
          <cell r="A1534" t="str">
            <v>ORD200332</v>
          </cell>
          <cell r="B1534">
            <v>45476</v>
          </cell>
          <cell r="C1534" t="str">
            <v>C26163</v>
          </cell>
          <cell r="D1534" t="str">
            <v>Desk</v>
          </cell>
          <cell r="E1534">
            <v>5</v>
          </cell>
          <cell r="F1534">
            <v>125.02</v>
          </cell>
          <cell r="G1534" t="str">
            <v>607 Main St</v>
          </cell>
          <cell r="H1534" t="str">
            <v>Debit Card</v>
          </cell>
          <cell r="I1534" t="str">
            <v>Pending</v>
          </cell>
          <cell r="J1534" t="str">
            <v>TRK67499316</v>
          </cell>
          <cell r="K1534">
            <v>9</v>
          </cell>
          <cell r="L1534" t="str">
            <v>SAVE10</v>
          </cell>
          <cell r="M1534" t="str">
            <v>Google</v>
          </cell>
          <cell r="N1534">
            <v>625.1</v>
          </cell>
        </row>
        <row r="1535">
          <cell r="A1535" t="str">
            <v>ORD200333</v>
          </cell>
          <cell r="B1535">
            <v>45398</v>
          </cell>
          <cell r="C1535" t="str">
            <v>C87124</v>
          </cell>
          <cell r="D1535" t="str">
            <v>Phone</v>
          </cell>
          <cell r="E1535">
            <v>1</v>
          </cell>
          <cell r="F1535">
            <v>198.51</v>
          </cell>
          <cell r="G1535" t="str">
            <v>818 Main St</v>
          </cell>
          <cell r="H1535" t="str">
            <v>Credit Card</v>
          </cell>
          <cell r="I1535" t="str">
            <v>Returned</v>
          </cell>
          <cell r="J1535" t="str">
            <v>TRK52086740</v>
          </cell>
          <cell r="K1535">
            <v>5</v>
          </cell>
          <cell r="L1535" t="str">
            <v>WINTER15</v>
          </cell>
          <cell r="M1535" t="str">
            <v>Instagram</v>
          </cell>
          <cell r="N1535">
            <v>198.51</v>
          </cell>
        </row>
        <row r="1536">
          <cell r="A1536" t="str">
            <v>ORD200334</v>
          </cell>
          <cell r="B1536">
            <v>45377</v>
          </cell>
          <cell r="C1536" t="str">
            <v>C90348</v>
          </cell>
          <cell r="D1536" t="str">
            <v>Chair</v>
          </cell>
          <cell r="E1536">
            <v>4</v>
          </cell>
          <cell r="F1536">
            <v>224.75</v>
          </cell>
          <cell r="G1536" t="str">
            <v>728 Main St</v>
          </cell>
          <cell r="H1536" t="str">
            <v>Online</v>
          </cell>
          <cell r="I1536" t="str">
            <v>Delivered</v>
          </cell>
          <cell r="J1536" t="str">
            <v>TRK20635777</v>
          </cell>
          <cell r="K1536">
            <v>7</v>
          </cell>
          <cell r="L1536" t="str">
            <v>WINTER15</v>
          </cell>
          <cell r="M1536" t="str">
            <v>Facebook</v>
          </cell>
          <cell r="N1536">
            <v>899</v>
          </cell>
        </row>
        <row r="1537">
          <cell r="A1537" t="str">
            <v>ORD200335</v>
          </cell>
          <cell r="B1537">
            <v>45719</v>
          </cell>
          <cell r="C1537" t="str">
            <v>C58721</v>
          </cell>
          <cell r="D1537" t="str">
            <v>Tablet</v>
          </cell>
          <cell r="E1537">
            <v>3</v>
          </cell>
          <cell r="F1537">
            <v>205.86</v>
          </cell>
          <cell r="G1537" t="str">
            <v>978 Main St</v>
          </cell>
          <cell r="H1537" t="str">
            <v>Gift Card</v>
          </cell>
          <cell r="I1537" t="str">
            <v>Shipped</v>
          </cell>
          <cell r="J1537" t="str">
            <v>TRK34801199</v>
          </cell>
          <cell r="K1537">
            <v>4</v>
          </cell>
          <cell r="L1537" t="str">
            <v>No Coupon</v>
          </cell>
          <cell r="M1537" t="str">
            <v>Email</v>
          </cell>
          <cell r="N1537">
            <v>617.58000000000004</v>
          </cell>
        </row>
        <row r="1538">
          <cell r="A1538" t="str">
            <v>ORD200336</v>
          </cell>
          <cell r="B1538">
            <v>45289</v>
          </cell>
          <cell r="C1538" t="str">
            <v>C88174</v>
          </cell>
          <cell r="D1538" t="str">
            <v>Laptop</v>
          </cell>
          <cell r="E1538">
            <v>1</v>
          </cell>
          <cell r="F1538">
            <v>18.2</v>
          </cell>
          <cell r="G1538" t="str">
            <v>441 Main St</v>
          </cell>
          <cell r="H1538" t="str">
            <v>Debit Card</v>
          </cell>
          <cell r="I1538" t="str">
            <v>Pending</v>
          </cell>
          <cell r="J1538" t="str">
            <v>TRK10143345</v>
          </cell>
          <cell r="K1538">
            <v>4</v>
          </cell>
          <cell r="L1538" t="str">
            <v>SAVE10</v>
          </cell>
          <cell r="M1538" t="str">
            <v>Instagram</v>
          </cell>
          <cell r="N1538">
            <v>18.2</v>
          </cell>
        </row>
        <row r="1539">
          <cell r="A1539" t="str">
            <v>ORD200337</v>
          </cell>
          <cell r="B1539">
            <v>45075</v>
          </cell>
          <cell r="C1539" t="str">
            <v>C77763</v>
          </cell>
          <cell r="D1539" t="str">
            <v>Tablet</v>
          </cell>
          <cell r="E1539">
            <v>3</v>
          </cell>
          <cell r="F1539">
            <v>502.77</v>
          </cell>
          <cell r="G1539" t="str">
            <v>599 Main St</v>
          </cell>
          <cell r="H1539" t="str">
            <v>Debit Card</v>
          </cell>
          <cell r="I1539" t="str">
            <v>Returned</v>
          </cell>
          <cell r="J1539" t="str">
            <v>TRK66980447</v>
          </cell>
          <cell r="K1539">
            <v>8</v>
          </cell>
          <cell r="L1539" t="str">
            <v>WINTER15</v>
          </cell>
          <cell r="M1539" t="str">
            <v>Email</v>
          </cell>
          <cell r="N1539">
            <v>1508.31</v>
          </cell>
        </row>
        <row r="1540">
          <cell r="A1540" t="str">
            <v>ORD200338</v>
          </cell>
          <cell r="B1540">
            <v>45238</v>
          </cell>
          <cell r="C1540" t="str">
            <v>C53627</v>
          </cell>
          <cell r="D1540" t="str">
            <v>Phone</v>
          </cell>
          <cell r="E1540">
            <v>5</v>
          </cell>
          <cell r="F1540">
            <v>305.49</v>
          </cell>
          <cell r="G1540" t="str">
            <v>704 Main St</v>
          </cell>
          <cell r="H1540" t="str">
            <v>Debit Card</v>
          </cell>
          <cell r="I1540" t="str">
            <v>Shipped</v>
          </cell>
          <cell r="J1540" t="str">
            <v>TRK64112352</v>
          </cell>
          <cell r="K1540">
            <v>10</v>
          </cell>
          <cell r="L1540" t="str">
            <v>No Coupon</v>
          </cell>
          <cell r="M1540" t="str">
            <v>Referral</v>
          </cell>
          <cell r="N1540">
            <v>1527.45</v>
          </cell>
        </row>
        <row r="1541">
          <cell r="A1541" t="str">
            <v>ORD200339</v>
          </cell>
          <cell r="B1541">
            <v>45392</v>
          </cell>
          <cell r="C1541" t="str">
            <v>C84563</v>
          </cell>
          <cell r="D1541" t="str">
            <v>Printer</v>
          </cell>
          <cell r="E1541">
            <v>2</v>
          </cell>
          <cell r="F1541">
            <v>236.33</v>
          </cell>
          <cell r="G1541" t="str">
            <v>398 Main St</v>
          </cell>
          <cell r="H1541" t="str">
            <v>Online</v>
          </cell>
          <cell r="I1541" t="str">
            <v>Pending</v>
          </cell>
          <cell r="J1541" t="str">
            <v>TRK62422797</v>
          </cell>
          <cell r="K1541">
            <v>3</v>
          </cell>
          <cell r="L1541" t="str">
            <v>SAVE10</v>
          </cell>
          <cell r="M1541" t="str">
            <v>Instagram</v>
          </cell>
          <cell r="N1541">
            <v>472.66</v>
          </cell>
        </row>
        <row r="1542">
          <cell r="A1542" t="str">
            <v>ORD200340</v>
          </cell>
          <cell r="B1542">
            <v>45039</v>
          </cell>
          <cell r="C1542" t="str">
            <v>C76207</v>
          </cell>
          <cell r="D1542" t="str">
            <v>Laptop</v>
          </cell>
          <cell r="E1542">
            <v>5</v>
          </cell>
          <cell r="F1542">
            <v>521.25</v>
          </cell>
          <cell r="G1542" t="str">
            <v>826 Main St</v>
          </cell>
          <cell r="H1542" t="str">
            <v>Cash</v>
          </cell>
          <cell r="I1542" t="str">
            <v>Cancelled</v>
          </cell>
          <cell r="J1542" t="str">
            <v>TRK25569378</v>
          </cell>
          <cell r="K1542">
            <v>8</v>
          </cell>
          <cell r="L1542" t="str">
            <v>No Coupon</v>
          </cell>
          <cell r="M1542" t="str">
            <v>Email</v>
          </cell>
          <cell r="N1542">
            <v>2606.25</v>
          </cell>
        </row>
        <row r="1543">
          <cell r="A1543" t="str">
            <v>ORD200341</v>
          </cell>
          <cell r="B1543">
            <v>45558</v>
          </cell>
          <cell r="C1543" t="str">
            <v>C94671</v>
          </cell>
          <cell r="D1543" t="str">
            <v>Tablet</v>
          </cell>
          <cell r="E1543">
            <v>1</v>
          </cell>
          <cell r="F1543">
            <v>167.15</v>
          </cell>
          <cell r="G1543" t="str">
            <v>293 Main St</v>
          </cell>
          <cell r="H1543" t="str">
            <v>Gift Card</v>
          </cell>
          <cell r="I1543" t="str">
            <v>Shipped</v>
          </cell>
          <cell r="J1543" t="str">
            <v>TRK61357272</v>
          </cell>
          <cell r="K1543">
            <v>5</v>
          </cell>
          <cell r="L1543" t="str">
            <v>WINTER15</v>
          </cell>
          <cell r="M1543" t="str">
            <v>Email</v>
          </cell>
          <cell r="N1543">
            <v>167.15</v>
          </cell>
        </row>
        <row r="1544">
          <cell r="A1544" t="str">
            <v>ORD200342</v>
          </cell>
          <cell r="B1544">
            <v>45832</v>
          </cell>
          <cell r="C1544" t="str">
            <v>C69994</v>
          </cell>
          <cell r="D1544" t="str">
            <v>Monitor</v>
          </cell>
          <cell r="E1544">
            <v>5</v>
          </cell>
          <cell r="F1544">
            <v>466.42</v>
          </cell>
          <cell r="G1544" t="str">
            <v>619 Main St</v>
          </cell>
          <cell r="H1544" t="str">
            <v>Gift Card</v>
          </cell>
          <cell r="I1544" t="str">
            <v>Returned</v>
          </cell>
          <cell r="J1544" t="str">
            <v>TRK95935805</v>
          </cell>
          <cell r="K1544">
            <v>5</v>
          </cell>
          <cell r="L1544" t="str">
            <v>No Coupon</v>
          </cell>
          <cell r="M1544" t="str">
            <v>Referral</v>
          </cell>
          <cell r="N1544">
            <v>2332.1</v>
          </cell>
        </row>
        <row r="1545">
          <cell r="A1545" t="str">
            <v>ORD200343</v>
          </cell>
          <cell r="B1545">
            <v>44983</v>
          </cell>
          <cell r="C1545" t="str">
            <v>C64638</v>
          </cell>
          <cell r="D1545" t="str">
            <v>Printer</v>
          </cell>
          <cell r="E1545">
            <v>1</v>
          </cell>
          <cell r="F1545">
            <v>527.57000000000005</v>
          </cell>
          <cell r="G1545" t="str">
            <v>919 Main St</v>
          </cell>
          <cell r="H1545" t="str">
            <v>Debit Card</v>
          </cell>
          <cell r="I1545" t="str">
            <v>Pending</v>
          </cell>
          <cell r="J1545" t="str">
            <v>TRK64087938</v>
          </cell>
          <cell r="K1545">
            <v>3</v>
          </cell>
          <cell r="L1545" t="str">
            <v>FREESHIP</v>
          </cell>
          <cell r="M1545" t="str">
            <v>Facebook</v>
          </cell>
          <cell r="N1545">
            <v>527.57000000000005</v>
          </cell>
        </row>
        <row r="1546">
          <cell r="A1546" t="str">
            <v>ORD200344</v>
          </cell>
          <cell r="B1546">
            <v>45722</v>
          </cell>
          <cell r="C1546" t="str">
            <v>C95623</v>
          </cell>
          <cell r="D1546" t="str">
            <v>Tablet</v>
          </cell>
          <cell r="E1546">
            <v>3</v>
          </cell>
          <cell r="F1546">
            <v>623.34</v>
          </cell>
          <cell r="G1546" t="str">
            <v>248 Main St</v>
          </cell>
          <cell r="H1546" t="str">
            <v>Online</v>
          </cell>
          <cell r="I1546" t="str">
            <v>Cancelled</v>
          </cell>
          <cell r="J1546" t="str">
            <v>TRK67558189</v>
          </cell>
          <cell r="K1546">
            <v>3</v>
          </cell>
          <cell r="L1546" t="str">
            <v>SAVE10</v>
          </cell>
          <cell r="M1546" t="str">
            <v>Instagram</v>
          </cell>
          <cell r="N1546">
            <v>1870.02</v>
          </cell>
        </row>
        <row r="1547">
          <cell r="A1547" t="str">
            <v>ORD200345</v>
          </cell>
          <cell r="B1547">
            <v>45267</v>
          </cell>
          <cell r="C1547" t="str">
            <v>C24751</v>
          </cell>
          <cell r="D1547" t="str">
            <v>Tablet</v>
          </cell>
          <cell r="E1547">
            <v>5</v>
          </cell>
          <cell r="F1547">
            <v>501.26</v>
          </cell>
          <cell r="G1547" t="str">
            <v>259 Main St</v>
          </cell>
          <cell r="H1547" t="str">
            <v>Gift Card</v>
          </cell>
          <cell r="I1547" t="str">
            <v>Shipped</v>
          </cell>
          <cell r="J1547" t="str">
            <v>TRK37285406</v>
          </cell>
          <cell r="K1547">
            <v>10</v>
          </cell>
          <cell r="L1547" t="str">
            <v>FREESHIP</v>
          </cell>
          <cell r="M1547" t="str">
            <v>Referral</v>
          </cell>
          <cell r="N1547">
            <v>2506.3000000000002</v>
          </cell>
        </row>
        <row r="1548">
          <cell r="A1548" t="str">
            <v>ORD200346</v>
          </cell>
          <cell r="B1548">
            <v>45632</v>
          </cell>
          <cell r="C1548" t="str">
            <v>C31764</v>
          </cell>
          <cell r="D1548" t="str">
            <v>Tablet</v>
          </cell>
          <cell r="E1548">
            <v>1</v>
          </cell>
          <cell r="F1548">
            <v>655.09</v>
          </cell>
          <cell r="G1548" t="str">
            <v>876 Main St</v>
          </cell>
          <cell r="H1548" t="str">
            <v>Cash</v>
          </cell>
          <cell r="I1548" t="str">
            <v>Pending</v>
          </cell>
          <cell r="J1548" t="str">
            <v>TRK44680433</v>
          </cell>
          <cell r="K1548">
            <v>6</v>
          </cell>
          <cell r="L1548" t="str">
            <v>No Coupon</v>
          </cell>
          <cell r="M1548" t="str">
            <v>Referral</v>
          </cell>
          <cell r="N1548">
            <v>655.09</v>
          </cell>
        </row>
        <row r="1549">
          <cell r="A1549" t="str">
            <v>ORD200347</v>
          </cell>
          <cell r="B1549">
            <v>45325</v>
          </cell>
          <cell r="C1549" t="str">
            <v>C83556</v>
          </cell>
          <cell r="D1549" t="str">
            <v>Printer</v>
          </cell>
          <cell r="E1549">
            <v>4</v>
          </cell>
          <cell r="F1549">
            <v>264.79000000000002</v>
          </cell>
          <cell r="G1549" t="str">
            <v>380 Main St</v>
          </cell>
          <cell r="H1549" t="str">
            <v>Credit Card</v>
          </cell>
          <cell r="I1549" t="str">
            <v>Pending</v>
          </cell>
          <cell r="J1549" t="str">
            <v>TRK21109187</v>
          </cell>
          <cell r="K1549">
            <v>5</v>
          </cell>
          <cell r="L1549" t="str">
            <v>SAVE10</v>
          </cell>
          <cell r="M1549" t="str">
            <v>Google</v>
          </cell>
          <cell r="N1549">
            <v>1059.1600000000001</v>
          </cell>
        </row>
        <row r="1550">
          <cell r="A1550" t="str">
            <v>ORD200348</v>
          </cell>
          <cell r="B1550">
            <v>45364</v>
          </cell>
          <cell r="C1550" t="str">
            <v>C24369</v>
          </cell>
          <cell r="D1550" t="str">
            <v>Laptop</v>
          </cell>
          <cell r="E1550">
            <v>3</v>
          </cell>
          <cell r="F1550">
            <v>359.73</v>
          </cell>
          <cell r="G1550" t="str">
            <v>885 Main St</v>
          </cell>
          <cell r="H1550" t="str">
            <v>Debit Card</v>
          </cell>
          <cell r="I1550" t="str">
            <v>Returned</v>
          </cell>
          <cell r="J1550" t="str">
            <v>TRK72633998</v>
          </cell>
          <cell r="K1550">
            <v>7</v>
          </cell>
          <cell r="L1550" t="str">
            <v>FREESHIP</v>
          </cell>
          <cell r="M1550" t="str">
            <v>Email</v>
          </cell>
          <cell r="N1550">
            <v>1079.19</v>
          </cell>
        </row>
        <row r="1551">
          <cell r="A1551" t="str">
            <v>ORD200349</v>
          </cell>
          <cell r="B1551">
            <v>45260</v>
          </cell>
          <cell r="C1551" t="str">
            <v>C39648</v>
          </cell>
          <cell r="D1551" t="str">
            <v>Chair</v>
          </cell>
          <cell r="E1551">
            <v>1</v>
          </cell>
          <cell r="F1551">
            <v>465.33</v>
          </cell>
          <cell r="G1551" t="str">
            <v>824 Main St</v>
          </cell>
          <cell r="H1551" t="str">
            <v>Gift Card</v>
          </cell>
          <cell r="I1551" t="str">
            <v>Delivered</v>
          </cell>
          <cell r="J1551" t="str">
            <v>TRK56016905</v>
          </cell>
          <cell r="K1551">
            <v>2</v>
          </cell>
          <cell r="L1551" t="str">
            <v>FREESHIP</v>
          </cell>
          <cell r="M1551" t="str">
            <v>Google</v>
          </cell>
          <cell r="N1551">
            <v>465.33</v>
          </cell>
        </row>
        <row r="1552">
          <cell r="A1552" t="str">
            <v>ORD200350</v>
          </cell>
          <cell r="B1552">
            <v>45080</v>
          </cell>
          <cell r="C1552" t="str">
            <v>C13296</v>
          </cell>
          <cell r="D1552" t="str">
            <v>Chair</v>
          </cell>
          <cell r="E1552">
            <v>2</v>
          </cell>
          <cell r="F1552">
            <v>54.41</v>
          </cell>
          <cell r="G1552" t="str">
            <v>495 Main St</v>
          </cell>
          <cell r="H1552" t="str">
            <v>Online</v>
          </cell>
          <cell r="I1552" t="str">
            <v>Shipped</v>
          </cell>
          <cell r="J1552" t="str">
            <v>TRK60127216</v>
          </cell>
          <cell r="K1552">
            <v>6</v>
          </cell>
          <cell r="L1552" t="str">
            <v>No Coupon</v>
          </cell>
          <cell r="M1552" t="str">
            <v>Instagram</v>
          </cell>
          <cell r="N1552">
            <v>108.82</v>
          </cell>
        </row>
        <row r="1553">
          <cell r="A1553" t="str">
            <v>ORD200351</v>
          </cell>
          <cell r="B1553">
            <v>45703</v>
          </cell>
          <cell r="C1553" t="str">
            <v>C94248</v>
          </cell>
          <cell r="D1553" t="str">
            <v>Laptop</v>
          </cell>
          <cell r="E1553">
            <v>1</v>
          </cell>
          <cell r="F1553">
            <v>64.66</v>
          </cell>
          <cell r="G1553" t="str">
            <v>494 Main St</v>
          </cell>
          <cell r="H1553" t="str">
            <v>Debit Card</v>
          </cell>
          <cell r="I1553" t="str">
            <v>Delivered</v>
          </cell>
          <cell r="J1553" t="str">
            <v>TRK89406816</v>
          </cell>
          <cell r="K1553">
            <v>4</v>
          </cell>
          <cell r="L1553" t="str">
            <v>No Coupon</v>
          </cell>
          <cell r="M1553" t="str">
            <v>Instagram</v>
          </cell>
          <cell r="N1553">
            <v>64.66</v>
          </cell>
        </row>
        <row r="1554">
          <cell r="A1554" t="str">
            <v>ORD200352</v>
          </cell>
          <cell r="B1554">
            <v>45169</v>
          </cell>
          <cell r="C1554" t="str">
            <v>C26637</v>
          </cell>
          <cell r="D1554" t="str">
            <v>Chair</v>
          </cell>
          <cell r="E1554">
            <v>5</v>
          </cell>
          <cell r="F1554">
            <v>173.96</v>
          </cell>
          <cell r="G1554" t="str">
            <v>995 Main St</v>
          </cell>
          <cell r="H1554" t="str">
            <v>Debit Card</v>
          </cell>
          <cell r="I1554" t="str">
            <v>Pending</v>
          </cell>
          <cell r="J1554" t="str">
            <v>TRK59546992</v>
          </cell>
          <cell r="K1554">
            <v>8</v>
          </cell>
          <cell r="L1554" t="str">
            <v>WINTER15</v>
          </cell>
          <cell r="M1554" t="str">
            <v>Instagram</v>
          </cell>
          <cell r="N1554">
            <v>869.8</v>
          </cell>
        </row>
        <row r="1555">
          <cell r="A1555" t="str">
            <v>ORD200353</v>
          </cell>
          <cell r="B1555">
            <v>45744</v>
          </cell>
          <cell r="C1555" t="str">
            <v>C16012</v>
          </cell>
          <cell r="D1555" t="str">
            <v>Tablet</v>
          </cell>
          <cell r="E1555">
            <v>1</v>
          </cell>
          <cell r="F1555">
            <v>630.82000000000005</v>
          </cell>
          <cell r="G1555" t="str">
            <v>171 Main St</v>
          </cell>
          <cell r="H1555" t="str">
            <v>Online</v>
          </cell>
          <cell r="I1555" t="str">
            <v>Delivered</v>
          </cell>
          <cell r="J1555" t="str">
            <v>TRK15195225</v>
          </cell>
          <cell r="K1555">
            <v>5</v>
          </cell>
          <cell r="L1555" t="str">
            <v>FREESHIP</v>
          </cell>
          <cell r="M1555" t="str">
            <v>Google</v>
          </cell>
          <cell r="N1555">
            <v>630.82000000000005</v>
          </cell>
        </row>
        <row r="1556">
          <cell r="A1556" t="str">
            <v>ORD200354</v>
          </cell>
          <cell r="B1556">
            <v>45118</v>
          </cell>
          <cell r="C1556" t="str">
            <v>C31772</v>
          </cell>
          <cell r="D1556" t="str">
            <v>Phone</v>
          </cell>
          <cell r="E1556">
            <v>1</v>
          </cell>
          <cell r="F1556">
            <v>693.41</v>
          </cell>
          <cell r="G1556" t="str">
            <v>992 Main St</v>
          </cell>
          <cell r="H1556" t="str">
            <v>Debit Card</v>
          </cell>
          <cell r="I1556" t="str">
            <v>Shipped</v>
          </cell>
          <cell r="J1556" t="str">
            <v>TRK11970357</v>
          </cell>
          <cell r="K1556">
            <v>4</v>
          </cell>
          <cell r="L1556" t="str">
            <v>No Coupon</v>
          </cell>
          <cell r="M1556" t="str">
            <v>Instagram</v>
          </cell>
          <cell r="N1556">
            <v>693.41</v>
          </cell>
        </row>
        <row r="1557">
          <cell r="A1557" t="str">
            <v>ORD200355</v>
          </cell>
          <cell r="B1557">
            <v>45811</v>
          </cell>
          <cell r="C1557" t="str">
            <v>C18353</v>
          </cell>
          <cell r="D1557" t="str">
            <v>Tablet</v>
          </cell>
          <cell r="E1557">
            <v>3</v>
          </cell>
          <cell r="F1557">
            <v>433.33</v>
          </cell>
          <cell r="G1557" t="str">
            <v>677 Main St</v>
          </cell>
          <cell r="H1557" t="str">
            <v>Credit Card</v>
          </cell>
          <cell r="I1557" t="str">
            <v>Cancelled</v>
          </cell>
          <cell r="J1557" t="str">
            <v>TRK78766533</v>
          </cell>
          <cell r="K1557">
            <v>4</v>
          </cell>
          <cell r="L1557" t="str">
            <v>FREESHIP</v>
          </cell>
          <cell r="M1557" t="str">
            <v>Referral</v>
          </cell>
          <cell r="N1557">
            <v>1299.99</v>
          </cell>
        </row>
        <row r="1558">
          <cell r="A1558" t="str">
            <v>ORD200356</v>
          </cell>
          <cell r="B1558">
            <v>45052</v>
          </cell>
          <cell r="C1558" t="str">
            <v>C26966</v>
          </cell>
          <cell r="D1558" t="str">
            <v>Printer</v>
          </cell>
          <cell r="E1558">
            <v>5</v>
          </cell>
          <cell r="F1558">
            <v>374.58</v>
          </cell>
          <cell r="G1558" t="str">
            <v>907 Main St</v>
          </cell>
          <cell r="H1558" t="str">
            <v>Gift Card</v>
          </cell>
          <cell r="I1558" t="str">
            <v>Cancelled</v>
          </cell>
          <cell r="J1558" t="str">
            <v>TRK83889574</v>
          </cell>
          <cell r="K1558">
            <v>10</v>
          </cell>
          <cell r="L1558" t="str">
            <v>FREESHIP</v>
          </cell>
          <cell r="M1558" t="str">
            <v>Instagram</v>
          </cell>
          <cell r="N1558">
            <v>1872.9</v>
          </cell>
        </row>
        <row r="1559">
          <cell r="A1559" t="str">
            <v>ORD200357</v>
          </cell>
          <cell r="B1559">
            <v>45115</v>
          </cell>
          <cell r="C1559" t="str">
            <v>C74982</v>
          </cell>
          <cell r="D1559" t="str">
            <v>Laptop</v>
          </cell>
          <cell r="E1559">
            <v>5</v>
          </cell>
          <cell r="F1559">
            <v>408.56</v>
          </cell>
          <cell r="G1559" t="str">
            <v>398 Main St</v>
          </cell>
          <cell r="H1559" t="str">
            <v>Debit Card</v>
          </cell>
          <cell r="I1559" t="str">
            <v>Delivered</v>
          </cell>
          <cell r="J1559" t="str">
            <v>TRK98700702</v>
          </cell>
          <cell r="K1559">
            <v>8</v>
          </cell>
          <cell r="L1559" t="str">
            <v>FREESHIP</v>
          </cell>
          <cell r="M1559" t="str">
            <v>Instagram</v>
          </cell>
          <cell r="N1559">
            <v>2042.8</v>
          </cell>
        </row>
        <row r="1560">
          <cell r="A1560" t="str">
            <v>ORD200358</v>
          </cell>
          <cell r="B1560">
            <v>45389</v>
          </cell>
          <cell r="C1560" t="str">
            <v>C70633</v>
          </cell>
          <cell r="D1560" t="str">
            <v>Tablet</v>
          </cell>
          <cell r="E1560">
            <v>2</v>
          </cell>
          <cell r="F1560">
            <v>183.67</v>
          </cell>
          <cell r="G1560" t="str">
            <v>747 Main St</v>
          </cell>
          <cell r="H1560" t="str">
            <v>Online</v>
          </cell>
          <cell r="I1560" t="str">
            <v>Cancelled</v>
          </cell>
          <cell r="J1560" t="str">
            <v>TRK82540521</v>
          </cell>
          <cell r="K1560">
            <v>3</v>
          </cell>
          <cell r="L1560" t="str">
            <v>SAVE10</v>
          </cell>
          <cell r="M1560" t="str">
            <v>Google</v>
          </cell>
          <cell r="N1560">
            <v>367.34</v>
          </cell>
        </row>
        <row r="1561">
          <cell r="A1561" t="str">
            <v>ORD200359</v>
          </cell>
          <cell r="B1561">
            <v>45086</v>
          </cell>
          <cell r="C1561" t="str">
            <v>C95643</v>
          </cell>
          <cell r="D1561" t="str">
            <v>Desk</v>
          </cell>
          <cell r="E1561">
            <v>4</v>
          </cell>
          <cell r="F1561">
            <v>606.57000000000005</v>
          </cell>
          <cell r="G1561" t="str">
            <v>303 Main St</v>
          </cell>
          <cell r="H1561" t="str">
            <v>Debit Card</v>
          </cell>
          <cell r="I1561" t="str">
            <v>Delivered</v>
          </cell>
          <cell r="J1561" t="str">
            <v>TRK23286689</v>
          </cell>
          <cell r="K1561">
            <v>5</v>
          </cell>
          <cell r="L1561" t="str">
            <v>WINTER15</v>
          </cell>
          <cell r="M1561" t="str">
            <v>Referral</v>
          </cell>
          <cell r="N1561">
            <v>2426.2800000000002</v>
          </cell>
        </row>
        <row r="1562">
          <cell r="A1562" t="str">
            <v>ORD200360</v>
          </cell>
          <cell r="B1562">
            <v>45449</v>
          </cell>
          <cell r="C1562" t="str">
            <v>C53810</v>
          </cell>
          <cell r="D1562" t="str">
            <v>Phone</v>
          </cell>
          <cell r="E1562">
            <v>4</v>
          </cell>
          <cell r="F1562">
            <v>589.57000000000005</v>
          </cell>
          <cell r="G1562" t="str">
            <v>779 Main St</v>
          </cell>
          <cell r="H1562" t="str">
            <v>Cash</v>
          </cell>
          <cell r="I1562" t="str">
            <v>Pending</v>
          </cell>
          <cell r="J1562" t="str">
            <v>TRK34630612</v>
          </cell>
          <cell r="K1562">
            <v>8</v>
          </cell>
          <cell r="L1562" t="str">
            <v>No Coupon</v>
          </cell>
          <cell r="M1562" t="str">
            <v>Instagram</v>
          </cell>
          <cell r="N1562">
            <v>2358.2800000000002</v>
          </cell>
        </row>
        <row r="1563">
          <cell r="A1563" t="str">
            <v>ORD200361</v>
          </cell>
          <cell r="B1563">
            <v>45472</v>
          </cell>
          <cell r="C1563" t="str">
            <v>C53464</v>
          </cell>
          <cell r="D1563" t="str">
            <v>Printer</v>
          </cell>
          <cell r="E1563">
            <v>5</v>
          </cell>
          <cell r="F1563">
            <v>659.85</v>
          </cell>
          <cell r="G1563" t="str">
            <v>197 Main St</v>
          </cell>
          <cell r="H1563" t="str">
            <v>Credit Card</v>
          </cell>
          <cell r="I1563" t="str">
            <v>Delivered</v>
          </cell>
          <cell r="J1563" t="str">
            <v>TRK32743531</v>
          </cell>
          <cell r="K1563">
            <v>9</v>
          </cell>
          <cell r="L1563" t="str">
            <v>SAVE10</v>
          </cell>
          <cell r="M1563" t="str">
            <v>Facebook</v>
          </cell>
          <cell r="N1563">
            <v>3299.25</v>
          </cell>
        </row>
        <row r="1564">
          <cell r="A1564" t="str">
            <v>ORD200362</v>
          </cell>
          <cell r="B1564">
            <v>45104</v>
          </cell>
          <cell r="C1564" t="str">
            <v>C53697</v>
          </cell>
          <cell r="D1564" t="str">
            <v>Monitor</v>
          </cell>
          <cell r="E1564">
            <v>4</v>
          </cell>
          <cell r="F1564">
            <v>206.84</v>
          </cell>
          <cell r="G1564" t="str">
            <v>312 Main St</v>
          </cell>
          <cell r="H1564" t="str">
            <v>Cash</v>
          </cell>
          <cell r="I1564" t="str">
            <v>Cancelled</v>
          </cell>
          <cell r="J1564" t="str">
            <v>TRK60476656</v>
          </cell>
          <cell r="K1564">
            <v>5</v>
          </cell>
          <cell r="L1564" t="str">
            <v>WINTER15</v>
          </cell>
          <cell r="M1564" t="str">
            <v>Instagram</v>
          </cell>
          <cell r="N1564">
            <v>827.36</v>
          </cell>
        </row>
        <row r="1565">
          <cell r="A1565" t="str">
            <v>ORD200363</v>
          </cell>
          <cell r="B1565">
            <v>45436</v>
          </cell>
          <cell r="C1565" t="str">
            <v>C31668</v>
          </cell>
          <cell r="D1565" t="str">
            <v>Laptop</v>
          </cell>
          <cell r="E1565">
            <v>5</v>
          </cell>
          <cell r="F1565">
            <v>113.87</v>
          </cell>
          <cell r="G1565" t="str">
            <v>871 Main St</v>
          </cell>
          <cell r="H1565" t="str">
            <v>Credit Card</v>
          </cell>
          <cell r="I1565" t="str">
            <v>Pending</v>
          </cell>
          <cell r="J1565" t="str">
            <v>TRK42584392</v>
          </cell>
          <cell r="K1565">
            <v>6</v>
          </cell>
          <cell r="L1565" t="str">
            <v>SAVE10</v>
          </cell>
          <cell r="M1565" t="str">
            <v>Email</v>
          </cell>
          <cell r="N1565">
            <v>569.35</v>
          </cell>
        </row>
        <row r="1566">
          <cell r="A1566" t="str">
            <v>ORD200364</v>
          </cell>
          <cell r="B1566">
            <v>45254</v>
          </cell>
          <cell r="C1566" t="str">
            <v>C85282</v>
          </cell>
          <cell r="D1566" t="str">
            <v>Phone</v>
          </cell>
          <cell r="E1566">
            <v>5</v>
          </cell>
          <cell r="F1566">
            <v>628.74</v>
          </cell>
          <cell r="G1566" t="str">
            <v>740 Main St</v>
          </cell>
          <cell r="H1566" t="str">
            <v>Cash</v>
          </cell>
          <cell r="I1566" t="str">
            <v>Cancelled</v>
          </cell>
          <cell r="J1566" t="str">
            <v>TRK86767206</v>
          </cell>
          <cell r="K1566">
            <v>9</v>
          </cell>
          <cell r="L1566" t="str">
            <v>FREESHIP</v>
          </cell>
          <cell r="M1566" t="str">
            <v>Facebook</v>
          </cell>
          <cell r="N1566">
            <v>3143.7</v>
          </cell>
        </row>
        <row r="1567">
          <cell r="A1567" t="str">
            <v>ORD200365</v>
          </cell>
          <cell r="B1567">
            <v>45702</v>
          </cell>
          <cell r="C1567" t="str">
            <v>C56796</v>
          </cell>
          <cell r="D1567" t="str">
            <v>Phone</v>
          </cell>
          <cell r="E1567">
            <v>1</v>
          </cell>
          <cell r="F1567">
            <v>678.38</v>
          </cell>
          <cell r="G1567" t="str">
            <v>607 Main St</v>
          </cell>
          <cell r="H1567" t="str">
            <v>Credit Card</v>
          </cell>
          <cell r="I1567" t="str">
            <v>Cancelled</v>
          </cell>
          <cell r="J1567" t="str">
            <v>TRK74263180</v>
          </cell>
          <cell r="K1567">
            <v>4</v>
          </cell>
          <cell r="L1567" t="str">
            <v>SAVE10</v>
          </cell>
          <cell r="M1567" t="str">
            <v>Referral</v>
          </cell>
          <cell r="N1567">
            <v>678.38</v>
          </cell>
        </row>
        <row r="1568">
          <cell r="A1568" t="str">
            <v>ORD200366</v>
          </cell>
          <cell r="B1568">
            <v>44967</v>
          </cell>
          <cell r="C1568" t="str">
            <v>C95213</v>
          </cell>
          <cell r="D1568" t="str">
            <v>Printer</v>
          </cell>
          <cell r="E1568">
            <v>3</v>
          </cell>
          <cell r="F1568">
            <v>602.24</v>
          </cell>
          <cell r="G1568" t="str">
            <v>603 Main St</v>
          </cell>
          <cell r="H1568" t="str">
            <v>Debit Card</v>
          </cell>
          <cell r="I1568" t="str">
            <v>Pending</v>
          </cell>
          <cell r="J1568" t="str">
            <v>TRK40630538</v>
          </cell>
          <cell r="K1568">
            <v>8</v>
          </cell>
          <cell r="L1568" t="str">
            <v>No Coupon</v>
          </cell>
          <cell r="M1568" t="str">
            <v>Referral</v>
          </cell>
          <cell r="N1568">
            <v>1806.72</v>
          </cell>
        </row>
        <row r="1569">
          <cell r="A1569" t="str">
            <v>ORD200367</v>
          </cell>
          <cell r="B1569">
            <v>45407</v>
          </cell>
          <cell r="C1569" t="str">
            <v>C13108</v>
          </cell>
          <cell r="D1569" t="str">
            <v>Laptop</v>
          </cell>
          <cell r="E1569">
            <v>5</v>
          </cell>
          <cell r="F1569">
            <v>658.77</v>
          </cell>
          <cell r="G1569" t="str">
            <v>712 Main St</v>
          </cell>
          <cell r="H1569" t="str">
            <v>Gift Card</v>
          </cell>
          <cell r="I1569" t="str">
            <v>Pending</v>
          </cell>
          <cell r="J1569" t="str">
            <v>TRK82284400</v>
          </cell>
          <cell r="K1569">
            <v>10</v>
          </cell>
          <cell r="L1569" t="str">
            <v>FREESHIP</v>
          </cell>
          <cell r="M1569" t="str">
            <v>Instagram</v>
          </cell>
          <cell r="N1569">
            <v>3293.85</v>
          </cell>
        </row>
        <row r="1570">
          <cell r="A1570" t="str">
            <v>ORD200368</v>
          </cell>
          <cell r="B1570">
            <v>45047</v>
          </cell>
          <cell r="C1570" t="str">
            <v>C85322</v>
          </cell>
          <cell r="D1570" t="str">
            <v>Monitor</v>
          </cell>
          <cell r="E1570">
            <v>3</v>
          </cell>
          <cell r="F1570">
            <v>271.02</v>
          </cell>
          <cell r="G1570" t="str">
            <v>403 Main St</v>
          </cell>
          <cell r="H1570" t="str">
            <v>Credit Card</v>
          </cell>
          <cell r="I1570" t="str">
            <v>Cancelled</v>
          </cell>
          <cell r="J1570" t="str">
            <v>TRK89728869</v>
          </cell>
          <cell r="K1570">
            <v>6</v>
          </cell>
          <cell r="L1570" t="str">
            <v>No Coupon</v>
          </cell>
          <cell r="M1570" t="str">
            <v>Google</v>
          </cell>
          <cell r="N1570">
            <v>813.06</v>
          </cell>
        </row>
        <row r="1571">
          <cell r="A1571" t="str">
            <v>ORD200369</v>
          </cell>
          <cell r="B1571">
            <v>45648</v>
          </cell>
          <cell r="C1571" t="str">
            <v>C43545</v>
          </cell>
          <cell r="D1571" t="str">
            <v>Monitor</v>
          </cell>
          <cell r="E1571">
            <v>5</v>
          </cell>
          <cell r="F1571">
            <v>375.25</v>
          </cell>
          <cell r="G1571" t="str">
            <v>216 Main St</v>
          </cell>
          <cell r="H1571" t="str">
            <v>Gift Card</v>
          </cell>
          <cell r="I1571" t="str">
            <v>Pending</v>
          </cell>
          <cell r="J1571" t="str">
            <v>TRK73937402</v>
          </cell>
          <cell r="K1571">
            <v>9</v>
          </cell>
          <cell r="L1571" t="str">
            <v>SAVE10</v>
          </cell>
          <cell r="M1571" t="str">
            <v>Email</v>
          </cell>
          <cell r="N1571">
            <v>1876.25</v>
          </cell>
        </row>
        <row r="1572">
          <cell r="A1572" t="str">
            <v>ORD200370</v>
          </cell>
          <cell r="B1572">
            <v>45780</v>
          </cell>
          <cell r="C1572" t="str">
            <v>C80649</v>
          </cell>
          <cell r="D1572" t="str">
            <v>Phone</v>
          </cell>
          <cell r="E1572">
            <v>1</v>
          </cell>
          <cell r="F1572">
            <v>312.11</v>
          </cell>
          <cell r="G1572" t="str">
            <v>870 Main St</v>
          </cell>
          <cell r="H1572" t="str">
            <v>Online</v>
          </cell>
          <cell r="I1572" t="str">
            <v>Cancelled</v>
          </cell>
          <cell r="J1572" t="str">
            <v>TRK41143313</v>
          </cell>
          <cell r="K1572">
            <v>4</v>
          </cell>
          <cell r="L1572" t="str">
            <v>WINTER15</v>
          </cell>
          <cell r="M1572" t="str">
            <v>Facebook</v>
          </cell>
          <cell r="N1572">
            <v>312.11</v>
          </cell>
        </row>
        <row r="1573">
          <cell r="A1573" t="str">
            <v>ORD200371</v>
          </cell>
          <cell r="B1573">
            <v>44931</v>
          </cell>
          <cell r="C1573" t="str">
            <v>C59752</v>
          </cell>
          <cell r="D1573" t="str">
            <v>Phone</v>
          </cell>
          <cell r="E1573">
            <v>5</v>
          </cell>
          <cell r="F1573">
            <v>307.76</v>
          </cell>
          <cell r="G1573" t="str">
            <v>179 Main St</v>
          </cell>
          <cell r="H1573" t="str">
            <v>Gift Card</v>
          </cell>
          <cell r="I1573" t="str">
            <v>Pending</v>
          </cell>
          <cell r="J1573" t="str">
            <v>TRK82229639</v>
          </cell>
          <cell r="K1573">
            <v>9</v>
          </cell>
          <cell r="L1573" t="str">
            <v>FREESHIP</v>
          </cell>
          <cell r="M1573" t="str">
            <v>Google</v>
          </cell>
          <cell r="N1573">
            <v>1538.8</v>
          </cell>
        </row>
        <row r="1574">
          <cell r="A1574" t="str">
            <v>ORD200372</v>
          </cell>
          <cell r="B1574">
            <v>45702</v>
          </cell>
          <cell r="C1574" t="str">
            <v>C53645</v>
          </cell>
          <cell r="D1574" t="str">
            <v>Chair</v>
          </cell>
          <cell r="E1574">
            <v>3</v>
          </cell>
          <cell r="F1574">
            <v>483.53</v>
          </cell>
          <cell r="G1574" t="str">
            <v>166 Main St</v>
          </cell>
          <cell r="H1574" t="str">
            <v>Cash</v>
          </cell>
          <cell r="I1574" t="str">
            <v>Returned</v>
          </cell>
          <cell r="J1574" t="str">
            <v>TRK12123939</v>
          </cell>
          <cell r="K1574">
            <v>4</v>
          </cell>
          <cell r="L1574" t="str">
            <v>No Coupon</v>
          </cell>
          <cell r="M1574" t="str">
            <v>Referral</v>
          </cell>
          <cell r="N1574">
            <v>1450.59</v>
          </cell>
        </row>
        <row r="1575">
          <cell r="A1575" t="str">
            <v>ORD200373</v>
          </cell>
          <cell r="B1575">
            <v>44928</v>
          </cell>
          <cell r="C1575" t="str">
            <v>C60178</v>
          </cell>
          <cell r="D1575" t="str">
            <v>Laptop</v>
          </cell>
          <cell r="E1575">
            <v>3</v>
          </cell>
          <cell r="F1575">
            <v>341.15</v>
          </cell>
          <cell r="G1575" t="str">
            <v>969 Main St</v>
          </cell>
          <cell r="H1575" t="str">
            <v>Cash</v>
          </cell>
          <cell r="I1575" t="str">
            <v>Pending</v>
          </cell>
          <cell r="J1575" t="str">
            <v>TRK84505143</v>
          </cell>
          <cell r="K1575">
            <v>4</v>
          </cell>
          <cell r="L1575" t="str">
            <v>FREESHIP</v>
          </cell>
          <cell r="M1575" t="str">
            <v>Instagram</v>
          </cell>
          <cell r="N1575">
            <v>1023.45</v>
          </cell>
        </row>
        <row r="1576">
          <cell r="A1576" t="str">
            <v>ORD200374</v>
          </cell>
          <cell r="B1576">
            <v>45551</v>
          </cell>
          <cell r="C1576" t="str">
            <v>C20286</v>
          </cell>
          <cell r="D1576" t="str">
            <v>Monitor</v>
          </cell>
          <cell r="E1576">
            <v>1</v>
          </cell>
          <cell r="F1576">
            <v>571.9</v>
          </cell>
          <cell r="G1576" t="str">
            <v>129 Main St</v>
          </cell>
          <cell r="H1576" t="str">
            <v>Gift Card</v>
          </cell>
          <cell r="I1576" t="str">
            <v>Pending</v>
          </cell>
          <cell r="J1576" t="str">
            <v>TRK67648338</v>
          </cell>
          <cell r="K1576">
            <v>1</v>
          </cell>
          <cell r="L1576" t="str">
            <v>WINTER15</v>
          </cell>
          <cell r="M1576" t="str">
            <v>Instagram</v>
          </cell>
          <cell r="N1576">
            <v>571.9</v>
          </cell>
        </row>
        <row r="1577">
          <cell r="A1577" t="str">
            <v>ORD200375</v>
          </cell>
          <cell r="B1577">
            <v>45673</v>
          </cell>
          <cell r="C1577" t="str">
            <v>C87547</v>
          </cell>
          <cell r="D1577" t="str">
            <v>Monitor</v>
          </cell>
          <cell r="E1577">
            <v>4</v>
          </cell>
          <cell r="F1577">
            <v>95.03</v>
          </cell>
          <cell r="G1577" t="str">
            <v>400 Main St</v>
          </cell>
          <cell r="H1577" t="str">
            <v>Online</v>
          </cell>
          <cell r="I1577" t="str">
            <v>Shipped</v>
          </cell>
          <cell r="J1577" t="str">
            <v>TRK71027262</v>
          </cell>
          <cell r="K1577">
            <v>8</v>
          </cell>
          <cell r="L1577" t="str">
            <v>FREESHIP</v>
          </cell>
          <cell r="M1577" t="str">
            <v>Facebook</v>
          </cell>
          <cell r="N1577">
            <v>380.12</v>
          </cell>
        </row>
        <row r="1578">
          <cell r="A1578" t="str">
            <v>ORD200376</v>
          </cell>
          <cell r="B1578">
            <v>45162</v>
          </cell>
          <cell r="C1578" t="str">
            <v>C64549</v>
          </cell>
          <cell r="D1578" t="str">
            <v>Monitor</v>
          </cell>
          <cell r="E1578">
            <v>5</v>
          </cell>
          <cell r="F1578">
            <v>201.22</v>
          </cell>
          <cell r="G1578" t="str">
            <v>341 Main St</v>
          </cell>
          <cell r="H1578" t="str">
            <v>Debit Card</v>
          </cell>
          <cell r="I1578" t="str">
            <v>Pending</v>
          </cell>
          <cell r="J1578" t="str">
            <v>TRK20788231</v>
          </cell>
          <cell r="K1578">
            <v>6</v>
          </cell>
          <cell r="L1578" t="str">
            <v>FREESHIP</v>
          </cell>
          <cell r="M1578" t="str">
            <v>Facebook</v>
          </cell>
          <cell r="N1578">
            <v>1006.1</v>
          </cell>
        </row>
        <row r="1579">
          <cell r="A1579" t="str">
            <v>ORD200377</v>
          </cell>
          <cell r="B1579">
            <v>45495</v>
          </cell>
          <cell r="C1579" t="str">
            <v>C24884</v>
          </cell>
          <cell r="D1579" t="str">
            <v>Monitor</v>
          </cell>
          <cell r="E1579">
            <v>1</v>
          </cell>
          <cell r="F1579">
            <v>260.26</v>
          </cell>
          <cell r="G1579" t="str">
            <v>625 Main St</v>
          </cell>
          <cell r="H1579" t="str">
            <v>Online</v>
          </cell>
          <cell r="I1579" t="str">
            <v>Pending</v>
          </cell>
          <cell r="J1579" t="str">
            <v>TRK44538419</v>
          </cell>
          <cell r="K1579">
            <v>5</v>
          </cell>
          <cell r="L1579" t="str">
            <v>WINTER15</v>
          </cell>
          <cell r="M1579" t="str">
            <v>Instagram</v>
          </cell>
          <cell r="N1579">
            <v>260.26</v>
          </cell>
        </row>
        <row r="1580">
          <cell r="A1580" t="str">
            <v>ORD200378</v>
          </cell>
          <cell r="B1580">
            <v>45323</v>
          </cell>
          <cell r="C1580" t="str">
            <v>C62666</v>
          </cell>
          <cell r="D1580" t="str">
            <v>Chair</v>
          </cell>
          <cell r="E1580">
            <v>5</v>
          </cell>
          <cell r="F1580">
            <v>64.5</v>
          </cell>
          <cell r="G1580" t="str">
            <v>148 Main St</v>
          </cell>
          <cell r="H1580" t="str">
            <v>Credit Card</v>
          </cell>
          <cell r="I1580" t="str">
            <v>Pending</v>
          </cell>
          <cell r="J1580" t="str">
            <v>TRK91029390</v>
          </cell>
          <cell r="K1580">
            <v>8</v>
          </cell>
          <cell r="L1580" t="str">
            <v>WINTER15</v>
          </cell>
          <cell r="M1580" t="str">
            <v>Instagram</v>
          </cell>
          <cell r="N1580">
            <v>322.5</v>
          </cell>
        </row>
        <row r="1581">
          <cell r="A1581" t="str">
            <v>ORD200379</v>
          </cell>
          <cell r="B1581">
            <v>45556</v>
          </cell>
          <cell r="C1581" t="str">
            <v>C47284</v>
          </cell>
          <cell r="D1581" t="str">
            <v>Phone</v>
          </cell>
          <cell r="E1581">
            <v>3</v>
          </cell>
          <cell r="F1581">
            <v>297.67</v>
          </cell>
          <cell r="G1581" t="str">
            <v>500 Main St</v>
          </cell>
          <cell r="H1581" t="str">
            <v>Online</v>
          </cell>
          <cell r="I1581" t="str">
            <v>Shipped</v>
          </cell>
          <cell r="J1581" t="str">
            <v>TRK85756094</v>
          </cell>
          <cell r="K1581">
            <v>6</v>
          </cell>
          <cell r="L1581" t="str">
            <v>No Coupon</v>
          </cell>
          <cell r="M1581" t="str">
            <v>Google</v>
          </cell>
          <cell r="N1581">
            <v>893.01</v>
          </cell>
        </row>
        <row r="1582">
          <cell r="A1582" t="str">
            <v>ORD200380</v>
          </cell>
          <cell r="B1582">
            <v>45402</v>
          </cell>
          <cell r="C1582" t="str">
            <v>C35355</v>
          </cell>
          <cell r="D1582" t="str">
            <v>Printer</v>
          </cell>
          <cell r="E1582">
            <v>4</v>
          </cell>
          <cell r="F1582">
            <v>331.9</v>
          </cell>
          <cell r="G1582" t="str">
            <v>127 Main St</v>
          </cell>
          <cell r="H1582" t="str">
            <v>Cash</v>
          </cell>
          <cell r="I1582" t="str">
            <v>Pending</v>
          </cell>
          <cell r="J1582" t="str">
            <v>TRK52935059</v>
          </cell>
          <cell r="K1582">
            <v>5</v>
          </cell>
          <cell r="L1582" t="str">
            <v>SAVE10</v>
          </cell>
          <cell r="M1582" t="str">
            <v>Instagram</v>
          </cell>
          <cell r="N1582">
            <v>1327.6</v>
          </cell>
        </row>
        <row r="1583">
          <cell r="A1583" t="str">
            <v>ORD200381</v>
          </cell>
          <cell r="B1583">
            <v>45084</v>
          </cell>
          <cell r="C1583" t="str">
            <v>C29467</v>
          </cell>
          <cell r="D1583" t="str">
            <v>Chair</v>
          </cell>
          <cell r="E1583">
            <v>1</v>
          </cell>
          <cell r="F1583">
            <v>191.76</v>
          </cell>
          <cell r="G1583" t="str">
            <v>223 Main St</v>
          </cell>
          <cell r="H1583" t="str">
            <v>Credit Card</v>
          </cell>
          <cell r="I1583" t="str">
            <v>Returned</v>
          </cell>
          <cell r="J1583" t="str">
            <v>TRK98103385</v>
          </cell>
          <cell r="K1583">
            <v>1</v>
          </cell>
          <cell r="L1583" t="str">
            <v>FREESHIP</v>
          </cell>
          <cell r="M1583" t="str">
            <v>Instagram</v>
          </cell>
          <cell r="N1583">
            <v>191.76</v>
          </cell>
        </row>
        <row r="1584">
          <cell r="A1584" t="str">
            <v>ORD200382</v>
          </cell>
          <cell r="B1584">
            <v>45687</v>
          </cell>
          <cell r="C1584" t="str">
            <v>C26718</v>
          </cell>
          <cell r="D1584" t="str">
            <v>Printer</v>
          </cell>
          <cell r="E1584">
            <v>4</v>
          </cell>
          <cell r="F1584">
            <v>263.08999999999997</v>
          </cell>
          <cell r="G1584" t="str">
            <v>272 Main St</v>
          </cell>
          <cell r="H1584" t="str">
            <v>Debit Card</v>
          </cell>
          <cell r="I1584" t="str">
            <v>Shipped</v>
          </cell>
          <cell r="J1584" t="str">
            <v>TRK91702525</v>
          </cell>
          <cell r="K1584">
            <v>8</v>
          </cell>
          <cell r="L1584" t="str">
            <v>SAVE10</v>
          </cell>
          <cell r="M1584" t="str">
            <v>Google</v>
          </cell>
          <cell r="N1584">
            <v>1052.3599999999999</v>
          </cell>
        </row>
        <row r="1585">
          <cell r="A1585" t="str">
            <v>ORD200383</v>
          </cell>
          <cell r="B1585">
            <v>44946</v>
          </cell>
          <cell r="C1585" t="str">
            <v>C18944</v>
          </cell>
          <cell r="D1585" t="str">
            <v>Chair</v>
          </cell>
          <cell r="E1585">
            <v>4</v>
          </cell>
          <cell r="F1585">
            <v>393.8</v>
          </cell>
          <cell r="G1585" t="str">
            <v>837 Main St</v>
          </cell>
          <cell r="H1585" t="str">
            <v>Credit Card</v>
          </cell>
          <cell r="I1585" t="str">
            <v>Pending</v>
          </cell>
          <cell r="J1585" t="str">
            <v>TRK45275439</v>
          </cell>
          <cell r="K1585">
            <v>7</v>
          </cell>
          <cell r="L1585" t="str">
            <v>SAVE10</v>
          </cell>
          <cell r="M1585" t="str">
            <v>Email</v>
          </cell>
          <cell r="N1585">
            <v>1575.2</v>
          </cell>
        </row>
        <row r="1586">
          <cell r="A1586" t="str">
            <v>ORD200384</v>
          </cell>
          <cell r="B1586">
            <v>45620</v>
          </cell>
          <cell r="C1586" t="str">
            <v>C35628</v>
          </cell>
          <cell r="D1586" t="str">
            <v>Chair</v>
          </cell>
          <cell r="E1586">
            <v>3</v>
          </cell>
          <cell r="F1586">
            <v>553.57000000000005</v>
          </cell>
          <cell r="G1586" t="str">
            <v>147 Main St</v>
          </cell>
          <cell r="H1586" t="str">
            <v>Credit Card</v>
          </cell>
          <cell r="I1586" t="str">
            <v>Returned</v>
          </cell>
          <cell r="J1586" t="str">
            <v>TRK45688220</v>
          </cell>
          <cell r="K1586">
            <v>4</v>
          </cell>
          <cell r="L1586" t="str">
            <v>FREESHIP</v>
          </cell>
          <cell r="M1586" t="str">
            <v>Facebook</v>
          </cell>
          <cell r="N1586">
            <v>1660.71</v>
          </cell>
        </row>
        <row r="1587">
          <cell r="A1587" t="str">
            <v>ORD200385</v>
          </cell>
          <cell r="B1587">
            <v>45230</v>
          </cell>
          <cell r="C1587" t="str">
            <v>C56851</v>
          </cell>
          <cell r="D1587" t="str">
            <v>Chair</v>
          </cell>
          <cell r="E1587">
            <v>5</v>
          </cell>
          <cell r="F1587">
            <v>191.63</v>
          </cell>
          <cell r="G1587" t="str">
            <v>752 Main St</v>
          </cell>
          <cell r="H1587" t="str">
            <v>Gift Card</v>
          </cell>
          <cell r="I1587" t="str">
            <v>Delivered</v>
          </cell>
          <cell r="J1587" t="str">
            <v>TRK65290904</v>
          </cell>
          <cell r="K1587">
            <v>6</v>
          </cell>
          <cell r="L1587" t="str">
            <v>FREESHIP</v>
          </cell>
          <cell r="M1587" t="str">
            <v>Facebook</v>
          </cell>
          <cell r="N1587">
            <v>958.15</v>
          </cell>
        </row>
        <row r="1588">
          <cell r="A1588" t="str">
            <v>ORD200386</v>
          </cell>
          <cell r="B1588">
            <v>45044</v>
          </cell>
          <cell r="C1588" t="str">
            <v>C12421</v>
          </cell>
          <cell r="D1588" t="str">
            <v>Tablet</v>
          </cell>
          <cell r="E1588">
            <v>1</v>
          </cell>
          <cell r="F1588">
            <v>93.02</v>
          </cell>
          <cell r="G1588" t="str">
            <v>373 Main St</v>
          </cell>
          <cell r="H1588" t="str">
            <v>Online</v>
          </cell>
          <cell r="I1588" t="str">
            <v>Returned</v>
          </cell>
          <cell r="J1588" t="str">
            <v>TRK32588504</v>
          </cell>
          <cell r="K1588">
            <v>4</v>
          </cell>
          <cell r="L1588" t="str">
            <v>No Coupon</v>
          </cell>
          <cell r="M1588" t="str">
            <v>Email</v>
          </cell>
          <cell r="N1588">
            <v>93.02</v>
          </cell>
        </row>
        <row r="1589">
          <cell r="A1589" t="str">
            <v>ORD200387</v>
          </cell>
          <cell r="B1589">
            <v>45470</v>
          </cell>
          <cell r="C1589" t="str">
            <v>C25316</v>
          </cell>
          <cell r="D1589" t="str">
            <v>Printer</v>
          </cell>
          <cell r="E1589">
            <v>2</v>
          </cell>
          <cell r="F1589">
            <v>39.53</v>
          </cell>
          <cell r="G1589" t="str">
            <v>904 Main St</v>
          </cell>
          <cell r="H1589" t="str">
            <v>Credit Card</v>
          </cell>
          <cell r="I1589" t="str">
            <v>Shipped</v>
          </cell>
          <cell r="J1589" t="str">
            <v>TRK55423551</v>
          </cell>
          <cell r="K1589">
            <v>3</v>
          </cell>
          <cell r="L1589" t="str">
            <v>WINTER15</v>
          </cell>
          <cell r="M1589" t="str">
            <v>Google</v>
          </cell>
          <cell r="N1589">
            <v>79.06</v>
          </cell>
        </row>
        <row r="1590">
          <cell r="A1590" t="str">
            <v>ORD200388</v>
          </cell>
          <cell r="B1590">
            <v>45288</v>
          </cell>
          <cell r="C1590" t="str">
            <v>C22657</v>
          </cell>
          <cell r="D1590" t="str">
            <v>Printer</v>
          </cell>
          <cell r="E1590">
            <v>3</v>
          </cell>
          <cell r="F1590">
            <v>633.97</v>
          </cell>
          <cell r="G1590" t="str">
            <v>152 Main St</v>
          </cell>
          <cell r="H1590" t="str">
            <v>Cash</v>
          </cell>
          <cell r="I1590" t="str">
            <v>Pending</v>
          </cell>
          <cell r="J1590" t="str">
            <v>TRK49157047</v>
          </cell>
          <cell r="K1590">
            <v>7</v>
          </cell>
          <cell r="L1590" t="str">
            <v>WINTER15</v>
          </cell>
          <cell r="M1590" t="str">
            <v>Facebook</v>
          </cell>
          <cell r="N1590">
            <v>1901.91</v>
          </cell>
        </row>
        <row r="1591">
          <cell r="A1591" t="str">
            <v>ORD200389</v>
          </cell>
          <cell r="B1591">
            <v>45277</v>
          </cell>
          <cell r="C1591" t="str">
            <v>C29703</v>
          </cell>
          <cell r="D1591" t="str">
            <v>Desk</v>
          </cell>
          <cell r="E1591">
            <v>4</v>
          </cell>
          <cell r="F1591">
            <v>697.5</v>
          </cell>
          <cell r="G1591" t="str">
            <v>558 Main St</v>
          </cell>
          <cell r="H1591" t="str">
            <v>Cash</v>
          </cell>
          <cell r="I1591" t="str">
            <v>Shipped</v>
          </cell>
          <cell r="J1591" t="str">
            <v>TRK40543461</v>
          </cell>
          <cell r="K1591">
            <v>7</v>
          </cell>
          <cell r="L1591" t="str">
            <v>FREESHIP</v>
          </cell>
          <cell r="M1591" t="str">
            <v>Referral</v>
          </cell>
          <cell r="N1591">
            <v>2790</v>
          </cell>
        </row>
        <row r="1592">
          <cell r="A1592" t="str">
            <v>ORD200390</v>
          </cell>
          <cell r="B1592">
            <v>45121</v>
          </cell>
          <cell r="C1592" t="str">
            <v>C55996</v>
          </cell>
          <cell r="D1592" t="str">
            <v>Printer</v>
          </cell>
          <cell r="E1592">
            <v>5</v>
          </cell>
          <cell r="F1592">
            <v>508.69</v>
          </cell>
          <cell r="G1592" t="str">
            <v>885 Main St</v>
          </cell>
          <cell r="H1592" t="str">
            <v>Cash</v>
          </cell>
          <cell r="I1592" t="str">
            <v>Delivered</v>
          </cell>
          <cell r="J1592" t="str">
            <v>TRK30547638</v>
          </cell>
          <cell r="K1592">
            <v>10</v>
          </cell>
          <cell r="L1592" t="str">
            <v>FREESHIP</v>
          </cell>
          <cell r="M1592" t="str">
            <v>Google</v>
          </cell>
          <cell r="N1592">
            <v>2543.4499999999998</v>
          </cell>
        </row>
        <row r="1593">
          <cell r="A1593" t="str">
            <v>ORD200391</v>
          </cell>
          <cell r="B1593">
            <v>45673</v>
          </cell>
          <cell r="C1593" t="str">
            <v>C60037</v>
          </cell>
          <cell r="D1593" t="str">
            <v>Laptop</v>
          </cell>
          <cell r="E1593">
            <v>2</v>
          </cell>
          <cell r="F1593">
            <v>527.46</v>
          </cell>
          <cell r="G1593" t="str">
            <v>516 Main St</v>
          </cell>
          <cell r="H1593" t="str">
            <v>Debit Card</v>
          </cell>
          <cell r="I1593" t="str">
            <v>Cancelled</v>
          </cell>
          <cell r="J1593" t="str">
            <v>TRK82009557</v>
          </cell>
          <cell r="K1593">
            <v>3</v>
          </cell>
          <cell r="L1593" t="str">
            <v>FREESHIP</v>
          </cell>
          <cell r="M1593" t="str">
            <v>Referral</v>
          </cell>
          <cell r="N1593">
            <v>1054.92</v>
          </cell>
        </row>
        <row r="1594">
          <cell r="A1594" t="str">
            <v>ORD200392</v>
          </cell>
          <cell r="B1594">
            <v>45350</v>
          </cell>
          <cell r="C1594" t="str">
            <v>C95100</v>
          </cell>
          <cell r="D1594" t="str">
            <v>Phone</v>
          </cell>
          <cell r="E1594">
            <v>1</v>
          </cell>
          <cell r="F1594">
            <v>627.20000000000005</v>
          </cell>
          <cell r="G1594" t="str">
            <v>197 Main St</v>
          </cell>
          <cell r="H1594" t="str">
            <v>Online</v>
          </cell>
          <cell r="I1594" t="str">
            <v>Delivered</v>
          </cell>
          <cell r="J1594" t="str">
            <v>TRK47366265</v>
          </cell>
          <cell r="K1594">
            <v>1</v>
          </cell>
          <cell r="L1594" t="str">
            <v>WINTER15</v>
          </cell>
          <cell r="M1594" t="str">
            <v>Email</v>
          </cell>
          <cell r="N1594">
            <v>627.20000000000005</v>
          </cell>
        </row>
        <row r="1595">
          <cell r="A1595" t="str">
            <v>ORD200393</v>
          </cell>
          <cell r="B1595">
            <v>45487</v>
          </cell>
          <cell r="C1595" t="str">
            <v>C39906</v>
          </cell>
          <cell r="D1595" t="str">
            <v>Printer</v>
          </cell>
          <cell r="E1595">
            <v>1</v>
          </cell>
          <cell r="F1595">
            <v>75.010000000000005</v>
          </cell>
          <cell r="G1595" t="str">
            <v>921 Main St</v>
          </cell>
          <cell r="H1595" t="str">
            <v>Credit Card</v>
          </cell>
          <cell r="I1595" t="str">
            <v>Returned</v>
          </cell>
          <cell r="J1595" t="str">
            <v>TRK24632134</v>
          </cell>
          <cell r="K1595">
            <v>3</v>
          </cell>
          <cell r="L1595" t="str">
            <v>No Coupon</v>
          </cell>
          <cell r="M1595" t="str">
            <v>Google</v>
          </cell>
          <cell r="N1595">
            <v>75.010000000000005</v>
          </cell>
        </row>
        <row r="1596">
          <cell r="A1596" t="str">
            <v>ORD200394</v>
          </cell>
          <cell r="B1596">
            <v>45112</v>
          </cell>
          <cell r="C1596" t="str">
            <v>C70148</v>
          </cell>
          <cell r="D1596" t="str">
            <v>Desk</v>
          </cell>
          <cell r="E1596">
            <v>5</v>
          </cell>
          <cell r="F1596">
            <v>529.54999999999995</v>
          </cell>
          <cell r="G1596" t="str">
            <v>359 Main St</v>
          </cell>
          <cell r="H1596" t="str">
            <v>Gift Card</v>
          </cell>
          <cell r="I1596" t="str">
            <v>Shipped</v>
          </cell>
          <cell r="J1596" t="str">
            <v>TRK34848650</v>
          </cell>
          <cell r="K1596">
            <v>10</v>
          </cell>
          <cell r="L1596" t="str">
            <v>No Coupon</v>
          </cell>
          <cell r="M1596" t="str">
            <v>Facebook</v>
          </cell>
          <cell r="N1596">
            <v>2647.75</v>
          </cell>
        </row>
        <row r="1597">
          <cell r="A1597" t="str">
            <v>ORD200395</v>
          </cell>
          <cell r="B1597">
            <v>45772</v>
          </cell>
          <cell r="C1597" t="str">
            <v>C30010</v>
          </cell>
          <cell r="D1597" t="str">
            <v>Phone</v>
          </cell>
          <cell r="E1597">
            <v>3</v>
          </cell>
          <cell r="F1597">
            <v>127.41</v>
          </cell>
          <cell r="G1597" t="str">
            <v>830 Main St</v>
          </cell>
          <cell r="H1597" t="str">
            <v>Gift Card</v>
          </cell>
          <cell r="I1597" t="str">
            <v>Delivered</v>
          </cell>
          <cell r="J1597" t="str">
            <v>TRK35386084</v>
          </cell>
          <cell r="K1597">
            <v>7</v>
          </cell>
          <cell r="L1597" t="str">
            <v>SAVE10</v>
          </cell>
          <cell r="M1597" t="str">
            <v>Referral</v>
          </cell>
          <cell r="N1597">
            <v>382.23</v>
          </cell>
        </row>
        <row r="1598">
          <cell r="A1598" t="str">
            <v>ORD200396</v>
          </cell>
          <cell r="B1598">
            <v>45261</v>
          </cell>
          <cell r="C1598" t="str">
            <v>C99217</v>
          </cell>
          <cell r="D1598" t="str">
            <v>Tablet</v>
          </cell>
          <cell r="E1598">
            <v>5</v>
          </cell>
          <cell r="F1598">
            <v>287.13</v>
          </cell>
          <cell r="G1598" t="str">
            <v>778 Main St</v>
          </cell>
          <cell r="H1598" t="str">
            <v>Online</v>
          </cell>
          <cell r="I1598" t="str">
            <v>Shipped</v>
          </cell>
          <cell r="J1598" t="str">
            <v>TRK82004594</v>
          </cell>
          <cell r="K1598">
            <v>10</v>
          </cell>
          <cell r="L1598" t="str">
            <v>SAVE10</v>
          </cell>
          <cell r="M1598" t="str">
            <v>Email</v>
          </cell>
          <cell r="N1598">
            <v>1435.65</v>
          </cell>
        </row>
        <row r="1599">
          <cell r="A1599" t="str">
            <v>ORD200397</v>
          </cell>
          <cell r="B1599">
            <v>45197</v>
          </cell>
          <cell r="C1599" t="str">
            <v>C30184</v>
          </cell>
          <cell r="D1599" t="str">
            <v>Monitor</v>
          </cell>
          <cell r="E1599">
            <v>1</v>
          </cell>
          <cell r="F1599">
            <v>427.06</v>
          </cell>
          <cell r="G1599" t="str">
            <v>987 Main St</v>
          </cell>
          <cell r="H1599" t="str">
            <v>Online</v>
          </cell>
          <cell r="I1599" t="str">
            <v>Cancelled</v>
          </cell>
          <cell r="J1599" t="str">
            <v>TRK86674704</v>
          </cell>
          <cell r="K1599">
            <v>1</v>
          </cell>
          <cell r="L1599" t="str">
            <v>WINTER15</v>
          </cell>
          <cell r="M1599" t="str">
            <v>Referral</v>
          </cell>
          <cell r="N1599">
            <v>427.06</v>
          </cell>
        </row>
        <row r="1600">
          <cell r="A1600" t="str">
            <v>ORD200398</v>
          </cell>
          <cell r="B1600">
            <v>45539</v>
          </cell>
          <cell r="C1600" t="str">
            <v>C50275</v>
          </cell>
          <cell r="D1600" t="str">
            <v>Phone</v>
          </cell>
          <cell r="E1600">
            <v>5</v>
          </cell>
          <cell r="F1600">
            <v>53.93</v>
          </cell>
          <cell r="G1600" t="str">
            <v>729 Main St</v>
          </cell>
          <cell r="H1600" t="str">
            <v>Gift Card</v>
          </cell>
          <cell r="I1600" t="str">
            <v>Shipped</v>
          </cell>
          <cell r="J1600" t="str">
            <v>TRK98925264</v>
          </cell>
          <cell r="K1600">
            <v>7</v>
          </cell>
          <cell r="L1600" t="str">
            <v>SAVE10</v>
          </cell>
          <cell r="M1600" t="str">
            <v>Instagram</v>
          </cell>
          <cell r="N1600">
            <v>269.64999999999998</v>
          </cell>
        </row>
        <row r="1601">
          <cell r="A1601" t="str">
            <v>ORD200399</v>
          </cell>
          <cell r="B1601">
            <v>45298</v>
          </cell>
          <cell r="C1601" t="str">
            <v>C64641</v>
          </cell>
          <cell r="D1601" t="str">
            <v>Tablet</v>
          </cell>
          <cell r="E1601">
            <v>5</v>
          </cell>
          <cell r="F1601">
            <v>423.93</v>
          </cell>
          <cell r="G1601" t="str">
            <v>319 Main St</v>
          </cell>
          <cell r="H1601" t="str">
            <v>Debit Card</v>
          </cell>
          <cell r="I1601" t="str">
            <v>Returned</v>
          </cell>
          <cell r="J1601" t="str">
            <v>TRK32012588</v>
          </cell>
          <cell r="K1601">
            <v>5</v>
          </cell>
          <cell r="L1601" t="str">
            <v>FREESHIP</v>
          </cell>
          <cell r="M1601" t="str">
            <v>Facebook</v>
          </cell>
          <cell r="N1601">
            <v>2119.65</v>
          </cell>
        </row>
        <row r="1602">
          <cell r="A1602" t="str">
            <v>ORD200400</v>
          </cell>
          <cell r="B1602">
            <v>45563</v>
          </cell>
          <cell r="C1602" t="str">
            <v>C56266</v>
          </cell>
          <cell r="D1602" t="str">
            <v>Desk</v>
          </cell>
          <cell r="E1602">
            <v>4</v>
          </cell>
          <cell r="F1602">
            <v>160.22</v>
          </cell>
          <cell r="G1602" t="str">
            <v>304 Main St</v>
          </cell>
          <cell r="H1602" t="str">
            <v>Debit Card</v>
          </cell>
          <cell r="I1602" t="str">
            <v>Returned</v>
          </cell>
          <cell r="J1602" t="str">
            <v>TRK60088901</v>
          </cell>
          <cell r="K1602">
            <v>9</v>
          </cell>
          <cell r="L1602" t="str">
            <v>WINTER15</v>
          </cell>
          <cell r="M1602" t="str">
            <v>Instagram</v>
          </cell>
          <cell r="N1602">
            <v>640.88</v>
          </cell>
        </row>
        <row r="1603">
          <cell r="A1603" t="str">
            <v>ORD200401</v>
          </cell>
          <cell r="B1603">
            <v>45756</v>
          </cell>
          <cell r="C1603" t="str">
            <v>C98635</v>
          </cell>
          <cell r="D1603" t="str">
            <v>Printer</v>
          </cell>
          <cell r="E1603">
            <v>1</v>
          </cell>
          <cell r="F1603">
            <v>538.67999999999995</v>
          </cell>
          <cell r="G1603" t="str">
            <v>197 Main St</v>
          </cell>
          <cell r="H1603" t="str">
            <v>Debit Card</v>
          </cell>
          <cell r="I1603" t="str">
            <v>Returned</v>
          </cell>
          <cell r="J1603" t="str">
            <v>TRK14225465</v>
          </cell>
          <cell r="K1603">
            <v>6</v>
          </cell>
          <cell r="L1603" t="str">
            <v>No Coupon</v>
          </cell>
          <cell r="M1603" t="str">
            <v>Referral</v>
          </cell>
          <cell r="N1603">
            <v>538.67999999999995</v>
          </cell>
        </row>
        <row r="1604">
          <cell r="A1604" t="str">
            <v>ORD200402</v>
          </cell>
          <cell r="B1604">
            <v>45025</v>
          </cell>
          <cell r="C1604" t="str">
            <v>C83026</v>
          </cell>
          <cell r="D1604" t="str">
            <v>Printer</v>
          </cell>
          <cell r="E1604">
            <v>5</v>
          </cell>
          <cell r="F1604">
            <v>337.38</v>
          </cell>
          <cell r="G1604" t="str">
            <v>858 Main St</v>
          </cell>
          <cell r="H1604" t="str">
            <v>Gift Card</v>
          </cell>
          <cell r="I1604" t="str">
            <v>Shipped</v>
          </cell>
          <cell r="J1604" t="str">
            <v>TRK79746259</v>
          </cell>
          <cell r="K1604">
            <v>5</v>
          </cell>
          <cell r="L1604" t="str">
            <v>No Coupon</v>
          </cell>
          <cell r="M1604" t="str">
            <v>Referral</v>
          </cell>
          <cell r="N1604">
            <v>1686.9</v>
          </cell>
        </row>
        <row r="1605">
          <cell r="A1605" t="str">
            <v>ORD200403</v>
          </cell>
          <cell r="B1605">
            <v>45606</v>
          </cell>
          <cell r="C1605" t="str">
            <v>C28893</v>
          </cell>
          <cell r="D1605" t="str">
            <v>Tablet</v>
          </cell>
          <cell r="E1605">
            <v>1</v>
          </cell>
          <cell r="F1605">
            <v>620.21</v>
          </cell>
          <cell r="G1605" t="str">
            <v>740 Main St</v>
          </cell>
          <cell r="H1605" t="str">
            <v>Online</v>
          </cell>
          <cell r="I1605" t="str">
            <v>Returned</v>
          </cell>
          <cell r="J1605" t="str">
            <v>TRK98333066</v>
          </cell>
          <cell r="K1605">
            <v>1</v>
          </cell>
          <cell r="L1605" t="str">
            <v>FREESHIP</v>
          </cell>
          <cell r="M1605" t="str">
            <v>Referral</v>
          </cell>
          <cell r="N1605">
            <v>620.21</v>
          </cell>
        </row>
        <row r="1606">
          <cell r="A1606" t="str">
            <v>ORD200404</v>
          </cell>
          <cell r="B1606">
            <v>44994</v>
          </cell>
          <cell r="C1606" t="str">
            <v>C45482</v>
          </cell>
          <cell r="D1606" t="str">
            <v>Monitor</v>
          </cell>
          <cell r="E1606">
            <v>2</v>
          </cell>
          <cell r="F1606">
            <v>99.1</v>
          </cell>
          <cell r="G1606" t="str">
            <v>440 Main St</v>
          </cell>
          <cell r="H1606" t="str">
            <v>Cash</v>
          </cell>
          <cell r="I1606" t="str">
            <v>Delivered</v>
          </cell>
          <cell r="J1606" t="str">
            <v>TRK54571699</v>
          </cell>
          <cell r="K1606">
            <v>6</v>
          </cell>
          <cell r="L1606" t="str">
            <v>No Coupon</v>
          </cell>
          <cell r="M1606" t="str">
            <v>Instagram</v>
          </cell>
          <cell r="N1606">
            <v>198.2</v>
          </cell>
        </row>
        <row r="1607">
          <cell r="A1607" t="str">
            <v>ORD200405</v>
          </cell>
          <cell r="B1607">
            <v>45683</v>
          </cell>
          <cell r="C1607" t="str">
            <v>C97774</v>
          </cell>
          <cell r="D1607" t="str">
            <v>Monitor</v>
          </cell>
          <cell r="E1607">
            <v>4</v>
          </cell>
          <cell r="F1607">
            <v>451.97</v>
          </cell>
          <cell r="G1607" t="str">
            <v>603 Main St</v>
          </cell>
          <cell r="H1607" t="str">
            <v>Online</v>
          </cell>
          <cell r="I1607" t="str">
            <v>Cancelled</v>
          </cell>
          <cell r="J1607" t="str">
            <v>TRK64664424</v>
          </cell>
          <cell r="K1607">
            <v>7</v>
          </cell>
          <cell r="L1607" t="str">
            <v>WINTER15</v>
          </cell>
          <cell r="M1607" t="str">
            <v>Email</v>
          </cell>
          <cell r="N1607">
            <v>1807.88</v>
          </cell>
        </row>
        <row r="1608">
          <cell r="A1608" t="str">
            <v>ORD200406</v>
          </cell>
          <cell r="B1608">
            <v>45270</v>
          </cell>
          <cell r="C1608" t="str">
            <v>C11657</v>
          </cell>
          <cell r="D1608" t="str">
            <v>Tablet</v>
          </cell>
          <cell r="E1608">
            <v>4</v>
          </cell>
          <cell r="F1608">
            <v>66.099999999999994</v>
          </cell>
          <cell r="G1608" t="str">
            <v>572 Main St</v>
          </cell>
          <cell r="H1608" t="str">
            <v>Cash</v>
          </cell>
          <cell r="I1608" t="str">
            <v>Returned</v>
          </cell>
          <cell r="J1608" t="str">
            <v>TRK50284486</v>
          </cell>
          <cell r="K1608">
            <v>9</v>
          </cell>
          <cell r="L1608" t="str">
            <v>WINTER15</v>
          </cell>
          <cell r="M1608" t="str">
            <v>Google</v>
          </cell>
          <cell r="N1608">
            <v>264.39999999999998</v>
          </cell>
        </row>
        <row r="1609">
          <cell r="A1609" t="str">
            <v>ORD200407</v>
          </cell>
          <cell r="B1609">
            <v>45151</v>
          </cell>
          <cell r="C1609" t="str">
            <v>C85993</v>
          </cell>
          <cell r="D1609" t="str">
            <v>Tablet</v>
          </cell>
          <cell r="E1609">
            <v>4</v>
          </cell>
          <cell r="F1609">
            <v>547.32000000000005</v>
          </cell>
          <cell r="G1609" t="str">
            <v>250 Main St</v>
          </cell>
          <cell r="H1609" t="str">
            <v>Cash</v>
          </cell>
          <cell r="I1609" t="str">
            <v>Returned</v>
          </cell>
          <cell r="J1609" t="str">
            <v>TRK72547640</v>
          </cell>
          <cell r="K1609">
            <v>8</v>
          </cell>
          <cell r="L1609" t="str">
            <v>FREESHIP</v>
          </cell>
          <cell r="M1609" t="str">
            <v>Instagram</v>
          </cell>
          <cell r="N1609">
            <v>2189.2800000000002</v>
          </cell>
        </row>
        <row r="1610">
          <cell r="A1610" t="str">
            <v>ORD200408</v>
          </cell>
          <cell r="B1610">
            <v>45658</v>
          </cell>
          <cell r="C1610" t="str">
            <v>C11906</v>
          </cell>
          <cell r="D1610" t="str">
            <v>Printer</v>
          </cell>
          <cell r="E1610">
            <v>3</v>
          </cell>
          <cell r="F1610">
            <v>412.53</v>
          </cell>
          <cell r="G1610" t="str">
            <v>536 Main St</v>
          </cell>
          <cell r="H1610" t="str">
            <v>Online</v>
          </cell>
          <cell r="I1610" t="str">
            <v>Pending</v>
          </cell>
          <cell r="J1610" t="str">
            <v>TRK31140158</v>
          </cell>
          <cell r="K1610">
            <v>6</v>
          </cell>
          <cell r="L1610" t="str">
            <v>WINTER15</v>
          </cell>
          <cell r="M1610" t="str">
            <v>Google</v>
          </cell>
          <cell r="N1610">
            <v>1237.5899999999999</v>
          </cell>
        </row>
        <row r="1611">
          <cell r="A1611" t="str">
            <v>ORD200409</v>
          </cell>
          <cell r="B1611">
            <v>45105</v>
          </cell>
          <cell r="C1611" t="str">
            <v>C45187</v>
          </cell>
          <cell r="D1611" t="str">
            <v>Desk</v>
          </cell>
          <cell r="E1611">
            <v>5</v>
          </cell>
          <cell r="F1611">
            <v>84.13</v>
          </cell>
          <cell r="G1611" t="str">
            <v>767 Main St</v>
          </cell>
          <cell r="H1611" t="str">
            <v>Online</v>
          </cell>
          <cell r="I1611" t="str">
            <v>Delivered</v>
          </cell>
          <cell r="J1611" t="str">
            <v>TRK12320793</v>
          </cell>
          <cell r="K1611">
            <v>9</v>
          </cell>
          <cell r="L1611" t="str">
            <v>SAVE10</v>
          </cell>
          <cell r="M1611" t="str">
            <v>Google</v>
          </cell>
          <cell r="N1611">
            <v>420.65</v>
          </cell>
        </row>
        <row r="1612">
          <cell r="A1612" t="str">
            <v>ORD200410</v>
          </cell>
          <cell r="B1612">
            <v>45309</v>
          </cell>
          <cell r="C1612" t="str">
            <v>C37375</v>
          </cell>
          <cell r="D1612" t="str">
            <v>Tablet</v>
          </cell>
          <cell r="E1612">
            <v>2</v>
          </cell>
          <cell r="F1612">
            <v>518.23</v>
          </cell>
          <cell r="G1612" t="str">
            <v>184 Main St</v>
          </cell>
          <cell r="H1612" t="str">
            <v>Debit Card</v>
          </cell>
          <cell r="I1612" t="str">
            <v>Shipped</v>
          </cell>
          <cell r="J1612" t="str">
            <v>TRK52470162</v>
          </cell>
          <cell r="K1612">
            <v>5</v>
          </cell>
          <cell r="L1612" t="str">
            <v>No Coupon</v>
          </cell>
          <cell r="M1612" t="str">
            <v>Email</v>
          </cell>
          <cell r="N1612">
            <v>1036.46</v>
          </cell>
        </row>
        <row r="1613">
          <cell r="A1613" t="str">
            <v>ORD200411</v>
          </cell>
          <cell r="B1613">
            <v>45462</v>
          </cell>
          <cell r="C1613" t="str">
            <v>C66567</v>
          </cell>
          <cell r="D1613" t="str">
            <v>Desk</v>
          </cell>
          <cell r="E1613">
            <v>2</v>
          </cell>
          <cell r="F1613">
            <v>39.51</v>
          </cell>
          <cell r="G1613" t="str">
            <v>981 Main St</v>
          </cell>
          <cell r="H1613" t="str">
            <v>Online</v>
          </cell>
          <cell r="I1613" t="str">
            <v>Shipped</v>
          </cell>
          <cell r="J1613" t="str">
            <v>TRK21174822</v>
          </cell>
          <cell r="K1613">
            <v>5</v>
          </cell>
          <cell r="L1613" t="str">
            <v>No Coupon</v>
          </cell>
          <cell r="M1613" t="str">
            <v>Facebook</v>
          </cell>
          <cell r="N1613">
            <v>79.02</v>
          </cell>
        </row>
        <row r="1614">
          <cell r="A1614" t="str">
            <v>ORD200412</v>
          </cell>
          <cell r="B1614">
            <v>45758</v>
          </cell>
          <cell r="C1614" t="str">
            <v>C42451</v>
          </cell>
          <cell r="D1614" t="str">
            <v>Tablet</v>
          </cell>
          <cell r="E1614">
            <v>5</v>
          </cell>
          <cell r="F1614">
            <v>133.01</v>
          </cell>
          <cell r="G1614" t="str">
            <v>246 Main St</v>
          </cell>
          <cell r="H1614" t="str">
            <v>Credit Card</v>
          </cell>
          <cell r="I1614" t="str">
            <v>Returned</v>
          </cell>
          <cell r="J1614" t="str">
            <v>TRK31313343</v>
          </cell>
          <cell r="K1614">
            <v>10</v>
          </cell>
          <cell r="L1614" t="str">
            <v>No Coupon</v>
          </cell>
          <cell r="M1614" t="str">
            <v>Facebook</v>
          </cell>
          <cell r="N1614">
            <v>665.05</v>
          </cell>
        </row>
        <row r="1615">
          <cell r="A1615" t="str">
            <v>ORD200413</v>
          </cell>
          <cell r="B1615">
            <v>45207</v>
          </cell>
          <cell r="C1615" t="str">
            <v>C13923</v>
          </cell>
          <cell r="D1615" t="str">
            <v>Tablet</v>
          </cell>
          <cell r="E1615">
            <v>1</v>
          </cell>
          <cell r="F1615">
            <v>118.8</v>
          </cell>
          <cell r="G1615" t="str">
            <v>123 Main St</v>
          </cell>
          <cell r="H1615" t="str">
            <v>Online</v>
          </cell>
          <cell r="I1615" t="str">
            <v>Delivered</v>
          </cell>
          <cell r="J1615" t="str">
            <v>TRK87598790</v>
          </cell>
          <cell r="K1615">
            <v>6</v>
          </cell>
          <cell r="L1615" t="str">
            <v>SAVE10</v>
          </cell>
          <cell r="M1615" t="str">
            <v>Email</v>
          </cell>
          <cell r="N1615">
            <v>118.8</v>
          </cell>
        </row>
        <row r="1616">
          <cell r="A1616" t="str">
            <v>ORD200414</v>
          </cell>
          <cell r="B1616">
            <v>45781</v>
          </cell>
          <cell r="C1616" t="str">
            <v>C11829</v>
          </cell>
          <cell r="D1616" t="str">
            <v>Desk</v>
          </cell>
          <cell r="E1616">
            <v>2</v>
          </cell>
          <cell r="F1616">
            <v>139.57</v>
          </cell>
          <cell r="G1616" t="str">
            <v>797 Main St</v>
          </cell>
          <cell r="H1616" t="str">
            <v>Cash</v>
          </cell>
          <cell r="I1616" t="str">
            <v>Delivered</v>
          </cell>
          <cell r="J1616" t="str">
            <v>TRK84229257</v>
          </cell>
          <cell r="K1616">
            <v>4</v>
          </cell>
          <cell r="L1616" t="str">
            <v>WINTER15</v>
          </cell>
          <cell r="M1616" t="str">
            <v>Facebook</v>
          </cell>
          <cell r="N1616">
            <v>279.14</v>
          </cell>
        </row>
        <row r="1617">
          <cell r="A1617" t="str">
            <v>ORD200415</v>
          </cell>
          <cell r="B1617">
            <v>45753</v>
          </cell>
          <cell r="C1617" t="str">
            <v>C62169</v>
          </cell>
          <cell r="D1617" t="str">
            <v>Chair</v>
          </cell>
          <cell r="E1617">
            <v>1</v>
          </cell>
          <cell r="F1617">
            <v>184.15</v>
          </cell>
          <cell r="G1617" t="str">
            <v>655 Main St</v>
          </cell>
          <cell r="H1617" t="str">
            <v>Gift Card</v>
          </cell>
          <cell r="I1617" t="str">
            <v>Shipped</v>
          </cell>
          <cell r="J1617" t="str">
            <v>TRK64558985</v>
          </cell>
          <cell r="K1617">
            <v>5</v>
          </cell>
          <cell r="L1617" t="str">
            <v>FREESHIP</v>
          </cell>
          <cell r="M1617" t="str">
            <v>Facebook</v>
          </cell>
          <cell r="N1617">
            <v>184.15</v>
          </cell>
        </row>
        <row r="1618">
          <cell r="A1618" t="str">
            <v>ORD200416</v>
          </cell>
          <cell r="B1618">
            <v>45125</v>
          </cell>
          <cell r="C1618" t="str">
            <v>C20881</v>
          </cell>
          <cell r="D1618" t="str">
            <v>Laptop</v>
          </cell>
          <cell r="E1618">
            <v>2</v>
          </cell>
          <cell r="F1618">
            <v>644.04999999999995</v>
          </cell>
          <cell r="G1618" t="str">
            <v>652 Main St</v>
          </cell>
          <cell r="H1618" t="str">
            <v>Gift Card</v>
          </cell>
          <cell r="I1618" t="str">
            <v>Cancelled</v>
          </cell>
          <cell r="J1618" t="str">
            <v>TRK26263902</v>
          </cell>
          <cell r="K1618">
            <v>5</v>
          </cell>
          <cell r="L1618" t="str">
            <v>WINTER15</v>
          </cell>
          <cell r="M1618" t="str">
            <v>Referral</v>
          </cell>
          <cell r="N1618">
            <v>1288.0999999999999</v>
          </cell>
        </row>
        <row r="1619">
          <cell r="A1619" t="str">
            <v>ORD200417</v>
          </cell>
          <cell r="B1619">
            <v>45223</v>
          </cell>
          <cell r="C1619" t="str">
            <v>C44492</v>
          </cell>
          <cell r="D1619" t="str">
            <v>Laptop</v>
          </cell>
          <cell r="E1619">
            <v>5</v>
          </cell>
          <cell r="F1619">
            <v>55.41</v>
          </cell>
          <cell r="G1619" t="str">
            <v>954 Main St</v>
          </cell>
          <cell r="H1619" t="str">
            <v>Online</v>
          </cell>
          <cell r="I1619" t="str">
            <v>Cancelled</v>
          </cell>
          <cell r="J1619" t="str">
            <v>TRK51429869</v>
          </cell>
          <cell r="K1619">
            <v>5</v>
          </cell>
          <cell r="L1619" t="str">
            <v>No Coupon</v>
          </cell>
          <cell r="M1619" t="str">
            <v>Google</v>
          </cell>
          <cell r="N1619">
            <v>277.05</v>
          </cell>
        </row>
        <row r="1620">
          <cell r="A1620" t="str">
            <v>ORD200418</v>
          </cell>
          <cell r="B1620">
            <v>44937</v>
          </cell>
          <cell r="C1620" t="str">
            <v>C74169</v>
          </cell>
          <cell r="D1620" t="str">
            <v>Printer</v>
          </cell>
          <cell r="E1620">
            <v>1</v>
          </cell>
          <cell r="F1620">
            <v>310.93</v>
          </cell>
          <cell r="G1620" t="str">
            <v>862 Main St</v>
          </cell>
          <cell r="H1620" t="str">
            <v>Online</v>
          </cell>
          <cell r="I1620" t="str">
            <v>Cancelled</v>
          </cell>
          <cell r="J1620" t="str">
            <v>TRK66144809</v>
          </cell>
          <cell r="K1620">
            <v>3</v>
          </cell>
          <cell r="L1620" t="str">
            <v>No Coupon</v>
          </cell>
          <cell r="M1620" t="str">
            <v>Facebook</v>
          </cell>
          <cell r="N1620">
            <v>310.93</v>
          </cell>
        </row>
        <row r="1621">
          <cell r="A1621" t="str">
            <v>ORD200419</v>
          </cell>
          <cell r="B1621">
            <v>45399</v>
          </cell>
          <cell r="C1621" t="str">
            <v>C70999</v>
          </cell>
          <cell r="D1621" t="str">
            <v>Tablet</v>
          </cell>
          <cell r="E1621">
            <v>2</v>
          </cell>
          <cell r="F1621">
            <v>216.66</v>
          </cell>
          <cell r="G1621" t="str">
            <v>885 Main St</v>
          </cell>
          <cell r="H1621" t="str">
            <v>Debit Card</v>
          </cell>
          <cell r="I1621" t="str">
            <v>Pending</v>
          </cell>
          <cell r="J1621" t="str">
            <v>TRK75644156</v>
          </cell>
          <cell r="K1621">
            <v>6</v>
          </cell>
          <cell r="L1621" t="str">
            <v>FREESHIP</v>
          </cell>
          <cell r="M1621" t="str">
            <v>Instagram</v>
          </cell>
          <cell r="N1621">
            <v>433.32</v>
          </cell>
        </row>
        <row r="1622">
          <cell r="A1622" t="str">
            <v>ORD200420</v>
          </cell>
          <cell r="B1622">
            <v>45625</v>
          </cell>
          <cell r="C1622" t="str">
            <v>C11921</v>
          </cell>
          <cell r="D1622" t="str">
            <v>Phone</v>
          </cell>
          <cell r="E1622">
            <v>1</v>
          </cell>
          <cell r="F1622">
            <v>452.7</v>
          </cell>
          <cell r="G1622" t="str">
            <v>439 Main St</v>
          </cell>
          <cell r="H1622" t="str">
            <v>Debit Card</v>
          </cell>
          <cell r="I1622" t="str">
            <v>Shipped</v>
          </cell>
          <cell r="J1622" t="str">
            <v>TRK91362635</v>
          </cell>
          <cell r="K1622">
            <v>5</v>
          </cell>
          <cell r="L1622" t="str">
            <v>FREESHIP</v>
          </cell>
          <cell r="M1622" t="str">
            <v>Instagram</v>
          </cell>
          <cell r="N1622">
            <v>452.7</v>
          </cell>
        </row>
        <row r="1623">
          <cell r="A1623" t="str">
            <v>ORD200421</v>
          </cell>
          <cell r="B1623">
            <v>45214</v>
          </cell>
          <cell r="C1623" t="str">
            <v>C50683</v>
          </cell>
          <cell r="D1623" t="str">
            <v>Chair</v>
          </cell>
          <cell r="E1623">
            <v>2</v>
          </cell>
          <cell r="F1623">
            <v>288.20999999999998</v>
          </cell>
          <cell r="G1623" t="str">
            <v>769 Main St</v>
          </cell>
          <cell r="H1623" t="str">
            <v>Debit Card</v>
          </cell>
          <cell r="I1623" t="str">
            <v>Cancelled</v>
          </cell>
          <cell r="J1623" t="str">
            <v>TRK53032122</v>
          </cell>
          <cell r="K1623">
            <v>5</v>
          </cell>
          <cell r="L1623" t="str">
            <v>No Coupon</v>
          </cell>
          <cell r="M1623" t="str">
            <v>Email</v>
          </cell>
          <cell r="N1623">
            <v>576.41999999999996</v>
          </cell>
        </row>
        <row r="1624">
          <cell r="A1624" t="str">
            <v>ORD200422</v>
          </cell>
          <cell r="B1624">
            <v>45082</v>
          </cell>
          <cell r="C1624" t="str">
            <v>C76140</v>
          </cell>
          <cell r="D1624" t="str">
            <v>Phone</v>
          </cell>
          <cell r="E1624">
            <v>4</v>
          </cell>
          <cell r="F1624">
            <v>206.6</v>
          </cell>
          <cell r="G1624" t="str">
            <v>914 Main St</v>
          </cell>
          <cell r="H1624" t="str">
            <v>Gift Card</v>
          </cell>
          <cell r="I1624" t="str">
            <v>Returned</v>
          </cell>
          <cell r="J1624" t="str">
            <v>TRK25861469</v>
          </cell>
          <cell r="K1624">
            <v>6</v>
          </cell>
          <cell r="L1624" t="str">
            <v>WINTER15</v>
          </cell>
          <cell r="M1624" t="str">
            <v>Referral</v>
          </cell>
          <cell r="N1624">
            <v>826.4</v>
          </cell>
        </row>
        <row r="1625">
          <cell r="A1625" t="str">
            <v>ORD200423</v>
          </cell>
          <cell r="B1625">
            <v>45493</v>
          </cell>
          <cell r="C1625" t="str">
            <v>C94311</v>
          </cell>
          <cell r="D1625" t="str">
            <v>Printer</v>
          </cell>
          <cell r="E1625">
            <v>4</v>
          </cell>
          <cell r="F1625">
            <v>685.2</v>
          </cell>
          <cell r="G1625" t="str">
            <v>195 Main St</v>
          </cell>
          <cell r="H1625" t="str">
            <v>Gift Card</v>
          </cell>
          <cell r="I1625" t="str">
            <v>Cancelled</v>
          </cell>
          <cell r="J1625" t="str">
            <v>TRK97308771</v>
          </cell>
          <cell r="K1625">
            <v>6</v>
          </cell>
          <cell r="L1625" t="str">
            <v>WINTER15</v>
          </cell>
          <cell r="M1625" t="str">
            <v>Google</v>
          </cell>
          <cell r="N1625">
            <v>2740.8</v>
          </cell>
        </row>
        <row r="1626">
          <cell r="A1626" t="str">
            <v>ORD200424</v>
          </cell>
          <cell r="B1626">
            <v>45028</v>
          </cell>
          <cell r="C1626" t="str">
            <v>C49491</v>
          </cell>
          <cell r="D1626" t="str">
            <v>Chair</v>
          </cell>
          <cell r="E1626">
            <v>5</v>
          </cell>
          <cell r="F1626">
            <v>22.94</v>
          </cell>
          <cell r="G1626" t="str">
            <v>339 Main St</v>
          </cell>
          <cell r="H1626" t="str">
            <v>Cash</v>
          </cell>
          <cell r="I1626" t="str">
            <v>Pending</v>
          </cell>
          <cell r="J1626" t="str">
            <v>TRK64012257</v>
          </cell>
          <cell r="K1626">
            <v>10</v>
          </cell>
          <cell r="L1626" t="str">
            <v>No Coupon</v>
          </cell>
          <cell r="M1626" t="str">
            <v>Email</v>
          </cell>
          <cell r="N1626">
            <v>114.7</v>
          </cell>
        </row>
        <row r="1627">
          <cell r="A1627" t="str">
            <v>ORD200425</v>
          </cell>
          <cell r="B1627">
            <v>44994</v>
          </cell>
          <cell r="C1627" t="str">
            <v>C40648</v>
          </cell>
          <cell r="D1627" t="str">
            <v>Laptop</v>
          </cell>
          <cell r="E1627">
            <v>2</v>
          </cell>
          <cell r="F1627">
            <v>301.88</v>
          </cell>
          <cell r="G1627" t="str">
            <v>488 Main St</v>
          </cell>
          <cell r="H1627" t="str">
            <v>Gift Card</v>
          </cell>
          <cell r="I1627" t="str">
            <v>Returned</v>
          </cell>
          <cell r="J1627" t="str">
            <v>TRK25325993</v>
          </cell>
          <cell r="K1627">
            <v>5</v>
          </cell>
          <cell r="L1627" t="str">
            <v>WINTER15</v>
          </cell>
          <cell r="M1627" t="str">
            <v>Email</v>
          </cell>
          <cell r="N1627">
            <v>603.76</v>
          </cell>
        </row>
        <row r="1628">
          <cell r="A1628" t="str">
            <v>ORD200426</v>
          </cell>
          <cell r="B1628">
            <v>45732</v>
          </cell>
          <cell r="C1628" t="str">
            <v>C40967</v>
          </cell>
          <cell r="D1628" t="str">
            <v>Monitor</v>
          </cell>
          <cell r="E1628">
            <v>5</v>
          </cell>
          <cell r="F1628">
            <v>57.45</v>
          </cell>
          <cell r="G1628" t="str">
            <v>315 Main St</v>
          </cell>
          <cell r="H1628" t="str">
            <v>Cash</v>
          </cell>
          <cell r="I1628" t="str">
            <v>Cancelled</v>
          </cell>
          <cell r="J1628" t="str">
            <v>TRK24839296</v>
          </cell>
          <cell r="K1628">
            <v>10</v>
          </cell>
          <cell r="L1628" t="str">
            <v>No Coupon</v>
          </cell>
          <cell r="M1628" t="str">
            <v>Facebook</v>
          </cell>
          <cell r="N1628">
            <v>287.25</v>
          </cell>
        </row>
        <row r="1629">
          <cell r="A1629" t="str">
            <v>ORD200427</v>
          </cell>
          <cell r="B1629">
            <v>45644</v>
          </cell>
          <cell r="C1629" t="str">
            <v>C25406</v>
          </cell>
          <cell r="D1629" t="str">
            <v>Desk</v>
          </cell>
          <cell r="E1629">
            <v>1</v>
          </cell>
          <cell r="F1629">
            <v>161.24</v>
          </cell>
          <cell r="G1629" t="str">
            <v>379 Main St</v>
          </cell>
          <cell r="H1629" t="str">
            <v>Credit Card</v>
          </cell>
          <cell r="I1629" t="str">
            <v>Pending</v>
          </cell>
          <cell r="J1629" t="str">
            <v>TRK70952564</v>
          </cell>
          <cell r="K1629">
            <v>3</v>
          </cell>
          <cell r="L1629" t="str">
            <v>WINTER15</v>
          </cell>
          <cell r="M1629" t="str">
            <v>Instagram</v>
          </cell>
          <cell r="N1629">
            <v>161.24</v>
          </cell>
        </row>
        <row r="1630">
          <cell r="A1630" t="str">
            <v>ORD200428</v>
          </cell>
          <cell r="B1630">
            <v>45622</v>
          </cell>
          <cell r="C1630" t="str">
            <v>C77085</v>
          </cell>
          <cell r="D1630" t="str">
            <v>Chair</v>
          </cell>
          <cell r="E1630">
            <v>4</v>
          </cell>
          <cell r="F1630">
            <v>262.58</v>
          </cell>
          <cell r="G1630" t="str">
            <v>895 Main St</v>
          </cell>
          <cell r="H1630" t="str">
            <v>Online</v>
          </cell>
          <cell r="I1630" t="str">
            <v>Cancelled</v>
          </cell>
          <cell r="J1630" t="str">
            <v>TRK57227640</v>
          </cell>
          <cell r="K1630">
            <v>8</v>
          </cell>
          <cell r="L1630" t="str">
            <v>WINTER15</v>
          </cell>
          <cell r="M1630" t="str">
            <v>Email</v>
          </cell>
          <cell r="N1630">
            <v>1050.32</v>
          </cell>
        </row>
        <row r="1631">
          <cell r="A1631" t="str">
            <v>ORD200429</v>
          </cell>
          <cell r="B1631">
            <v>45645</v>
          </cell>
          <cell r="C1631" t="str">
            <v>C38126</v>
          </cell>
          <cell r="D1631" t="str">
            <v>Printer</v>
          </cell>
          <cell r="E1631">
            <v>4</v>
          </cell>
          <cell r="F1631">
            <v>515.19000000000005</v>
          </cell>
          <cell r="G1631" t="str">
            <v>522 Main St</v>
          </cell>
          <cell r="H1631" t="str">
            <v>Credit Card</v>
          </cell>
          <cell r="I1631" t="str">
            <v>Pending</v>
          </cell>
          <cell r="J1631" t="str">
            <v>TRK90838498</v>
          </cell>
          <cell r="K1631">
            <v>9</v>
          </cell>
          <cell r="L1631" t="str">
            <v>SAVE10</v>
          </cell>
          <cell r="M1631" t="str">
            <v>Facebook</v>
          </cell>
          <cell r="N1631">
            <v>2060.7600000000002</v>
          </cell>
        </row>
        <row r="1632">
          <cell r="A1632" t="str">
            <v>ORD200430</v>
          </cell>
          <cell r="B1632">
            <v>45084</v>
          </cell>
          <cell r="C1632" t="str">
            <v>C87448</v>
          </cell>
          <cell r="D1632" t="str">
            <v>Phone</v>
          </cell>
          <cell r="E1632">
            <v>1</v>
          </cell>
          <cell r="F1632">
            <v>450.07</v>
          </cell>
          <cell r="G1632" t="str">
            <v>433 Main St</v>
          </cell>
          <cell r="H1632" t="str">
            <v>Gift Card</v>
          </cell>
          <cell r="I1632" t="str">
            <v>Shipped</v>
          </cell>
          <cell r="J1632" t="str">
            <v>TRK44134016</v>
          </cell>
          <cell r="K1632">
            <v>6</v>
          </cell>
          <cell r="L1632" t="str">
            <v>FREESHIP</v>
          </cell>
          <cell r="M1632" t="str">
            <v>Google</v>
          </cell>
          <cell r="N1632">
            <v>450.07</v>
          </cell>
        </row>
        <row r="1633">
          <cell r="A1633" t="str">
            <v>ORD200431</v>
          </cell>
          <cell r="B1633">
            <v>45571</v>
          </cell>
          <cell r="C1633" t="str">
            <v>C62312</v>
          </cell>
          <cell r="D1633" t="str">
            <v>Printer</v>
          </cell>
          <cell r="E1633">
            <v>1</v>
          </cell>
          <cell r="F1633">
            <v>52.54</v>
          </cell>
          <cell r="G1633" t="str">
            <v>651 Main St</v>
          </cell>
          <cell r="H1633" t="str">
            <v>Debit Card</v>
          </cell>
          <cell r="I1633" t="str">
            <v>Cancelled</v>
          </cell>
          <cell r="J1633" t="str">
            <v>TRK59623037</v>
          </cell>
          <cell r="K1633">
            <v>6</v>
          </cell>
          <cell r="L1633" t="str">
            <v>WINTER15</v>
          </cell>
          <cell r="M1633" t="str">
            <v>Facebook</v>
          </cell>
          <cell r="N1633">
            <v>52.54</v>
          </cell>
        </row>
        <row r="1634">
          <cell r="A1634" t="str">
            <v>ORD200432</v>
          </cell>
          <cell r="B1634">
            <v>45173</v>
          </cell>
          <cell r="C1634" t="str">
            <v>C58443</v>
          </cell>
          <cell r="D1634" t="str">
            <v>Tablet</v>
          </cell>
          <cell r="E1634">
            <v>2</v>
          </cell>
          <cell r="F1634">
            <v>424.32</v>
          </cell>
          <cell r="G1634" t="str">
            <v>662 Main St</v>
          </cell>
          <cell r="H1634" t="str">
            <v>Credit Card</v>
          </cell>
          <cell r="I1634" t="str">
            <v>Returned</v>
          </cell>
          <cell r="J1634" t="str">
            <v>TRK77163738</v>
          </cell>
          <cell r="K1634">
            <v>6</v>
          </cell>
          <cell r="L1634" t="str">
            <v>No Coupon</v>
          </cell>
          <cell r="M1634" t="str">
            <v>Referral</v>
          </cell>
          <cell r="N1634">
            <v>848.64</v>
          </cell>
        </row>
        <row r="1635">
          <cell r="A1635" t="str">
            <v>ORD200433</v>
          </cell>
          <cell r="B1635">
            <v>45164</v>
          </cell>
          <cell r="C1635" t="str">
            <v>C36613</v>
          </cell>
          <cell r="D1635" t="str">
            <v>Monitor</v>
          </cell>
          <cell r="E1635">
            <v>3</v>
          </cell>
          <cell r="F1635">
            <v>631.64</v>
          </cell>
          <cell r="G1635" t="str">
            <v>785 Main St</v>
          </cell>
          <cell r="H1635" t="str">
            <v>Credit Card</v>
          </cell>
          <cell r="I1635" t="str">
            <v>Returned</v>
          </cell>
          <cell r="J1635" t="str">
            <v>TRK13282106</v>
          </cell>
          <cell r="K1635">
            <v>3</v>
          </cell>
          <cell r="L1635" t="str">
            <v>FREESHIP</v>
          </cell>
          <cell r="M1635" t="str">
            <v>Facebook</v>
          </cell>
          <cell r="N1635">
            <v>1894.92</v>
          </cell>
        </row>
        <row r="1636">
          <cell r="A1636" t="str">
            <v>ORD200434</v>
          </cell>
          <cell r="B1636">
            <v>45221</v>
          </cell>
          <cell r="C1636" t="str">
            <v>C73893</v>
          </cell>
          <cell r="D1636" t="str">
            <v>Printer</v>
          </cell>
          <cell r="E1636">
            <v>5</v>
          </cell>
          <cell r="F1636">
            <v>327.68</v>
          </cell>
          <cell r="G1636" t="str">
            <v>384 Main St</v>
          </cell>
          <cell r="H1636" t="str">
            <v>Credit Card</v>
          </cell>
          <cell r="I1636" t="str">
            <v>Returned</v>
          </cell>
          <cell r="J1636" t="str">
            <v>TRK85939879</v>
          </cell>
          <cell r="K1636">
            <v>6</v>
          </cell>
          <cell r="L1636" t="str">
            <v>No Coupon</v>
          </cell>
          <cell r="M1636" t="str">
            <v>Facebook</v>
          </cell>
          <cell r="N1636">
            <v>1638.4</v>
          </cell>
        </row>
        <row r="1637">
          <cell r="A1637" t="str">
            <v>ORD200435</v>
          </cell>
          <cell r="B1637">
            <v>45073</v>
          </cell>
          <cell r="C1637" t="str">
            <v>C48601</v>
          </cell>
          <cell r="D1637" t="str">
            <v>Printer</v>
          </cell>
          <cell r="E1637">
            <v>1</v>
          </cell>
          <cell r="F1637">
            <v>414.47</v>
          </cell>
          <cell r="G1637" t="str">
            <v>101 Main St</v>
          </cell>
          <cell r="H1637" t="str">
            <v>Debit Card</v>
          </cell>
          <cell r="I1637" t="str">
            <v>Returned</v>
          </cell>
          <cell r="J1637" t="str">
            <v>TRK97868309</v>
          </cell>
          <cell r="K1637">
            <v>3</v>
          </cell>
          <cell r="L1637" t="str">
            <v>FREESHIP</v>
          </cell>
          <cell r="M1637" t="str">
            <v>Instagram</v>
          </cell>
          <cell r="N1637">
            <v>414.47</v>
          </cell>
        </row>
        <row r="1638">
          <cell r="A1638" t="str">
            <v>ORD200436</v>
          </cell>
          <cell r="B1638">
            <v>44968</v>
          </cell>
          <cell r="C1638" t="str">
            <v>C14568</v>
          </cell>
          <cell r="D1638" t="str">
            <v>Laptop</v>
          </cell>
          <cell r="E1638">
            <v>4</v>
          </cell>
          <cell r="F1638">
            <v>221.33</v>
          </cell>
          <cell r="G1638" t="str">
            <v>651 Main St</v>
          </cell>
          <cell r="H1638" t="str">
            <v>Online</v>
          </cell>
          <cell r="I1638" t="str">
            <v>Pending</v>
          </cell>
          <cell r="J1638" t="str">
            <v>TRK73545796</v>
          </cell>
          <cell r="K1638">
            <v>5</v>
          </cell>
          <cell r="L1638" t="str">
            <v>No Coupon</v>
          </cell>
          <cell r="M1638" t="str">
            <v>Google</v>
          </cell>
          <cell r="N1638">
            <v>885.32</v>
          </cell>
        </row>
        <row r="1639">
          <cell r="A1639" t="str">
            <v>ORD200437</v>
          </cell>
          <cell r="B1639">
            <v>45400</v>
          </cell>
          <cell r="C1639" t="str">
            <v>C63378</v>
          </cell>
          <cell r="D1639" t="str">
            <v>Phone</v>
          </cell>
          <cell r="E1639">
            <v>1</v>
          </cell>
          <cell r="F1639">
            <v>512.39</v>
          </cell>
          <cell r="G1639" t="str">
            <v>955 Main St</v>
          </cell>
          <cell r="H1639" t="str">
            <v>Online</v>
          </cell>
          <cell r="I1639" t="str">
            <v>Delivered</v>
          </cell>
          <cell r="J1639" t="str">
            <v>TRK20863705</v>
          </cell>
          <cell r="K1639">
            <v>2</v>
          </cell>
          <cell r="L1639" t="str">
            <v>FREESHIP</v>
          </cell>
          <cell r="M1639" t="str">
            <v>Instagram</v>
          </cell>
          <cell r="N1639">
            <v>512.39</v>
          </cell>
        </row>
        <row r="1640">
          <cell r="A1640" t="str">
            <v>ORD200438</v>
          </cell>
          <cell r="B1640">
            <v>45660</v>
          </cell>
          <cell r="C1640" t="str">
            <v>C77800</v>
          </cell>
          <cell r="D1640" t="str">
            <v>Tablet</v>
          </cell>
          <cell r="E1640">
            <v>3</v>
          </cell>
          <cell r="F1640">
            <v>459.34</v>
          </cell>
          <cell r="G1640" t="str">
            <v>436 Main St</v>
          </cell>
          <cell r="H1640" t="str">
            <v>Gift Card</v>
          </cell>
          <cell r="I1640" t="str">
            <v>Pending</v>
          </cell>
          <cell r="J1640" t="str">
            <v>TRK27439574</v>
          </cell>
          <cell r="K1640">
            <v>3</v>
          </cell>
          <cell r="L1640" t="str">
            <v>SAVE10</v>
          </cell>
          <cell r="M1640" t="str">
            <v>Instagram</v>
          </cell>
          <cell r="N1640">
            <v>1378.02</v>
          </cell>
        </row>
        <row r="1641">
          <cell r="A1641" t="str">
            <v>ORD200439</v>
          </cell>
          <cell r="B1641">
            <v>45543</v>
          </cell>
          <cell r="C1641" t="str">
            <v>C91155</v>
          </cell>
          <cell r="D1641" t="str">
            <v>Tablet</v>
          </cell>
          <cell r="E1641">
            <v>1</v>
          </cell>
          <cell r="F1641">
            <v>146.32</v>
          </cell>
          <cell r="G1641" t="str">
            <v>321 Main St</v>
          </cell>
          <cell r="H1641" t="str">
            <v>Online</v>
          </cell>
          <cell r="I1641" t="str">
            <v>Shipped</v>
          </cell>
          <cell r="J1641" t="str">
            <v>TRK36260319</v>
          </cell>
          <cell r="K1641">
            <v>4</v>
          </cell>
          <cell r="L1641" t="str">
            <v>WINTER15</v>
          </cell>
          <cell r="M1641" t="str">
            <v>Facebook</v>
          </cell>
          <cell r="N1641">
            <v>146.32</v>
          </cell>
        </row>
        <row r="1642">
          <cell r="A1642" t="str">
            <v>ORD200440</v>
          </cell>
          <cell r="B1642">
            <v>45601</v>
          </cell>
          <cell r="C1642" t="str">
            <v>C60215</v>
          </cell>
          <cell r="D1642" t="str">
            <v>Desk</v>
          </cell>
          <cell r="E1642">
            <v>4</v>
          </cell>
          <cell r="F1642">
            <v>83.6</v>
          </cell>
          <cell r="G1642" t="str">
            <v>978 Main St</v>
          </cell>
          <cell r="H1642" t="str">
            <v>Debit Card</v>
          </cell>
          <cell r="I1642" t="str">
            <v>Pending</v>
          </cell>
          <cell r="J1642" t="str">
            <v>TRK31727767</v>
          </cell>
          <cell r="K1642">
            <v>4</v>
          </cell>
          <cell r="L1642" t="str">
            <v>SAVE10</v>
          </cell>
          <cell r="M1642" t="str">
            <v>Facebook</v>
          </cell>
          <cell r="N1642">
            <v>334.4</v>
          </cell>
        </row>
        <row r="1643">
          <cell r="A1643" t="str">
            <v>ORD200441</v>
          </cell>
          <cell r="B1643">
            <v>45273</v>
          </cell>
          <cell r="C1643" t="str">
            <v>C52915</v>
          </cell>
          <cell r="D1643" t="str">
            <v>Printer</v>
          </cell>
          <cell r="E1643">
            <v>2</v>
          </cell>
          <cell r="F1643">
            <v>328.54</v>
          </cell>
          <cell r="G1643" t="str">
            <v>475 Main St</v>
          </cell>
          <cell r="H1643" t="str">
            <v>Gift Card</v>
          </cell>
          <cell r="I1643" t="str">
            <v>Returned</v>
          </cell>
          <cell r="J1643" t="str">
            <v>TRK79466982</v>
          </cell>
          <cell r="K1643">
            <v>6</v>
          </cell>
          <cell r="L1643" t="str">
            <v>FREESHIP</v>
          </cell>
          <cell r="M1643" t="str">
            <v>Email</v>
          </cell>
          <cell r="N1643">
            <v>657.08</v>
          </cell>
        </row>
        <row r="1644">
          <cell r="A1644" t="str">
            <v>ORD200442</v>
          </cell>
          <cell r="B1644">
            <v>45418</v>
          </cell>
          <cell r="C1644" t="str">
            <v>C72588</v>
          </cell>
          <cell r="D1644" t="str">
            <v>Chair</v>
          </cell>
          <cell r="E1644">
            <v>5</v>
          </cell>
          <cell r="F1644">
            <v>314.94</v>
          </cell>
          <cell r="G1644" t="str">
            <v>661 Main St</v>
          </cell>
          <cell r="H1644" t="str">
            <v>Cash</v>
          </cell>
          <cell r="I1644" t="str">
            <v>Pending</v>
          </cell>
          <cell r="J1644" t="str">
            <v>TRK43410829</v>
          </cell>
          <cell r="K1644">
            <v>8</v>
          </cell>
          <cell r="L1644" t="str">
            <v>SAVE10</v>
          </cell>
          <cell r="M1644" t="str">
            <v>Instagram</v>
          </cell>
          <cell r="N1644">
            <v>1574.7</v>
          </cell>
        </row>
        <row r="1645">
          <cell r="A1645" t="str">
            <v>ORD200443</v>
          </cell>
          <cell r="B1645">
            <v>45426</v>
          </cell>
          <cell r="C1645" t="str">
            <v>C61668</v>
          </cell>
          <cell r="D1645" t="str">
            <v>Chair</v>
          </cell>
          <cell r="E1645">
            <v>2</v>
          </cell>
          <cell r="F1645">
            <v>69.64</v>
          </cell>
          <cell r="G1645" t="str">
            <v>813 Main St</v>
          </cell>
          <cell r="H1645" t="str">
            <v>Cash</v>
          </cell>
          <cell r="I1645" t="str">
            <v>Returned</v>
          </cell>
          <cell r="J1645" t="str">
            <v>TRK58970302</v>
          </cell>
          <cell r="K1645">
            <v>6</v>
          </cell>
          <cell r="L1645" t="str">
            <v>No Coupon</v>
          </cell>
          <cell r="M1645" t="str">
            <v>Facebook</v>
          </cell>
          <cell r="N1645">
            <v>139.28</v>
          </cell>
        </row>
        <row r="1646">
          <cell r="A1646" t="str">
            <v>ORD200444</v>
          </cell>
          <cell r="B1646">
            <v>45451</v>
          </cell>
          <cell r="C1646" t="str">
            <v>C79508</v>
          </cell>
          <cell r="D1646" t="str">
            <v>Printer</v>
          </cell>
          <cell r="E1646">
            <v>1</v>
          </cell>
          <cell r="F1646">
            <v>135.16999999999999</v>
          </cell>
          <cell r="G1646" t="str">
            <v>585 Main St</v>
          </cell>
          <cell r="H1646" t="str">
            <v>Online</v>
          </cell>
          <cell r="I1646" t="str">
            <v>Shipped</v>
          </cell>
          <cell r="J1646" t="str">
            <v>TRK61882353</v>
          </cell>
          <cell r="K1646">
            <v>6</v>
          </cell>
          <cell r="L1646" t="str">
            <v>FREESHIP</v>
          </cell>
          <cell r="M1646" t="str">
            <v>Instagram</v>
          </cell>
          <cell r="N1646">
            <v>135.16999999999999</v>
          </cell>
        </row>
        <row r="1647">
          <cell r="A1647" t="str">
            <v>ORD200445</v>
          </cell>
          <cell r="B1647">
            <v>45374</v>
          </cell>
          <cell r="C1647" t="str">
            <v>C94569</v>
          </cell>
          <cell r="D1647" t="str">
            <v>Phone</v>
          </cell>
          <cell r="E1647">
            <v>1</v>
          </cell>
          <cell r="F1647">
            <v>487.21</v>
          </cell>
          <cell r="G1647" t="str">
            <v>227 Main St</v>
          </cell>
          <cell r="H1647" t="str">
            <v>Cash</v>
          </cell>
          <cell r="I1647" t="str">
            <v>Delivered</v>
          </cell>
          <cell r="J1647" t="str">
            <v>TRK31351770</v>
          </cell>
          <cell r="K1647">
            <v>3</v>
          </cell>
          <cell r="L1647" t="str">
            <v>SAVE10</v>
          </cell>
          <cell r="M1647" t="str">
            <v>Referral</v>
          </cell>
          <cell r="N1647">
            <v>487.21</v>
          </cell>
        </row>
        <row r="1648">
          <cell r="A1648" t="str">
            <v>ORD200446</v>
          </cell>
          <cell r="B1648">
            <v>45217</v>
          </cell>
          <cell r="C1648" t="str">
            <v>C89592</v>
          </cell>
          <cell r="D1648" t="str">
            <v>Laptop</v>
          </cell>
          <cell r="E1648">
            <v>5</v>
          </cell>
          <cell r="F1648">
            <v>509.58</v>
          </cell>
          <cell r="G1648" t="str">
            <v>262 Main St</v>
          </cell>
          <cell r="H1648" t="str">
            <v>Online</v>
          </cell>
          <cell r="I1648" t="str">
            <v>Delivered</v>
          </cell>
          <cell r="J1648" t="str">
            <v>TRK49442402</v>
          </cell>
          <cell r="K1648">
            <v>6</v>
          </cell>
          <cell r="L1648" t="str">
            <v>FREESHIP</v>
          </cell>
          <cell r="M1648" t="str">
            <v>Instagram</v>
          </cell>
          <cell r="N1648">
            <v>2547.9</v>
          </cell>
        </row>
        <row r="1649">
          <cell r="A1649" t="str">
            <v>ORD200447</v>
          </cell>
          <cell r="B1649">
            <v>45389</v>
          </cell>
          <cell r="C1649" t="str">
            <v>C48207</v>
          </cell>
          <cell r="D1649" t="str">
            <v>Printer</v>
          </cell>
          <cell r="E1649">
            <v>2</v>
          </cell>
          <cell r="F1649">
            <v>416.81</v>
          </cell>
          <cell r="G1649" t="str">
            <v>356 Main St</v>
          </cell>
          <cell r="H1649" t="str">
            <v>Cash</v>
          </cell>
          <cell r="I1649" t="str">
            <v>Returned</v>
          </cell>
          <cell r="J1649" t="str">
            <v>TRK45355655</v>
          </cell>
          <cell r="K1649">
            <v>2</v>
          </cell>
          <cell r="L1649" t="str">
            <v>No Coupon</v>
          </cell>
          <cell r="M1649" t="str">
            <v>Facebook</v>
          </cell>
          <cell r="N1649">
            <v>833.62</v>
          </cell>
        </row>
        <row r="1650">
          <cell r="A1650" t="str">
            <v>ORD200448</v>
          </cell>
          <cell r="B1650">
            <v>45173</v>
          </cell>
          <cell r="C1650" t="str">
            <v>C16776</v>
          </cell>
          <cell r="D1650" t="str">
            <v>Laptop</v>
          </cell>
          <cell r="E1650">
            <v>2</v>
          </cell>
          <cell r="F1650">
            <v>160</v>
          </cell>
          <cell r="G1650" t="str">
            <v>854 Main St</v>
          </cell>
          <cell r="H1650" t="str">
            <v>Cash</v>
          </cell>
          <cell r="I1650" t="str">
            <v>Pending</v>
          </cell>
          <cell r="J1650" t="str">
            <v>TRK12860600</v>
          </cell>
          <cell r="K1650">
            <v>4</v>
          </cell>
          <cell r="L1650" t="str">
            <v>SAVE10</v>
          </cell>
          <cell r="M1650" t="str">
            <v>Instagram</v>
          </cell>
          <cell r="N1650">
            <v>320</v>
          </cell>
        </row>
        <row r="1651">
          <cell r="A1651" t="str">
            <v>ORD200449</v>
          </cell>
          <cell r="B1651">
            <v>45530</v>
          </cell>
          <cell r="C1651" t="str">
            <v>C91518</v>
          </cell>
          <cell r="D1651" t="str">
            <v>Tablet</v>
          </cell>
          <cell r="E1651">
            <v>3</v>
          </cell>
          <cell r="F1651">
            <v>253.05</v>
          </cell>
          <cell r="G1651" t="str">
            <v>286 Main St</v>
          </cell>
          <cell r="H1651" t="str">
            <v>Online</v>
          </cell>
          <cell r="I1651" t="str">
            <v>Pending</v>
          </cell>
          <cell r="J1651" t="str">
            <v>TRK48688724</v>
          </cell>
          <cell r="K1651">
            <v>3</v>
          </cell>
          <cell r="L1651" t="str">
            <v>No Coupon</v>
          </cell>
          <cell r="M1651" t="str">
            <v>Instagram</v>
          </cell>
          <cell r="N1651">
            <v>759.15</v>
          </cell>
        </row>
        <row r="1652">
          <cell r="A1652" t="str">
            <v>ORD200450</v>
          </cell>
          <cell r="B1652">
            <v>45306</v>
          </cell>
          <cell r="C1652" t="str">
            <v>C36408</v>
          </cell>
          <cell r="D1652" t="str">
            <v>Monitor</v>
          </cell>
          <cell r="E1652">
            <v>5</v>
          </cell>
          <cell r="F1652">
            <v>615.1</v>
          </cell>
          <cell r="G1652" t="str">
            <v>160 Main St</v>
          </cell>
          <cell r="H1652" t="str">
            <v>Gift Card</v>
          </cell>
          <cell r="I1652" t="str">
            <v>Returned</v>
          </cell>
          <cell r="J1652" t="str">
            <v>TRK94023253</v>
          </cell>
          <cell r="K1652">
            <v>10</v>
          </cell>
          <cell r="L1652" t="str">
            <v>WINTER15</v>
          </cell>
          <cell r="M1652" t="str">
            <v>Instagram</v>
          </cell>
          <cell r="N1652">
            <v>3075.5</v>
          </cell>
        </row>
        <row r="1653">
          <cell r="A1653" t="str">
            <v>ORD200451</v>
          </cell>
          <cell r="B1653">
            <v>45017</v>
          </cell>
          <cell r="C1653" t="str">
            <v>C14837</v>
          </cell>
          <cell r="D1653" t="str">
            <v>Monitor</v>
          </cell>
          <cell r="E1653">
            <v>1</v>
          </cell>
          <cell r="F1653">
            <v>183.18</v>
          </cell>
          <cell r="G1653" t="str">
            <v>647 Main St</v>
          </cell>
          <cell r="H1653" t="str">
            <v>Debit Card</v>
          </cell>
          <cell r="I1653" t="str">
            <v>Cancelled</v>
          </cell>
          <cell r="J1653" t="str">
            <v>TRK17501136</v>
          </cell>
          <cell r="K1653">
            <v>6</v>
          </cell>
          <cell r="L1653" t="str">
            <v>SAVE10</v>
          </cell>
          <cell r="M1653" t="str">
            <v>Email</v>
          </cell>
          <cell r="N1653">
            <v>183.18</v>
          </cell>
        </row>
        <row r="1654">
          <cell r="A1654" t="str">
            <v>ORD200452</v>
          </cell>
          <cell r="B1654">
            <v>45130</v>
          </cell>
          <cell r="C1654" t="str">
            <v>C36467</v>
          </cell>
          <cell r="D1654" t="str">
            <v>Printer</v>
          </cell>
          <cell r="E1654">
            <v>1</v>
          </cell>
          <cell r="F1654">
            <v>75.78</v>
          </cell>
          <cell r="G1654" t="str">
            <v>581 Main St</v>
          </cell>
          <cell r="H1654" t="str">
            <v>Cash</v>
          </cell>
          <cell r="I1654" t="str">
            <v>Pending</v>
          </cell>
          <cell r="J1654" t="str">
            <v>TRK20863987</v>
          </cell>
          <cell r="K1654">
            <v>5</v>
          </cell>
          <cell r="L1654" t="str">
            <v>SAVE10</v>
          </cell>
          <cell r="M1654" t="str">
            <v>Google</v>
          </cell>
          <cell r="N1654">
            <v>75.78</v>
          </cell>
        </row>
        <row r="1655">
          <cell r="A1655" t="str">
            <v>ORD200453</v>
          </cell>
          <cell r="B1655">
            <v>45779</v>
          </cell>
          <cell r="C1655" t="str">
            <v>C15017</v>
          </cell>
          <cell r="D1655" t="str">
            <v>Tablet</v>
          </cell>
          <cell r="E1655">
            <v>1</v>
          </cell>
          <cell r="F1655">
            <v>675.57</v>
          </cell>
          <cell r="G1655" t="str">
            <v>492 Main St</v>
          </cell>
          <cell r="H1655" t="str">
            <v>Cash</v>
          </cell>
          <cell r="I1655" t="str">
            <v>Shipped</v>
          </cell>
          <cell r="J1655" t="str">
            <v>TRK51241924</v>
          </cell>
          <cell r="K1655">
            <v>1</v>
          </cell>
          <cell r="L1655" t="str">
            <v>WINTER15</v>
          </cell>
          <cell r="M1655" t="str">
            <v>Facebook</v>
          </cell>
          <cell r="N1655">
            <v>675.57</v>
          </cell>
        </row>
        <row r="1656">
          <cell r="A1656" t="str">
            <v>ORD200454</v>
          </cell>
          <cell r="B1656">
            <v>45623</v>
          </cell>
          <cell r="C1656" t="str">
            <v>C54759</v>
          </cell>
          <cell r="D1656" t="str">
            <v>Laptop</v>
          </cell>
          <cell r="E1656">
            <v>1</v>
          </cell>
          <cell r="F1656">
            <v>109.29</v>
          </cell>
          <cell r="G1656" t="str">
            <v>686 Main St</v>
          </cell>
          <cell r="H1656" t="str">
            <v>Debit Card</v>
          </cell>
          <cell r="I1656" t="str">
            <v>Cancelled</v>
          </cell>
          <cell r="J1656" t="str">
            <v>TRK75583042</v>
          </cell>
          <cell r="K1656">
            <v>5</v>
          </cell>
          <cell r="L1656" t="str">
            <v>FREESHIP</v>
          </cell>
          <cell r="M1656" t="str">
            <v>Google</v>
          </cell>
          <cell r="N1656">
            <v>109.29</v>
          </cell>
        </row>
        <row r="1657">
          <cell r="A1657" t="str">
            <v>ORD200455</v>
          </cell>
          <cell r="B1657">
            <v>45377</v>
          </cell>
          <cell r="C1657" t="str">
            <v>C58341</v>
          </cell>
          <cell r="D1657" t="str">
            <v>Phone</v>
          </cell>
          <cell r="E1657">
            <v>1</v>
          </cell>
          <cell r="F1657">
            <v>639.83000000000004</v>
          </cell>
          <cell r="G1657" t="str">
            <v>874 Main St</v>
          </cell>
          <cell r="H1657" t="str">
            <v>Debit Card</v>
          </cell>
          <cell r="I1657" t="str">
            <v>Pending</v>
          </cell>
          <cell r="J1657" t="str">
            <v>TRK32856728</v>
          </cell>
          <cell r="K1657">
            <v>2</v>
          </cell>
          <cell r="L1657" t="str">
            <v>SAVE10</v>
          </cell>
          <cell r="M1657" t="str">
            <v>Referral</v>
          </cell>
          <cell r="N1657">
            <v>639.83000000000004</v>
          </cell>
        </row>
        <row r="1658">
          <cell r="A1658" t="str">
            <v>ORD200456</v>
          </cell>
          <cell r="B1658">
            <v>45103</v>
          </cell>
          <cell r="C1658" t="str">
            <v>C94479</v>
          </cell>
          <cell r="D1658" t="str">
            <v>Desk</v>
          </cell>
          <cell r="E1658">
            <v>5</v>
          </cell>
          <cell r="F1658">
            <v>62.81</v>
          </cell>
          <cell r="G1658" t="str">
            <v>259 Main St</v>
          </cell>
          <cell r="H1658" t="str">
            <v>Credit Card</v>
          </cell>
          <cell r="I1658" t="str">
            <v>Shipped</v>
          </cell>
          <cell r="J1658" t="str">
            <v>TRK69089975</v>
          </cell>
          <cell r="K1658">
            <v>9</v>
          </cell>
          <cell r="L1658" t="str">
            <v>SAVE10</v>
          </cell>
          <cell r="M1658" t="str">
            <v>Facebook</v>
          </cell>
          <cell r="N1658">
            <v>314.05</v>
          </cell>
        </row>
        <row r="1659">
          <cell r="A1659" t="str">
            <v>ORD200457</v>
          </cell>
          <cell r="B1659">
            <v>45802</v>
          </cell>
          <cell r="C1659" t="str">
            <v>C50236</v>
          </cell>
          <cell r="D1659" t="str">
            <v>Desk</v>
          </cell>
          <cell r="E1659">
            <v>4</v>
          </cell>
          <cell r="F1659">
            <v>615.83000000000004</v>
          </cell>
          <cell r="G1659" t="str">
            <v>545 Main St</v>
          </cell>
          <cell r="H1659" t="str">
            <v>Online</v>
          </cell>
          <cell r="I1659" t="str">
            <v>Returned</v>
          </cell>
          <cell r="J1659" t="str">
            <v>TRK67692578</v>
          </cell>
          <cell r="K1659">
            <v>4</v>
          </cell>
          <cell r="L1659" t="str">
            <v>WINTER15</v>
          </cell>
          <cell r="M1659" t="str">
            <v>Instagram</v>
          </cell>
          <cell r="N1659">
            <v>2463.3200000000002</v>
          </cell>
        </row>
        <row r="1660">
          <cell r="A1660" t="str">
            <v>ORD200458</v>
          </cell>
          <cell r="B1660">
            <v>45475</v>
          </cell>
          <cell r="C1660" t="str">
            <v>C31412</v>
          </cell>
          <cell r="D1660" t="str">
            <v>Monitor</v>
          </cell>
          <cell r="E1660">
            <v>4</v>
          </cell>
          <cell r="F1660">
            <v>510.58</v>
          </cell>
          <cell r="G1660" t="str">
            <v>196 Main St</v>
          </cell>
          <cell r="H1660" t="str">
            <v>Credit Card</v>
          </cell>
          <cell r="I1660" t="str">
            <v>Returned</v>
          </cell>
          <cell r="J1660" t="str">
            <v>TRK61946127</v>
          </cell>
          <cell r="K1660">
            <v>7</v>
          </cell>
          <cell r="L1660" t="str">
            <v>WINTER15</v>
          </cell>
          <cell r="M1660" t="str">
            <v>Email</v>
          </cell>
          <cell r="N1660">
            <v>2042.32</v>
          </cell>
        </row>
        <row r="1661">
          <cell r="A1661" t="str">
            <v>ORD200459</v>
          </cell>
          <cell r="B1661">
            <v>45497</v>
          </cell>
          <cell r="C1661" t="str">
            <v>C90142</v>
          </cell>
          <cell r="D1661" t="str">
            <v>Desk</v>
          </cell>
          <cell r="E1661">
            <v>1</v>
          </cell>
          <cell r="F1661">
            <v>334.39</v>
          </cell>
          <cell r="G1661" t="str">
            <v>433 Main St</v>
          </cell>
          <cell r="H1661" t="str">
            <v>Credit Card</v>
          </cell>
          <cell r="I1661" t="str">
            <v>Returned</v>
          </cell>
          <cell r="J1661" t="str">
            <v>TRK39717191</v>
          </cell>
          <cell r="K1661">
            <v>2</v>
          </cell>
          <cell r="L1661" t="str">
            <v>No Coupon</v>
          </cell>
          <cell r="M1661" t="str">
            <v>Instagram</v>
          </cell>
          <cell r="N1661">
            <v>334.39</v>
          </cell>
        </row>
        <row r="1662">
          <cell r="A1662" t="str">
            <v>ORD200460</v>
          </cell>
          <cell r="B1662">
            <v>45571</v>
          </cell>
          <cell r="C1662" t="str">
            <v>C83548</v>
          </cell>
          <cell r="D1662" t="str">
            <v>Laptop</v>
          </cell>
          <cell r="E1662">
            <v>1</v>
          </cell>
          <cell r="F1662">
            <v>144.25</v>
          </cell>
          <cell r="G1662" t="str">
            <v>474 Main St</v>
          </cell>
          <cell r="H1662" t="str">
            <v>Cash</v>
          </cell>
          <cell r="I1662" t="str">
            <v>Returned</v>
          </cell>
          <cell r="J1662" t="str">
            <v>TRK93822942</v>
          </cell>
          <cell r="K1662">
            <v>2</v>
          </cell>
          <cell r="L1662" t="str">
            <v>WINTER15</v>
          </cell>
          <cell r="M1662" t="str">
            <v>Referral</v>
          </cell>
          <cell r="N1662">
            <v>144.25</v>
          </cell>
        </row>
        <row r="1663">
          <cell r="A1663" t="str">
            <v>ORD200461</v>
          </cell>
          <cell r="B1663">
            <v>45451</v>
          </cell>
          <cell r="C1663" t="str">
            <v>C29697</v>
          </cell>
          <cell r="D1663" t="str">
            <v>Tablet</v>
          </cell>
          <cell r="E1663">
            <v>1</v>
          </cell>
          <cell r="F1663">
            <v>401.82</v>
          </cell>
          <cell r="G1663" t="str">
            <v>407 Main St</v>
          </cell>
          <cell r="H1663" t="str">
            <v>Credit Card</v>
          </cell>
          <cell r="I1663" t="str">
            <v>Shipped</v>
          </cell>
          <cell r="J1663" t="str">
            <v>TRK47776482</v>
          </cell>
          <cell r="K1663">
            <v>5</v>
          </cell>
          <cell r="L1663" t="str">
            <v>FREESHIP</v>
          </cell>
          <cell r="M1663" t="str">
            <v>Google</v>
          </cell>
          <cell r="N1663">
            <v>401.82</v>
          </cell>
        </row>
        <row r="1664">
          <cell r="A1664" t="str">
            <v>ORD200462</v>
          </cell>
          <cell r="B1664">
            <v>45747</v>
          </cell>
          <cell r="C1664" t="str">
            <v>C22991</v>
          </cell>
          <cell r="D1664" t="str">
            <v>Phone</v>
          </cell>
          <cell r="E1664">
            <v>1</v>
          </cell>
          <cell r="F1664">
            <v>252.68</v>
          </cell>
          <cell r="G1664" t="str">
            <v>731 Main St</v>
          </cell>
          <cell r="H1664" t="str">
            <v>Online</v>
          </cell>
          <cell r="I1664" t="str">
            <v>Cancelled</v>
          </cell>
          <cell r="J1664" t="str">
            <v>TRK32796086</v>
          </cell>
          <cell r="K1664">
            <v>1</v>
          </cell>
          <cell r="L1664" t="str">
            <v>No Coupon</v>
          </cell>
          <cell r="M1664" t="str">
            <v>Referral</v>
          </cell>
          <cell r="N1664">
            <v>252.68</v>
          </cell>
        </row>
        <row r="1665">
          <cell r="A1665" t="str">
            <v>ORD200463</v>
          </cell>
          <cell r="B1665">
            <v>45072</v>
          </cell>
          <cell r="C1665" t="str">
            <v>C25276</v>
          </cell>
          <cell r="D1665" t="str">
            <v>Laptop</v>
          </cell>
          <cell r="E1665">
            <v>5</v>
          </cell>
          <cell r="F1665">
            <v>662.78</v>
          </cell>
          <cell r="G1665" t="str">
            <v>214 Main St</v>
          </cell>
          <cell r="H1665" t="str">
            <v>Debit Card</v>
          </cell>
          <cell r="I1665" t="str">
            <v>Shipped</v>
          </cell>
          <cell r="J1665" t="str">
            <v>TRK14011732</v>
          </cell>
          <cell r="K1665">
            <v>9</v>
          </cell>
          <cell r="L1665" t="str">
            <v>SAVE10</v>
          </cell>
          <cell r="M1665" t="str">
            <v>Instagram</v>
          </cell>
          <cell r="N1665">
            <v>3313.9</v>
          </cell>
        </row>
        <row r="1666">
          <cell r="A1666" t="str">
            <v>ORD200464</v>
          </cell>
          <cell r="B1666">
            <v>44999</v>
          </cell>
          <cell r="C1666" t="str">
            <v>C39176</v>
          </cell>
          <cell r="D1666" t="str">
            <v>Tablet</v>
          </cell>
          <cell r="E1666">
            <v>4</v>
          </cell>
          <cell r="F1666">
            <v>434.42</v>
          </cell>
          <cell r="G1666" t="str">
            <v>739 Main St</v>
          </cell>
          <cell r="H1666" t="str">
            <v>Online</v>
          </cell>
          <cell r="I1666" t="str">
            <v>Cancelled</v>
          </cell>
          <cell r="J1666" t="str">
            <v>TRK71418686</v>
          </cell>
          <cell r="K1666">
            <v>6</v>
          </cell>
          <cell r="L1666" t="str">
            <v>FREESHIP</v>
          </cell>
          <cell r="M1666" t="str">
            <v>Google</v>
          </cell>
          <cell r="N1666">
            <v>1737.68</v>
          </cell>
        </row>
        <row r="1667">
          <cell r="A1667" t="str">
            <v>ORD200465</v>
          </cell>
          <cell r="B1667">
            <v>45348</v>
          </cell>
          <cell r="C1667" t="str">
            <v>C58773</v>
          </cell>
          <cell r="D1667" t="str">
            <v>Printer</v>
          </cell>
          <cell r="E1667">
            <v>5</v>
          </cell>
          <cell r="F1667">
            <v>513.49</v>
          </cell>
          <cell r="G1667" t="str">
            <v>391 Main St</v>
          </cell>
          <cell r="H1667" t="str">
            <v>Gift Card</v>
          </cell>
          <cell r="I1667" t="str">
            <v>Cancelled</v>
          </cell>
          <cell r="J1667" t="str">
            <v>TRK65438300</v>
          </cell>
          <cell r="K1667">
            <v>8</v>
          </cell>
          <cell r="L1667" t="str">
            <v>No Coupon</v>
          </cell>
          <cell r="M1667" t="str">
            <v>Google</v>
          </cell>
          <cell r="N1667">
            <v>2567.4499999999998</v>
          </cell>
        </row>
        <row r="1668">
          <cell r="A1668" t="str">
            <v>ORD200466</v>
          </cell>
          <cell r="B1668">
            <v>45125</v>
          </cell>
          <cell r="C1668" t="str">
            <v>C37412</v>
          </cell>
          <cell r="D1668" t="str">
            <v>Phone</v>
          </cell>
          <cell r="E1668">
            <v>1</v>
          </cell>
          <cell r="F1668">
            <v>432.47</v>
          </cell>
          <cell r="G1668" t="str">
            <v>895 Main St</v>
          </cell>
          <cell r="H1668" t="str">
            <v>Cash</v>
          </cell>
          <cell r="I1668" t="str">
            <v>Delivered</v>
          </cell>
          <cell r="J1668" t="str">
            <v>TRK97829604</v>
          </cell>
          <cell r="K1668">
            <v>4</v>
          </cell>
          <cell r="L1668" t="str">
            <v>FREESHIP</v>
          </cell>
          <cell r="M1668" t="str">
            <v>Referral</v>
          </cell>
          <cell r="N1668">
            <v>432.47</v>
          </cell>
        </row>
        <row r="1669">
          <cell r="A1669" t="str">
            <v>ORD200467</v>
          </cell>
          <cell r="B1669">
            <v>45534</v>
          </cell>
          <cell r="C1669" t="str">
            <v>C36492</v>
          </cell>
          <cell r="D1669" t="str">
            <v>Desk</v>
          </cell>
          <cell r="E1669">
            <v>1</v>
          </cell>
          <cell r="F1669">
            <v>45.94</v>
          </cell>
          <cell r="G1669" t="str">
            <v>572 Main St</v>
          </cell>
          <cell r="H1669" t="str">
            <v>Cash</v>
          </cell>
          <cell r="I1669" t="str">
            <v>Cancelled</v>
          </cell>
          <cell r="J1669" t="str">
            <v>TRK44350440</v>
          </cell>
          <cell r="K1669">
            <v>2</v>
          </cell>
          <cell r="L1669" t="str">
            <v>WINTER15</v>
          </cell>
          <cell r="M1669" t="str">
            <v>Email</v>
          </cell>
          <cell r="N1669">
            <v>45.94</v>
          </cell>
        </row>
        <row r="1670">
          <cell r="A1670" t="str">
            <v>ORD200468</v>
          </cell>
          <cell r="B1670">
            <v>45829</v>
          </cell>
          <cell r="C1670" t="str">
            <v>C90110</v>
          </cell>
          <cell r="D1670" t="str">
            <v>Phone</v>
          </cell>
          <cell r="E1670">
            <v>1</v>
          </cell>
          <cell r="F1670">
            <v>418.36</v>
          </cell>
          <cell r="G1670" t="str">
            <v>998 Main St</v>
          </cell>
          <cell r="H1670" t="str">
            <v>Credit Card</v>
          </cell>
          <cell r="I1670" t="str">
            <v>Delivered</v>
          </cell>
          <cell r="J1670" t="str">
            <v>TRK60203957</v>
          </cell>
          <cell r="K1670">
            <v>5</v>
          </cell>
          <cell r="L1670" t="str">
            <v>FREESHIP</v>
          </cell>
          <cell r="M1670" t="str">
            <v>Email</v>
          </cell>
          <cell r="N1670">
            <v>418.36</v>
          </cell>
        </row>
        <row r="1671">
          <cell r="A1671" t="str">
            <v>ORD200469</v>
          </cell>
          <cell r="B1671">
            <v>45256</v>
          </cell>
          <cell r="C1671" t="str">
            <v>C13877</v>
          </cell>
          <cell r="D1671" t="str">
            <v>Chair</v>
          </cell>
          <cell r="E1671">
            <v>5</v>
          </cell>
          <cell r="F1671">
            <v>676.98</v>
          </cell>
          <cell r="G1671" t="str">
            <v>893 Main St</v>
          </cell>
          <cell r="H1671" t="str">
            <v>Cash</v>
          </cell>
          <cell r="I1671" t="str">
            <v>Cancelled</v>
          </cell>
          <cell r="J1671" t="str">
            <v>TRK17254691</v>
          </cell>
          <cell r="K1671">
            <v>5</v>
          </cell>
          <cell r="L1671" t="str">
            <v>No Coupon</v>
          </cell>
          <cell r="M1671" t="str">
            <v>Facebook</v>
          </cell>
          <cell r="N1671">
            <v>3384.9</v>
          </cell>
        </row>
        <row r="1672">
          <cell r="A1672" t="str">
            <v>ORD200470</v>
          </cell>
          <cell r="B1672">
            <v>45198</v>
          </cell>
          <cell r="C1672" t="str">
            <v>C25149</v>
          </cell>
          <cell r="D1672" t="str">
            <v>Tablet</v>
          </cell>
          <cell r="E1672">
            <v>4</v>
          </cell>
          <cell r="F1672">
            <v>263.62</v>
          </cell>
          <cell r="G1672" t="str">
            <v>672 Main St</v>
          </cell>
          <cell r="H1672" t="str">
            <v>Cash</v>
          </cell>
          <cell r="I1672" t="str">
            <v>Shipped</v>
          </cell>
          <cell r="J1672" t="str">
            <v>TRK33538608</v>
          </cell>
          <cell r="K1672">
            <v>5</v>
          </cell>
          <cell r="L1672" t="str">
            <v>SAVE10</v>
          </cell>
          <cell r="M1672" t="str">
            <v>Email</v>
          </cell>
          <cell r="N1672">
            <v>1054.48</v>
          </cell>
        </row>
        <row r="1673">
          <cell r="A1673" t="str">
            <v>ORD200471</v>
          </cell>
          <cell r="B1673">
            <v>45766</v>
          </cell>
          <cell r="C1673" t="str">
            <v>C52717</v>
          </cell>
          <cell r="D1673" t="str">
            <v>Desk</v>
          </cell>
          <cell r="E1673">
            <v>5</v>
          </cell>
          <cell r="F1673">
            <v>551.27</v>
          </cell>
          <cell r="G1673" t="str">
            <v>395 Main St</v>
          </cell>
          <cell r="H1673" t="str">
            <v>Online</v>
          </cell>
          <cell r="I1673" t="str">
            <v>Cancelled</v>
          </cell>
          <cell r="J1673" t="str">
            <v>TRK27625571</v>
          </cell>
          <cell r="K1673">
            <v>7</v>
          </cell>
          <cell r="L1673" t="str">
            <v>FREESHIP</v>
          </cell>
          <cell r="M1673" t="str">
            <v>Referral</v>
          </cell>
          <cell r="N1673">
            <v>2756.35</v>
          </cell>
        </row>
        <row r="1674">
          <cell r="A1674" t="str">
            <v>ORD200472</v>
          </cell>
          <cell r="B1674">
            <v>44932</v>
          </cell>
          <cell r="C1674" t="str">
            <v>C60029</v>
          </cell>
          <cell r="D1674" t="str">
            <v>Chair</v>
          </cell>
          <cell r="E1674">
            <v>3</v>
          </cell>
          <cell r="F1674">
            <v>508.12</v>
          </cell>
          <cell r="G1674" t="str">
            <v>796 Main St</v>
          </cell>
          <cell r="H1674" t="str">
            <v>Credit Card</v>
          </cell>
          <cell r="I1674" t="str">
            <v>Cancelled</v>
          </cell>
          <cell r="J1674" t="str">
            <v>TRK86461316</v>
          </cell>
          <cell r="K1674">
            <v>8</v>
          </cell>
          <cell r="L1674" t="str">
            <v>FREESHIP</v>
          </cell>
          <cell r="M1674" t="str">
            <v>Referral</v>
          </cell>
          <cell r="N1674">
            <v>1524.36</v>
          </cell>
        </row>
        <row r="1675">
          <cell r="A1675" t="str">
            <v>ORD200473</v>
          </cell>
          <cell r="B1675">
            <v>45713</v>
          </cell>
          <cell r="C1675" t="str">
            <v>C28552</v>
          </cell>
          <cell r="D1675" t="str">
            <v>Chair</v>
          </cell>
          <cell r="E1675">
            <v>2</v>
          </cell>
          <cell r="F1675">
            <v>14.93</v>
          </cell>
          <cell r="G1675" t="str">
            <v>449 Main St</v>
          </cell>
          <cell r="H1675" t="str">
            <v>Online</v>
          </cell>
          <cell r="I1675" t="str">
            <v>Shipped</v>
          </cell>
          <cell r="J1675" t="str">
            <v>TRK71597160</v>
          </cell>
          <cell r="K1675">
            <v>4</v>
          </cell>
          <cell r="L1675" t="str">
            <v>No Coupon</v>
          </cell>
          <cell r="M1675" t="str">
            <v>Facebook</v>
          </cell>
          <cell r="N1675">
            <v>29.86</v>
          </cell>
        </row>
        <row r="1676">
          <cell r="A1676" t="str">
            <v>ORD200474</v>
          </cell>
          <cell r="B1676">
            <v>45245</v>
          </cell>
          <cell r="C1676" t="str">
            <v>C72293</v>
          </cell>
          <cell r="D1676" t="str">
            <v>Printer</v>
          </cell>
          <cell r="E1676">
            <v>3</v>
          </cell>
          <cell r="F1676">
            <v>229.34</v>
          </cell>
          <cell r="G1676" t="str">
            <v>398 Main St</v>
          </cell>
          <cell r="H1676" t="str">
            <v>Credit Card</v>
          </cell>
          <cell r="I1676" t="str">
            <v>Shipped</v>
          </cell>
          <cell r="J1676" t="str">
            <v>TRK84378003</v>
          </cell>
          <cell r="K1676">
            <v>6</v>
          </cell>
          <cell r="L1676" t="str">
            <v>SAVE10</v>
          </cell>
          <cell r="M1676" t="str">
            <v>Referral</v>
          </cell>
          <cell r="N1676">
            <v>688.02</v>
          </cell>
        </row>
        <row r="1677">
          <cell r="A1677" t="str">
            <v>ORD200475</v>
          </cell>
          <cell r="B1677">
            <v>45766</v>
          </cell>
          <cell r="C1677" t="str">
            <v>C29844</v>
          </cell>
          <cell r="D1677" t="str">
            <v>Tablet</v>
          </cell>
          <cell r="E1677">
            <v>2</v>
          </cell>
          <cell r="F1677">
            <v>438.62</v>
          </cell>
          <cell r="G1677" t="str">
            <v>363 Main St</v>
          </cell>
          <cell r="H1677" t="str">
            <v>Cash</v>
          </cell>
          <cell r="I1677" t="str">
            <v>Cancelled</v>
          </cell>
          <cell r="J1677" t="str">
            <v>TRK91642337</v>
          </cell>
          <cell r="K1677">
            <v>3</v>
          </cell>
          <cell r="L1677" t="str">
            <v>SAVE10</v>
          </cell>
          <cell r="M1677" t="str">
            <v>Facebook</v>
          </cell>
          <cell r="N1677">
            <v>877.24</v>
          </cell>
        </row>
        <row r="1678">
          <cell r="A1678" t="str">
            <v>ORD200476</v>
          </cell>
          <cell r="B1678">
            <v>45306</v>
          </cell>
          <cell r="C1678" t="str">
            <v>C77872</v>
          </cell>
          <cell r="D1678" t="str">
            <v>Phone</v>
          </cell>
          <cell r="E1678">
            <v>2</v>
          </cell>
          <cell r="F1678">
            <v>513.59</v>
          </cell>
          <cell r="G1678" t="str">
            <v>867 Main St</v>
          </cell>
          <cell r="H1678" t="str">
            <v>Online</v>
          </cell>
          <cell r="I1678" t="str">
            <v>Returned</v>
          </cell>
          <cell r="J1678" t="str">
            <v>TRK19292184</v>
          </cell>
          <cell r="K1678">
            <v>4</v>
          </cell>
          <cell r="L1678" t="str">
            <v>FREESHIP</v>
          </cell>
          <cell r="M1678" t="str">
            <v>Referral</v>
          </cell>
          <cell r="N1678">
            <v>1027.18</v>
          </cell>
        </row>
        <row r="1679">
          <cell r="A1679" t="str">
            <v>ORD200477</v>
          </cell>
          <cell r="B1679">
            <v>45721</v>
          </cell>
          <cell r="C1679" t="str">
            <v>C56564</v>
          </cell>
          <cell r="D1679" t="str">
            <v>Phone</v>
          </cell>
          <cell r="E1679">
            <v>2</v>
          </cell>
          <cell r="F1679">
            <v>253.74</v>
          </cell>
          <cell r="G1679" t="str">
            <v>481 Main St</v>
          </cell>
          <cell r="H1679" t="str">
            <v>Online</v>
          </cell>
          <cell r="I1679" t="str">
            <v>Shipped</v>
          </cell>
          <cell r="J1679" t="str">
            <v>TRK13166044</v>
          </cell>
          <cell r="K1679">
            <v>5</v>
          </cell>
          <cell r="L1679" t="str">
            <v>SAVE10</v>
          </cell>
          <cell r="M1679" t="str">
            <v>Google</v>
          </cell>
          <cell r="N1679">
            <v>507.48</v>
          </cell>
        </row>
        <row r="1680">
          <cell r="A1680" t="str">
            <v>ORD200478</v>
          </cell>
          <cell r="B1680">
            <v>45597</v>
          </cell>
          <cell r="C1680" t="str">
            <v>C16758</v>
          </cell>
          <cell r="D1680" t="str">
            <v>Tablet</v>
          </cell>
          <cell r="E1680">
            <v>3</v>
          </cell>
          <cell r="F1680">
            <v>62.77</v>
          </cell>
          <cell r="G1680" t="str">
            <v>914 Main St</v>
          </cell>
          <cell r="H1680" t="str">
            <v>Gift Card</v>
          </cell>
          <cell r="I1680" t="str">
            <v>Shipped</v>
          </cell>
          <cell r="J1680" t="str">
            <v>TRK88544431</v>
          </cell>
          <cell r="K1680">
            <v>6</v>
          </cell>
          <cell r="L1680" t="str">
            <v>FREESHIP</v>
          </cell>
          <cell r="M1680" t="str">
            <v>Referral</v>
          </cell>
          <cell r="N1680">
            <v>188.31</v>
          </cell>
        </row>
        <row r="1681">
          <cell r="A1681" t="str">
            <v>ORD200479</v>
          </cell>
          <cell r="B1681">
            <v>44975</v>
          </cell>
          <cell r="C1681" t="str">
            <v>C87011</v>
          </cell>
          <cell r="D1681" t="str">
            <v>Monitor</v>
          </cell>
          <cell r="E1681">
            <v>4</v>
          </cell>
          <cell r="F1681">
            <v>25.29</v>
          </cell>
          <cell r="G1681" t="str">
            <v>943 Main St</v>
          </cell>
          <cell r="H1681" t="str">
            <v>Credit Card</v>
          </cell>
          <cell r="I1681" t="str">
            <v>Pending</v>
          </cell>
          <cell r="J1681" t="str">
            <v>TRK21429162</v>
          </cell>
          <cell r="K1681">
            <v>8</v>
          </cell>
          <cell r="L1681" t="str">
            <v>No Coupon</v>
          </cell>
          <cell r="M1681" t="str">
            <v>Google</v>
          </cell>
          <cell r="N1681">
            <v>101.16</v>
          </cell>
        </row>
        <row r="1682">
          <cell r="A1682" t="str">
            <v>ORD200480</v>
          </cell>
          <cell r="B1682">
            <v>45093</v>
          </cell>
          <cell r="C1682" t="str">
            <v>C21147</v>
          </cell>
          <cell r="D1682" t="str">
            <v>Chair</v>
          </cell>
          <cell r="E1682">
            <v>1</v>
          </cell>
          <cell r="F1682">
            <v>335.1</v>
          </cell>
          <cell r="G1682" t="str">
            <v>126 Main St</v>
          </cell>
          <cell r="H1682" t="str">
            <v>Debit Card</v>
          </cell>
          <cell r="I1682" t="str">
            <v>Pending</v>
          </cell>
          <cell r="J1682" t="str">
            <v>TRK93171043</v>
          </cell>
          <cell r="K1682">
            <v>6</v>
          </cell>
          <cell r="L1682" t="str">
            <v>FREESHIP</v>
          </cell>
          <cell r="M1682" t="str">
            <v>Referral</v>
          </cell>
          <cell r="N1682">
            <v>335.1</v>
          </cell>
        </row>
        <row r="1683">
          <cell r="A1683" t="str">
            <v>ORD200481</v>
          </cell>
          <cell r="B1683">
            <v>45039</v>
          </cell>
          <cell r="C1683" t="str">
            <v>C94568</v>
          </cell>
          <cell r="D1683" t="str">
            <v>Laptop</v>
          </cell>
          <cell r="E1683">
            <v>4</v>
          </cell>
          <cell r="F1683">
            <v>484.85</v>
          </cell>
          <cell r="G1683" t="str">
            <v>317 Main St</v>
          </cell>
          <cell r="H1683" t="str">
            <v>Debit Card</v>
          </cell>
          <cell r="I1683" t="str">
            <v>Delivered</v>
          </cell>
          <cell r="J1683" t="str">
            <v>TRK58653915</v>
          </cell>
          <cell r="K1683">
            <v>5</v>
          </cell>
          <cell r="L1683" t="str">
            <v>WINTER15</v>
          </cell>
          <cell r="M1683" t="str">
            <v>Referral</v>
          </cell>
          <cell r="N1683">
            <v>1939.4</v>
          </cell>
        </row>
        <row r="1684">
          <cell r="A1684" t="str">
            <v>ORD200482</v>
          </cell>
          <cell r="B1684">
            <v>45718</v>
          </cell>
          <cell r="C1684" t="str">
            <v>C35852</v>
          </cell>
          <cell r="D1684" t="str">
            <v>Monitor</v>
          </cell>
          <cell r="E1684">
            <v>3</v>
          </cell>
          <cell r="F1684">
            <v>381.41</v>
          </cell>
          <cell r="G1684" t="str">
            <v>989 Main St</v>
          </cell>
          <cell r="H1684" t="str">
            <v>Online</v>
          </cell>
          <cell r="I1684" t="str">
            <v>Pending</v>
          </cell>
          <cell r="J1684" t="str">
            <v>TRK22302049</v>
          </cell>
          <cell r="K1684">
            <v>6</v>
          </cell>
          <cell r="L1684" t="str">
            <v>No Coupon</v>
          </cell>
          <cell r="M1684" t="str">
            <v>Instagram</v>
          </cell>
          <cell r="N1684">
            <v>1144.23</v>
          </cell>
        </row>
        <row r="1685">
          <cell r="A1685" t="str">
            <v>ORD200483</v>
          </cell>
          <cell r="B1685">
            <v>44944</v>
          </cell>
          <cell r="C1685" t="str">
            <v>C66462</v>
          </cell>
          <cell r="D1685" t="str">
            <v>Phone</v>
          </cell>
          <cell r="E1685">
            <v>5</v>
          </cell>
          <cell r="F1685">
            <v>347.92</v>
          </cell>
          <cell r="G1685" t="str">
            <v>982 Main St</v>
          </cell>
          <cell r="H1685" t="str">
            <v>Cash</v>
          </cell>
          <cell r="I1685" t="str">
            <v>Pending</v>
          </cell>
          <cell r="J1685" t="str">
            <v>TRK52743700</v>
          </cell>
          <cell r="K1685">
            <v>6</v>
          </cell>
          <cell r="L1685" t="str">
            <v>WINTER15</v>
          </cell>
          <cell r="M1685" t="str">
            <v>Google</v>
          </cell>
          <cell r="N1685">
            <v>1739.6</v>
          </cell>
        </row>
        <row r="1686">
          <cell r="A1686" t="str">
            <v>ORD200484</v>
          </cell>
          <cell r="B1686">
            <v>45441</v>
          </cell>
          <cell r="C1686" t="str">
            <v>C29092</v>
          </cell>
          <cell r="D1686" t="str">
            <v>Chair</v>
          </cell>
          <cell r="E1686">
            <v>4</v>
          </cell>
          <cell r="F1686">
            <v>15.01</v>
          </cell>
          <cell r="G1686" t="str">
            <v>767 Main St</v>
          </cell>
          <cell r="H1686" t="str">
            <v>Cash</v>
          </cell>
          <cell r="I1686" t="str">
            <v>Cancelled</v>
          </cell>
          <cell r="J1686" t="str">
            <v>TRK90455340</v>
          </cell>
          <cell r="K1686">
            <v>6</v>
          </cell>
          <cell r="L1686" t="str">
            <v>No Coupon</v>
          </cell>
          <cell r="M1686" t="str">
            <v>Facebook</v>
          </cell>
          <cell r="N1686">
            <v>60.04</v>
          </cell>
        </row>
        <row r="1687">
          <cell r="A1687" t="str">
            <v>ORD200485</v>
          </cell>
          <cell r="B1687">
            <v>45139</v>
          </cell>
          <cell r="C1687" t="str">
            <v>C46651</v>
          </cell>
          <cell r="D1687" t="str">
            <v>Chair</v>
          </cell>
          <cell r="E1687">
            <v>3</v>
          </cell>
          <cell r="F1687">
            <v>404.79</v>
          </cell>
          <cell r="G1687" t="str">
            <v>764 Main St</v>
          </cell>
          <cell r="H1687" t="str">
            <v>Cash</v>
          </cell>
          <cell r="I1687" t="str">
            <v>Shipped</v>
          </cell>
          <cell r="J1687" t="str">
            <v>TRK67679195</v>
          </cell>
          <cell r="K1687">
            <v>6</v>
          </cell>
          <cell r="L1687" t="str">
            <v>SAVE10</v>
          </cell>
          <cell r="M1687" t="str">
            <v>Instagram</v>
          </cell>
          <cell r="N1687">
            <v>1214.3699999999999</v>
          </cell>
        </row>
        <row r="1688">
          <cell r="A1688" t="str">
            <v>ORD200486</v>
          </cell>
          <cell r="B1688">
            <v>44960</v>
          </cell>
          <cell r="C1688" t="str">
            <v>C88981</v>
          </cell>
          <cell r="D1688" t="str">
            <v>Printer</v>
          </cell>
          <cell r="E1688">
            <v>4</v>
          </cell>
          <cell r="F1688">
            <v>611.26</v>
          </cell>
          <cell r="G1688" t="str">
            <v>558 Main St</v>
          </cell>
          <cell r="H1688" t="str">
            <v>Cash</v>
          </cell>
          <cell r="I1688" t="str">
            <v>Shipped</v>
          </cell>
          <cell r="J1688" t="str">
            <v>TRK75267873</v>
          </cell>
          <cell r="K1688">
            <v>5</v>
          </cell>
          <cell r="L1688" t="str">
            <v>SAVE10</v>
          </cell>
          <cell r="M1688" t="str">
            <v>Referral</v>
          </cell>
          <cell r="N1688">
            <v>2445.04</v>
          </cell>
        </row>
        <row r="1689">
          <cell r="A1689" t="str">
            <v>ORD200487</v>
          </cell>
          <cell r="B1689">
            <v>44994</v>
          </cell>
          <cell r="C1689" t="str">
            <v>C40136</v>
          </cell>
          <cell r="D1689" t="str">
            <v>Printer</v>
          </cell>
          <cell r="E1689">
            <v>3</v>
          </cell>
          <cell r="F1689">
            <v>346.52</v>
          </cell>
          <cell r="G1689" t="str">
            <v>211 Main St</v>
          </cell>
          <cell r="H1689" t="str">
            <v>Credit Card</v>
          </cell>
          <cell r="I1689" t="str">
            <v>Pending</v>
          </cell>
          <cell r="J1689" t="str">
            <v>TRK92924852</v>
          </cell>
          <cell r="K1689">
            <v>3</v>
          </cell>
          <cell r="L1689" t="str">
            <v>SAVE10</v>
          </cell>
          <cell r="M1689" t="str">
            <v>Google</v>
          </cell>
          <cell r="N1689">
            <v>1039.56</v>
          </cell>
        </row>
        <row r="1690">
          <cell r="A1690" t="str">
            <v>ORD200488</v>
          </cell>
          <cell r="B1690">
            <v>45631</v>
          </cell>
          <cell r="C1690" t="str">
            <v>C81573</v>
          </cell>
          <cell r="D1690" t="str">
            <v>Chair</v>
          </cell>
          <cell r="E1690">
            <v>1</v>
          </cell>
          <cell r="F1690">
            <v>36.65</v>
          </cell>
          <cell r="G1690" t="str">
            <v>556 Main St</v>
          </cell>
          <cell r="H1690" t="str">
            <v>Online</v>
          </cell>
          <cell r="I1690" t="str">
            <v>Cancelled</v>
          </cell>
          <cell r="J1690" t="str">
            <v>TRK96522994</v>
          </cell>
          <cell r="K1690">
            <v>1</v>
          </cell>
          <cell r="L1690" t="str">
            <v>WINTER15</v>
          </cell>
          <cell r="M1690" t="str">
            <v>Email</v>
          </cell>
          <cell r="N1690">
            <v>36.65</v>
          </cell>
        </row>
        <row r="1691">
          <cell r="A1691" t="str">
            <v>ORD200489</v>
          </cell>
          <cell r="B1691">
            <v>45174</v>
          </cell>
          <cell r="C1691" t="str">
            <v>C11940</v>
          </cell>
          <cell r="D1691" t="str">
            <v>Tablet</v>
          </cell>
          <cell r="E1691">
            <v>3</v>
          </cell>
          <cell r="F1691">
            <v>149.34</v>
          </cell>
          <cell r="G1691" t="str">
            <v>589 Main St</v>
          </cell>
          <cell r="H1691" t="str">
            <v>Gift Card</v>
          </cell>
          <cell r="I1691" t="str">
            <v>Cancelled</v>
          </cell>
          <cell r="J1691" t="str">
            <v>TRK85466461</v>
          </cell>
          <cell r="K1691">
            <v>7</v>
          </cell>
          <cell r="L1691" t="str">
            <v>WINTER15</v>
          </cell>
          <cell r="M1691" t="str">
            <v>Email</v>
          </cell>
          <cell r="N1691">
            <v>448.02</v>
          </cell>
        </row>
        <row r="1692">
          <cell r="A1692" t="str">
            <v>ORD200490</v>
          </cell>
          <cell r="B1692">
            <v>45495</v>
          </cell>
          <cell r="C1692" t="str">
            <v>C50097</v>
          </cell>
          <cell r="D1692" t="str">
            <v>Chair</v>
          </cell>
          <cell r="E1692">
            <v>5</v>
          </cell>
          <cell r="F1692">
            <v>467.81</v>
          </cell>
          <cell r="G1692" t="str">
            <v>539 Main St</v>
          </cell>
          <cell r="H1692" t="str">
            <v>Online</v>
          </cell>
          <cell r="I1692" t="str">
            <v>Cancelled</v>
          </cell>
          <cell r="J1692" t="str">
            <v>TRK62785150</v>
          </cell>
          <cell r="K1692">
            <v>10</v>
          </cell>
          <cell r="L1692" t="str">
            <v>No Coupon</v>
          </cell>
          <cell r="M1692" t="str">
            <v>Facebook</v>
          </cell>
          <cell r="N1692">
            <v>2339.0500000000002</v>
          </cell>
        </row>
        <row r="1693">
          <cell r="A1693" t="str">
            <v>ORD200491</v>
          </cell>
          <cell r="B1693">
            <v>44931</v>
          </cell>
          <cell r="C1693" t="str">
            <v>C98168</v>
          </cell>
          <cell r="D1693" t="str">
            <v>Phone</v>
          </cell>
          <cell r="E1693">
            <v>5</v>
          </cell>
          <cell r="F1693">
            <v>420.7</v>
          </cell>
          <cell r="G1693" t="str">
            <v>481 Main St</v>
          </cell>
          <cell r="H1693" t="str">
            <v>Cash</v>
          </cell>
          <cell r="I1693" t="str">
            <v>Pending</v>
          </cell>
          <cell r="J1693" t="str">
            <v>TRK56423359</v>
          </cell>
          <cell r="K1693">
            <v>5</v>
          </cell>
          <cell r="L1693" t="str">
            <v>WINTER15</v>
          </cell>
          <cell r="M1693" t="str">
            <v>Facebook</v>
          </cell>
          <cell r="N1693">
            <v>2103.5</v>
          </cell>
        </row>
        <row r="1694">
          <cell r="A1694" t="str">
            <v>ORD200492</v>
          </cell>
          <cell r="B1694">
            <v>45224</v>
          </cell>
          <cell r="C1694" t="str">
            <v>C39074</v>
          </cell>
          <cell r="D1694" t="str">
            <v>Laptop</v>
          </cell>
          <cell r="E1694">
            <v>5</v>
          </cell>
          <cell r="F1694">
            <v>606.52</v>
          </cell>
          <cell r="G1694" t="str">
            <v>103 Main St</v>
          </cell>
          <cell r="H1694" t="str">
            <v>Debit Card</v>
          </cell>
          <cell r="I1694" t="str">
            <v>Shipped</v>
          </cell>
          <cell r="J1694" t="str">
            <v>TRK13027036</v>
          </cell>
          <cell r="K1694">
            <v>6</v>
          </cell>
          <cell r="L1694" t="str">
            <v>SAVE10</v>
          </cell>
          <cell r="M1694" t="str">
            <v>Instagram</v>
          </cell>
          <cell r="N1694">
            <v>3032.6</v>
          </cell>
        </row>
        <row r="1695">
          <cell r="A1695" t="str">
            <v>ORD200493</v>
          </cell>
          <cell r="B1695">
            <v>45685</v>
          </cell>
          <cell r="C1695" t="str">
            <v>C84908</v>
          </cell>
          <cell r="D1695" t="str">
            <v>Phone</v>
          </cell>
          <cell r="E1695">
            <v>1</v>
          </cell>
          <cell r="F1695">
            <v>420.26</v>
          </cell>
          <cell r="G1695" t="str">
            <v>372 Main St</v>
          </cell>
          <cell r="H1695" t="str">
            <v>Credit Card</v>
          </cell>
          <cell r="I1695" t="str">
            <v>Pending</v>
          </cell>
          <cell r="J1695" t="str">
            <v>TRK64135970</v>
          </cell>
          <cell r="K1695">
            <v>4</v>
          </cell>
          <cell r="L1695" t="str">
            <v>FREESHIP</v>
          </cell>
          <cell r="M1695" t="str">
            <v>Facebook</v>
          </cell>
          <cell r="N1695">
            <v>420.26</v>
          </cell>
        </row>
        <row r="1696">
          <cell r="A1696" t="str">
            <v>ORD200494</v>
          </cell>
          <cell r="B1696">
            <v>45126</v>
          </cell>
          <cell r="C1696" t="str">
            <v>C64516</v>
          </cell>
          <cell r="D1696" t="str">
            <v>Laptop</v>
          </cell>
          <cell r="E1696">
            <v>3</v>
          </cell>
          <cell r="F1696">
            <v>505.79</v>
          </cell>
          <cell r="G1696" t="str">
            <v>459 Main St</v>
          </cell>
          <cell r="H1696" t="str">
            <v>Debit Card</v>
          </cell>
          <cell r="I1696" t="str">
            <v>Pending</v>
          </cell>
          <cell r="J1696" t="str">
            <v>TRK63920573</v>
          </cell>
          <cell r="K1696">
            <v>3</v>
          </cell>
          <cell r="L1696" t="str">
            <v>FREESHIP</v>
          </cell>
          <cell r="M1696" t="str">
            <v>Referral</v>
          </cell>
          <cell r="N1696">
            <v>1517.37</v>
          </cell>
        </row>
        <row r="1697">
          <cell r="A1697" t="str">
            <v>ORD200495</v>
          </cell>
          <cell r="B1697">
            <v>45813</v>
          </cell>
          <cell r="C1697" t="str">
            <v>C63827</v>
          </cell>
          <cell r="D1697" t="str">
            <v>Phone</v>
          </cell>
          <cell r="E1697">
            <v>4</v>
          </cell>
          <cell r="F1697">
            <v>493.73</v>
          </cell>
          <cell r="G1697" t="str">
            <v>947 Main St</v>
          </cell>
          <cell r="H1697" t="str">
            <v>Debit Card</v>
          </cell>
          <cell r="I1697" t="str">
            <v>Pending</v>
          </cell>
          <cell r="J1697" t="str">
            <v>TRK35730581</v>
          </cell>
          <cell r="K1697">
            <v>6</v>
          </cell>
          <cell r="L1697" t="str">
            <v>SAVE10</v>
          </cell>
          <cell r="M1697" t="str">
            <v>Facebook</v>
          </cell>
          <cell r="N1697">
            <v>1974.92</v>
          </cell>
        </row>
        <row r="1698">
          <cell r="A1698" t="str">
            <v>ORD200496</v>
          </cell>
          <cell r="B1698">
            <v>45730</v>
          </cell>
          <cell r="C1698" t="str">
            <v>C93618</v>
          </cell>
          <cell r="D1698" t="str">
            <v>Printer</v>
          </cell>
          <cell r="E1698">
            <v>3</v>
          </cell>
          <cell r="F1698">
            <v>201.21</v>
          </cell>
          <cell r="G1698" t="str">
            <v>249 Main St</v>
          </cell>
          <cell r="H1698" t="str">
            <v>Online</v>
          </cell>
          <cell r="I1698" t="str">
            <v>Cancelled</v>
          </cell>
          <cell r="J1698" t="str">
            <v>TRK66129326</v>
          </cell>
          <cell r="K1698">
            <v>3</v>
          </cell>
          <cell r="L1698" t="str">
            <v>SAVE10</v>
          </cell>
          <cell r="M1698" t="str">
            <v>Google</v>
          </cell>
          <cell r="N1698">
            <v>603.63</v>
          </cell>
        </row>
        <row r="1699">
          <cell r="A1699" t="str">
            <v>ORD200497</v>
          </cell>
          <cell r="B1699">
            <v>45589</v>
          </cell>
          <cell r="C1699" t="str">
            <v>C93948</v>
          </cell>
          <cell r="D1699" t="str">
            <v>Printer</v>
          </cell>
          <cell r="E1699">
            <v>3</v>
          </cell>
          <cell r="F1699">
            <v>112.29</v>
          </cell>
          <cell r="G1699" t="str">
            <v>454 Main St</v>
          </cell>
          <cell r="H1699" t="str">
            <v>Gift Card</v>
          </cell>
          <cell r="I1699" t="str">
            <v>Shipped</v>
          </cell>
          <cell r="J1699" t="str">
            <v>TRK77358113</v>
          </cell>
          <cell r="K1699">
            <v>6</v>
          </cell>
          <cell r="L1699" t="str">
            <v>No Coupon</v>
          </cell>
          <cell r="M1699" t="str">
            <v>Google</v>
          </cell>
          <cell r="N1699">
            <v>336.87</v>
          </cell>
        </row>
        <row r="1700">
          <cell r="A1700" t="str">
            <v>ORD200498</v>
          </cell>
          <cell r="B1700">
            <v>45119</v>
          </cell>
          <cell r="C1700" t="str">
            <v>C73961</v>
          </cell>
          <cell r="D1700" t="str">
            <v>Tablet</v>
          </cell>
          <cell r="E1700">
            <v>4</v>
          </cell>
          <cell r="F1700">
            <v>132.56</v>
          </cell>
          <cell r="G1700" t="str">
            <v>306 Main St</v>
          </cell>
          <cell r="H1700" t="str">
            <v>Cash</v>
          </cell>
          <cell r="I1700" t="str">
            <v>Returned</v>
          </cell>
          <cell r="J1700" t="str">
            <v>TRK32607173</v>
          </cell>
          <cell r="K1700">
            <v>8</v>
          </cell>
          <cell r="L1700" t="str">
            <v>WINTER15</v>
          </cell>
          <cell r="M1700" t="str">
            <v>Instagram</v>
          </cell>
          <cell r="N1700">
            <v>530.24</v>
          </cell>
        </row>
        <row r="1701">
          <cell r="A1701" t="str">
            <v>ORD200499</v>
          </cell>
          <cell r="B1701">
            <v>45022</v>
          </cell>
          <cell r="C1701" t="str">
            <v>C18138</v>
          </cell>
          <cell r="D1701" t="str">
            <v>Printer</v>
          </cell>
          <cell r="E1701">
            <v>3</v>
          </cell>
          <cell r="F1701">
            <v>539.46</v>
          </cell>
          <cell r="G1701" t="str">
            <v>520 Main St</v>
          </cell>
          <cell r="H1701" t="str">
            <v>Credit Card</v>
          </cell>
          <cell r="I1701" t="str">
            <v>Shipped</v>
          </cell>
          <cell r="J1701" t="str">
            <v>TRK20289483</v>
          </cell>
          <cell r="K1701">
            <v>4</v>
          </cell>
          <cell r="L1701" t="str">
            <v>SAVE10</v>
          </cell>
          <cell r="M1701" t="str">
            <v>Facebook</v>
          </cell>
          <cell r="N1701">
            <v>1618.38</v>
          </cell>
        </row>
        <row r="1702">
          <cell r="A1702" t="str">
            <v>ORD200500</v>
          </cell>
          <cell r="B1702">
            <v>45389</v>
          </cell>
          <cell r="C1702" t="str">
            <v>C79475</v>
          </cell>
          <cell r="D1702" t="str">
            <v>Laptop</v>
          </cell>
          <cell r="E1702">
            <v>5</v>
          </cell>
          <cell r="F1702">
            <v>508.59</v>
          </cell>
          <cell r="G1702" t="str">
            <v>169 Main St</v>
          </cell>
          <cell r="H1702" t="str">
            <v>Cash</v>
          </cell>
          <cell r="I1702" t="str">
            <v>Returned</v>
          </cell>
          <cell r="J1702" t="str">
            <v>TRK42168516</v>
          </cell>
          <cell r="K1702">
            <v>8</v>
          </cell>
          <cell r="L1702" t="str">
            <v>WINTER15</v>
          </cell>
          <cell r="M1702" t="str">
            <v>Facebook</v>
          </cell>
          <cell r="N1702">
            <v>2542.9499999999998</v>
          </cell>
        </row>
        <row r="1703">
          <cell r="A1703" t="str">
            <v>ORD200501</v>
          </cell>
          <cell r="B1703">
            <v>45326</v>
          </cell>
          <cell r="C1703" t="str">
            <v>C88546</v>
          </cell>
          <cell r="D1703" t="str">
            <v>Desk</v>
          </cell>
          <cell r="E1703">
            <v>4</v>
          </cell>
          <cell r="F1703">
            <v>203.46</v>
          </cell>
          <cell r="G1703" t="str">
            <v>226 Main St</v>
          </cell>
          <cell r="H1703" t="str">
            <v>Credit Card</v>
          </cell>
          <cell r="I1703" t="str">
            <v>Pending</v>
          </cell>
          <cell r="J1703" t="str">
            <v>TRK19867754</v>
          </cell>
          <cell r="K1703">
            <v>7</v>
          </cell>
          <cell r="L1703" t="str">
            <v>SAVE10</v>
          </cell>
          <cell r="M1703" t="str">
            <v>Referral</v>
          </cell>
          <cell r="N1703">
            <v>813.84</v>
          </cell>
        </row>
        <row r="1704">
          <cell r="A1704" t="str">
            <v>ORD200502</v>
          </cell>
          <cell r="B1704">
            <v>45066</v>
          </cell>
          <cell r="C1704" t="str">
            <v>C69332</v>
          </cell>
          <cell r="D1704" t="str">
            <v>Monitor</v>
          </cell>
          <cell r="E1704">
            <v>3</v>
          </cell>
          <cell r="F1704">
            <v>565.25</v>
          </cell>
          <cell r="G1704" t="str">
            <v>745 Main St</v>
          </cell>
          <cell r="H1704" t="str">
            <v>Debit Card</v>
          </cell>
          <cell r="I1704" t="str">
            <v>Returned</v>
          </cell>
          <cell r="J1704" t="str">
            <v>TRK65718848</v>
          </cell>
          <cell r="K1704">
            <v>7</v>
          </cell>
          <cell r="L1704" t="str">
            <v>SAVE10</v>
          </cell>
          <cell r="M1704" t="str">
            <v>Email</v>
          </cell>
          <cell r="N1704">
            <v>1695.75</v>
          </cell>
        </row>
        <row r="1705">
          <cell r="A1705" t="str">
            <v>ORD200503</v>
          </cell>
          <cell r="B1705">
            <v>45169</v>
          </cell>
          <cell r="C1705" t="str">
            <v>C64554</v>
          </cell>
          <cell r="D1705" t="str">
            <v>Tablet</v>
          </cell>
          <cell r="E1705">
            <v>3</v>
          </cell>
          <cell r="F1705">
            <v>136.84</v>
          </cell>
          <cell r="G1705" t="str">
            <v>498 Main St</v>
          </cell>
          <cell r="H1705" t="str">
            <v>Online</v>
          </cell>
          <cell r="I1705" t="str">
            <v>Pending</v>
          </cell>
          <cell r="J1705" t="str">
            <v>TRK95384568</v>
          </cell>
          <cell r="K1705">
            <v>4</v>
          </cell>
          <cell r="L1705" t="str">
            <v>FREESHIP</v>
          </cell>
          <cell r="M1705" t="str">
            <v>Facebook</v>
          </cell>
          <cell r="N1705">
            <v>410.52</v>
          </cell>
        </row>
        <row r="1706">
          <cell r="A1706" t="str">
            <v>ORD200504</v>
          </cell>
          <cell r="B1706">
            <v>45819</v>
          </cell>
          <cell r="C1706" t="str">
            <v>C11676</v>
          </cell>
          <cell r="D1706" t="str">
            <v>Monitor</v>
          </cell>
          <cell r="E1706">
            <v>2</v>
          </cell>
          <cell r="F1706">
            <v>464.5</v>
          </cell>
          <cell r="G1706" t="str">
            <v>805 Main St</v>
          </cell>
          <cell r="H1706" t="str">
            <v>Online</v>
          </cell>
          <cell r="I1706" t="str">
            <v>Cancelled</v>
          </cell>
          <cell r="J1706" t="str">
            <v>TRK35726395</v>
          </cell>
          <cell r="K1706">
            <v>2</v>
          </cell>
          <cell r="L1706" t="str">
            <v>WINTER15</v>
          </cell>
          <cell r="M1706" t="str">
            <v>Instagram</v>
          </cell>
          <cell r="N1706">
            <v>929</v>
          </cell>
        </row>
        <row r="1707">
          <cell r="A1707" t="str">
            <v>ORD200505</v>
          </cell>
          <cell r="B1707">
            <v>45088</v>
          </cell>
          <cell r="C1707" t="str">
            <v>C36014</v>
          </cell>
          <cell r="D1707" t="str">
            <v>Printer</v>
          </cell>
          <cell r="E1707">
            <v>2</v>
          </cell>
          <cell r="F1707">
            <v>434.97</v>
          </cell>
          <cell r="G1707" t="str">
            <v>558 Main St</v>
          </cell>
          <cell r="H1707" t="str">
            <v>Online</v>
          </cell>
          <cell r="I1707" t="str">
            <v>Shipped</v>
          </cell>
          <cell r="J1707" t="str">
            <v>TRK97246526</v>
          </cell>
          <cell r="K1707">
            <v>7</v>
          </cell>
          <cell r="L1707" t="str">
            <v>No Coupon</v>
          </cell>
          <cell r="M1707" t="str">
            <v>Email</v>
          </cell>
          <cell r="N1707">
            <v>869.94</v>
          </cell>
        </row>
        <row r="1708">
          <cell r="A1708" t="str">
            <v>ORD200506</v>
          </cell>
          <cell r="B1708">
            <v>45132</v>
          </cell>
          <cell r="C1708" t="str">
            <v>C23279</v>
          </cell>
          <cell r="D1708" t="str">
            <v>Monitor</v>
          </cell>
          <cell r="E1708">
            <v>2</v>
          </cell>
          <cell r="F1708">
            <v>43.67</v>
          </cell>
          <cell r="G1708" t="str">
            <v>696 Main St</v>
          </cell>
          <cell r="H1708" t="str">
            <v>Cash</v>
          </cell>
          <cell r="I1708" t="str">
            <v>Returned</v>
          </cell>
          <cell r="J1708" t="str">
            <v>TRK58039693</v>
          </cell>
          <cell r="K1708">
            <v>4</v>
          </cell>
          <cell r="L1708" t="str">
            <v>WINTER15</v>
          </cell>
          <cell r="M1708" t="str">
            <v>Instagram</v>
          </cell>
          <cell r="N1708">
            <v>87.34</v>
          </cell>
        </row>
        <row r="1709">
          <cell r="A1709" t="str">
            <v>ORD200507</v>
          </cell>
          <cell r="B1709">
            <v>45112</v>
          </cell>
          <cell r="C1709" t="str">
            <v>C86481</v>
          </cell>
          <cell r="D1709" t="str">
            <v>Phone</v>
          </cell>
          <cell r="E1709">
            <v>1</v>
          </cell>
          <cell r="F1709">
            <v>171.59</v>
          </cell>
          <cell r="G1709" t="str">
            <v>546 Main St</v>
          </cell>
          <cell r="H1709" t="str">
            <v>Credit Card</v>
          </cell>
          <cell r="I1709" t="str">
            <v>Pending</v>
          </cell>
          <cell r="J1709" t="str">
            <v>TRK87513944</v>
          </cell>
          <cell r="K1709">
            <v>5</v>
          </cell>
          <cell r="L1709" t="str">
            <v>WINTER15</v>
          </cell>
          <cell r="M1709" t="str">
            <v>Email</v>
          </cell>
          <cell r="N1709">
            <v>171.59</v>
          </cell>
        </row>
        <row r="1710">
          <cell r="A1710" t="str">
            <v>ORD200508</v>
          </cell>
          <cell r="B1710">
            <v>45791</v>
          </cell>
          <cell r="C1710" t="str">
            <v>C39550</v>
          </cell>
          <cell r="D1710" t="str">
            <v>Phone</v>
          </cell>
          <cell r="E1710">
            <v>1</v>
          </cell>
          <cell r="F1710">
            <v>558.27</v>
          </cell>
          <cell r="G1710" t="str">
            <v>976 Main St</v>
          </cell>
          <cell r="H1710" t="str">
            <v>Online</v>
          </cell>
          <cell r="I1710" t="str">
            <v>Delivered</v>
          </cell>
          <cell r="J1710" t="str">
            <v>TRK24120267</v>
          </cell>
          <cell r="K1710">
            <v>1</v>
          </cell>
          <cell r="L1710" t="str">
            <v>No Coupon</v>
          </cell>
          <cell r="M1710" t="str">
            <v>Referral</v>
          </cell>
          <cell r="N1710">
            <v>558.27</v>
          </cell>
        </row>
        <row r="1711">
          <cell r="A1711" t="str">
            <v>ORD200509</v>
          </cell>
          <cell r="B1711">
            <v>44972</v>
          </cell>
          <cell r="C1711" t="str">
            <v>C68937</v>
          </cell>
          <cell r="D1711" t="str">
            <v>Laptop</v>
          </cell>
          <cell r="E1711">
            <v>2</v>
          </cell>
          <cell r="F1711">
            <v>425.03</v>
          </cell>
          <cell r="G1711" t="str">
            <v>560 Main St</v>
          </cell>
          <cell r="H1711" t="str">
            <v>Cash</v>
          </cell>
          <cell r="I1711" t="str">
            <v>Returned</v>
          </cell>
          <cell r="J1711" t="str">
            <v>TRK31908657</v>
          </cell>
          <cell r="K1711">
            <v>2</v>
          </cell>
          <cell r="L1711" t="str">
            <v>WINTER15</v>
          </cell>
          <cell r="M1711" t="str">
            <v>Google</v>
          </cell>
          <cell r="N1711">
            <v>850.06</v>
          </cell>
        </row>
        <row r="1712">
          <cell r="A1712" t="str">
            <v>ORD200510</v>
          </cell>
          <cell r="B1712">
            <v>45642</v>
          </cell>
          <cell r="C1712" t="str">
            <v>C72533</v>
          </cell>
          <cell r="D1712" t="str">
            <v>Printer</v>
          </cell>
          <cell r="E1712">
            <v>1</v>
          </cell>
          <cell r="F1712">
            <v>376.76</v>
          </cell>
          <cell r="G1712" t="str">
            <v>389 Main St</v>
          </cell>
          <cell r="H1712" t="str">
            <v>Debit Card</v>
          </cell>
          <cell r="I1712" t="str">
            <v>Delivered</v>
          </cell>
          <cell r="J1712" t="str">
            <v>TRK51288986</v>
          </cell>
          <cell r="K1712">
            <v>5</v>
          </cell>
          <cell r="L1712" t="str">
            <v>SAVE10</v>
          </cell>
          <cell r="M1712" t="str">
            <v>Email</v>
          </cell>
          <cell r="N1712">
            <v>376.76</v>
          </cell>
        </row>
        <row r="1713">
          <cell r="A1713" t="str">
            <v>ORD200511</v>
          </cell>
          <cell r="B1713">
            <v>45366</v>
          </cell>
          <cell r="C1713" t="str">
            <v>C11415</v>
          </cell>
          <cell r="D1713" t="str">
            <v>Monitor</v>
          </cell>
          <cell r="E1713">
            <v>5</v>
          </cell>
          <cell r="F1713">
            <v>575.24</v>
          </cell>
          <cell r="G1713" t="str">
            <v>267 Main St</v>
          </cell>
          <cell r="H1713" t="str">
            <v>Cash</v>
          </cell>
          <cell r="I1713" t="str">
            <v>Delivered</v>
          </cell>
          <cell r="J1713" t="str">
            <v>TRK65061457</v>
          </cell>
          <cell r="K1713">
            <v>7</v>
          </cell>
          <cell r="L1713" t="str">
            <v>WINTER15</v>
          </cell>
          <cell r="M1713" t="str">
            <v>Email</v>
          </cell>
          <cell r="N1713">
            <v>2876.2</v>
          </cell>
        </row>
        <row r="1714">
          <cell r="A1714" t="str">
            <v>ORD200512</v>
          </cell>
          <cell r="B1714">
            <v>45562</v>
          </cell>
          <cell r="C1714" t="str">
            <v>C14114</v>
          </cell>
          <cell r="D1714" t="str">
            <v>Desk</v>
          </cell>
          <cell r="E1714">
            <v>3</v>
          </cell>
          <cell r="F1714">
            <v>568.02</v>
          </cell>
          <cell r="G1714" t="str">
            <v>856 Main St</v>
          </cell>
          <cell r="H1714" t="str">
            <v>Online</v>
          </cell>
          <cell r="I1714" t="str">
            <v>Pending</v>
          </cell>
          <cell r="J1714" t="str">
            <v>TRK63290700</v>
          </cell>
          <cell r="K1714">
            <v>3</v>
          </cell>
          <cell r="L1714" t="str">
            <v>FREESHIP</v>
          </cell>
          <cell r="M1714" t="str">
            <v>Instagram</v>
          </cell>
          <cell r="N1714">
            <v>1704.06</v>
          </cell>
        </row>
        <row r="1715">
          <cell r="A1715" t="str">
            <v>ORD200513</v>
          </cell>
          <cell r="B1715">
            <v>45697</v>
          </cell>
          <cell r="C1715" t="str">
            <v>C64128</v>
          </cell>
          <cell r="D1715" t="str">
            <v>Tablet</v>
          </cell>
          <cell r="E1715">
            <v>3</v>
          </cell>
          <cell r="F1715">
            <v>94.88</v>
          </cell>
          <cell r="G1715" t="str">
            <v>533 Main St</v>
          </cell>
          <cell r="H1715" t="str">
            <v>Gift Card</v>
          </cell>
          <cell r="I1715" t="str">
            <v>Shipped</v>
          </cell>
          <cell r="J1715" t="str">
            <v>TRK37053575</v>
          </cell>
          <cell r="K1715">
            <v>8</v>
          </cell>
          <cell r="L1715" t="str">
            <v>No Coupon</v>
          </cell>
          <cell r="M1715" t="str">
            <v>Referral</v>
          </cell>
          <cell r="N1715">
            <v>284.64</v>
          </cell>
        </row>
        <row r="1716">
          <cell r="A1716" t="str">
            <v>ORD200514</v>
          </cell>
          <cell r="B1716">
            <v>45032</v>
          </cell>
          <cell r="C1716" t="str">
            <v>C15629</v>
          </cell>
          <cell r="D1716" t="str">
            <v>Printer</v>
          </cell>
          <cell r="E1716">
            <v>3</v>
          </cell>
          <cell r="F1716">
            <v>304.14999999999998</v>
          </cell>
          <cell r="G1716" t="str">
            <v>492 Main St</v>
          </cell>
          <cell r="H1716" t="str">
            <v>Gift Card</v>
          </cell>
          <cell r="I1716" t="str">
            <v>Shipped</v>
          </cell>
          <cell r="J1716" t="str">
            <v>TRK64926044</v>
          </cell>
          <cell r="K1716">
            <v>3</v>
          </cell>
          <cell r="L1716" t="str">
            <v>WINTER15</v>
          </cell>
          <cell r="M1716" t="str">
            <v>Instagram</v>
          </cell>
          <cell r="N1716">
            <v>912.45</v>
          </cell>
        </row>
        <row r="1717">
          <cell r="A1717" t="str">
            <v>ORD200515</v>
          </cell>
          <cell r="B1717">
            <v>44999</v>
          </cell>
          <cell r="C1717" t="str">
            <v>C67561</v>
          </cell>
          <cell r="D1717" t="str">
            <v>Phone</v>
          </cell>
          <cell r="E1717">
            <v>3</v>
          </cell>
          <cell r="F1717">
            <v>553.52</v>
          </cell>
          <cell r="G1717" t="str">
            <v>160 Main St</v>
          </cell>
          <cell r="H1717" t="str">
            <v>Gift Card</v>
          </cell>
          <cell r="I1717" t="str">
            <v>Shipped</v>
          </cell>
          <cell r="J1717" t="str">
            <v>TRK75900717</v>
          </cell>
          <cell r="K1717">
            <v>4</v>
          </cell>
          <cell r="L1717" t="str">
            <v>FREESHIP</v>
          </cell>
          <cell r="M1717" t="str">
            <v>Facebook</v>
          </cell>
          <cell r="N1717">
            <v>1660.56</v>
          </cell>
        </row>
        <row r="1718">
          <cell r="A1718" t="str">
            <v>ORD200516</v>
          </cell>
          <cell r="B1718">
            <v>45389</v>
          </cell>
          <cell r="C1718" t="str">
            <v>C47022</v>
          </cell>
          <cell r="D1718" t="str">
            <v>Monitor</v>
          </cell>
          <cell r="E1718">
            <v>3</v>
          </cell>
          <cell r="F1718">
            <v>166.99</v>
          </cell>
          <cell r="G1718" t="str">
            <v>208 Main St</v>
          </cell>
          <cell r="H1718" t="str">
            <v>Cash</v>
          </cell>
          <cell r="I1718" t="str">
            <v>Returned</v>
          </cell>
          <cell r="J1718" t="str">
            <v>TRK28855040</v>
          </cell>
          <cell r="K1718">
            <v>8</v>
          </cell>
          <cell r="L1718" t="str">
            <v>No Coupon</v>
          </cell>
          <cell r="M1718" t="str">
            <v>Facebook</v>
          </cell>
          <cell r="N1718">
            <v>500.97</v>
          </cell>
        </row>
        <row r="1719">
          <cell r="A1719" t="str">
            <v>ORD200517</v>
          </cell>
          <cell r="B1719">
            <v>45391</v>
          </cell>
          <cell r="C1719" t="str">
            <v>C55205</v>
          </cell>
          <cell r="D1719" t="str">
            <v>Tablet</v>
          </cell>
          <cell r="E1719">
            <v>4</v>
          </cell>
          <cell r="F1719">
            <v>198.35</v>
          </cell>
          <cell r="G1719" t="str">
            <v>943 Main St</v>
          </cell>
          <cell r="H1719" t="str">
            <v>Cash</v>
          </cell>
          <cell r="I1719" t="str">
            <v>Cancelled</v>
          </cell>
          <cell r="J1719" t="str">
            <v>TRK88141634</v>
          </cell>
          <cell r="K1719">
            <v>7</v>
          </cell>
          <cell r="L1719" t="str">
            <v>FREESHIP</v>
          </cell>
          <cell r="M1719" t="str">
            <v>Google</v>
          </cell>
          <cell r="N1719">
            <v>793.4</v>
          </cell>
        </row>
        <row r="1720">
          <cell r="A1720" t="str">
            <v>ORD200518</v>
          </cell>
          <cell r="B1720">
            <v>45821</v>
          </cell>
          <cell r="C1720" t="str">
            <v>C30686</v>
          </cell>
          <cell r="D1720" t="str">
            <v>Printer</v>
          </cell>
          <cell r="E1720">
            <v>4</v>
          </cell>
          <cell r="F1720">
            <v>403.58</v>
          </cell>
          <cell r="G1720" t="str">
            <v>319 Main St</v>
          </cell>
          <cell r="H1720" t="str">
            <v>Online</v>
          </cell>
          <cell r="I1720" t="str">
            <v>Pending</v>
          </cell>
          <cell r="J1720" t="str">
            <v>TRK59807273</v>
          </cell>
          <cell r="K1720">
            <v>9</v>
          </cell>
          <cell r="L1720" t="str">
            <v>SAVE10</v>
          </cell>
          <cell r="M1720" t="str">
            <v>Referral</v>
          </cell>
          <cell r="N1720">
            <v>1614.32</v>
          </cell>
        </row>
        <row r="1721">
          <cell r="A1721" t="str">
            <v>ORD200519</v>
          </cell>
          <cell r="B1721">
            <v>45787</v>
          </cell>
          <cell r="C1721" t="str">
            <v>C71797</v>
          </cell>
          <cell r="D1721" t="str">
            <v>Laptop</v>
          </cell>
          <cell r="E1721">
            <v>4</v>
          </cell>
          <cell r="F1721">
            <v>464.29</v>
          </cell>
          <cell r="G1721" t="str">
            <v>941 Main St</v>
          </cell>
          <cell r="H1721" t="str">
            <v>Debit Card</v>
          </cell>
          <cell r="I1721" t="str">
            <v>Returned</v>
          </cell>
          <cell r="J1721" t="str">
            <v>TRK66010667</v>
          </cell>
          <cell r="K1721">
            <v>5</v>
          </cell>
          <cell r="L1721" t="str">
            <v>SAVE10</v>
          </cell>
          <cell r="M1721" t="str">
            <v>Email</v>
          </cell>
          <cell r="N1721">
            <v>1857.16</v>
          </cell>
        </row>
        <row r="1722">
          <cell r="A1722" t="str">
            <v>ORD200520</v>
          </cell>
          <cell r="B1722">
            <v>44995</v>
          </cell>
          <cell r="C1722" t="str">
            <v>C66332</v>
          </cell>
          <cell r="D1722" t="str">
            <v>Monitor</v>
          </cell>
          <cell r="E1722">
            <v>3</v>
          </cell>
          <cell r="F1722">
            <v>635.98</v>
          </cell>
          <cell r="G1722" t="str">
            <v>959 Main St</v>
          </cell>
          <cell r="H1722" t="str">
            <v>Cash</v>
          </cell>
          <cell r="I1722" t="str">
            <v>Returned</v>
          </cell>
          <cell r="J1722" t="str">
            <v>TRK27063398</v>
          </cell>
          <cell r="K1722">
            <v>5</v>
          </cell>
          <cell r="L1722" t="str">
            <v>No Coupon</v>
          </cell>
          <cell r="M1722" t="str">
            <v>Referral</v>
          </cell>
          <cell r="N1722">
            <v>1907.94</v>
          </cell>
        </row>
        <row r="1723">
          <cell r="A1723" t="str">
            <v>ORD200521</v>
          </cell>
          <cell r="B1723">
            <v>45347</v>
          </cell>
          <cell r="C1723" t="str">
            <v>C82318</v>
          </cell>
          <cell r="D1723" t="str">
            <v>Phone</v>
          </cell>
          <cell r="E1723">
            <v>1</v>
          </cell>
          <cell r="F1723">
            <v>528.05999999999995</v>
          </cell>
          <cell r="G1723" t="str">
            <v>991 Main St</v>
          </cell>
          <cell r="H1723" t="str">
            <v>Credit Card</v>
          </cell>
          <cell r="I1723" t="str">
            <v>Shipped</v>
          </cell>
          <cell r="J1723" t="str">
            <v>TRK37534165</v>
          </cell>
          <cell r="K1723">
            <v>2</v>
          </cell>
          <cell r="L1723" t="str">
            <v>No Coupon</v>
          </cell>
          <cell r="M1723" t="str">
            <v>Facebook</v>
          </cell>
          <cell r="N1723">
            <v>528.05999999999995</v>
          </cell>
        </row>
        <row r="1724">
          <cell r="A1724" t="str">
            <v>ORD200522</v>
          </cell>
          <cell r="B1724">
            <v>45402</v>
          </cell>
          <cell r="C1724" t="str">
            <v>C66254</v>
          </cell>
          <cell r="D1724" t="str">
            <v>Chair</v>
          </cell>
          <cell r="E1724">
            <v>1</v>
          </cell>
          <cell r="F1724">
            <v>515.32000000000005</v>
          </cell>
          <cell r="G1724" t="str">
            <v>740 Main St</v>
          </cell>
          <cell r="H1724" t="str">
            <v>Gift Card</v>
          </cell>
          <cell r="I1724" t="str">
            <v>Cancelled</v>
          </cell>
          <cell r="J1724" t="str">
            <v>TRK82843861</v>
          </cell>
          <cell r="K1724">
            <v>1</v>
          </cell>
          <cell r="L1724" t="str">
            <v>FREESHIP</v>
          </cell>
          <cell r="M1724" t="str">
            <v>Email</v>
          </cell>
          <cell r="N1724">
            <v>515.32000000000005</v>
          </cell>
        </row>
        <row r="1725">
          <cell r="A1725" t="str">
            <v>ORD200523</v>
          </cell>
          <cell r="B1725">
            <v>45706</v>
          </cell>
          <cell r="C1725" t="str">
            <v>C65083</v>
          </cell>
          <cell r="D1725" t="str">
            <v>Desk</v>
          </cell>
          <cell r="E1725">
            <v>4</v>
          </cell>
          <cell r="F1725">
            <v>657.79</v>
          </cell>
          <cell r="G1725" t="str">
            <v>652 Main St</v>
          </cell>
          <cell r="H1725" t="str">
            <v>Credit Card</v>
          </cell>
          <cell r="I1725" t="str">
            <v>Returned</v>
          </cell>
          <cell r="J1725" t="str">
            <v>TRK60937148</v>
          </cell>
          <cell r="K1725">
            <v>6</v>
          </cell>
          <cell r="L1725" t="str">
            <v>WINTER15</v>
          </cell>
          <cell r="M1725" t="str">
            <v>Google</v>
          </cell>
          <cell r="N1725">
            <v>2631.16</v>
          </cell>
        </row>
        <row r="1726">
          <cell r="A1726" t="str">
            <v>ORD200524</v>
          </cell>
          <cell r="B1726">
            <v>45224</v>
          </cell>
          <cell r="C1726" t="str">
            <v>C44778</v>
          </cell>
          <cell r="D1726" t="str">
            <v>Phone</v>
          </cell>
          <cell r="E1726">
            <v>1</v>
          </cell>
          <cell r="F1726">
            <v>153</v>
          </cell>
          <cell r="G1726" t="str">
            <v>103 Main St</v>
          </cell>
          <cell r="H1726" t="str">
            <v>Credit Card</v>
          </cell>
          <cell r="I1726" t="str">
            <v>Returned</v>
          </cell>
          <cell r="J1726" t="str">
            <v>TRK92617366</v>
          </cell>
          <cell r="K1726">
            <v>4</v>
          </cell>
          <cell r="L1726" t="str">
            <v>No Coupon</v>
          </cell>
          <cell r="M1726" t="str">
            <v>Referral</v>
          </cell>
          <cell r="N1726">
            <v>153</v>
          </cell>
        </row>
        <row r="1727">
          <cell r="A1727" t="str">
            <v>ORD200525</v>
          </cell>
          <cell r="B1727">
            <v>45263</v>
          </cell>
          <cell r="C1727" t="str">
            <v>C54499</v>
          </cell>
          <cell r="D1727" t="str">
            <v>Monitor</v>
          </cell>
          <cell r="E1727">
            <v>1</v>
          </cell>
          <cell r="F1727">
            <v>668.48</v>
          </cell>
          <cell r="G1727" t="str">
            <v>160 Main St</v>
          </cell>
          <cell r="H1727" t="str">
            <v>Debit Card</v>
          </cell>
          <cell r="I1727" t="str">
            <v>Shipped</v>
          </cell>
          <cell r="J1727" t="str">
            <v>TRK18061555</v>
          </cell>
          <cell r="K1727">
            <v>1</v>
          </cell>
          <cell r="L1727" t="str">
            <v>SAVE10</v>
          </cell>
          <cell r="M1727" t="str">
            <v>Email</v>
          </cell>
          <cell r="N1727">
            <v>668.48</v>
          </cell>
        </row>
        <row r="1728">
          <cell r="A1728" t="str">
            <v>ORD200526</v>
          </cell>
          <cell r="B1728">
            <v>45351</v>
          </cell>
          <cell r="C1728" t="str">
            <v>C91201</v>
          </cell>
          <cell r="D1728" t="str">
            <v>Desk</v>
          </cell>
          <cell r="E1728">
            <v>2</v>
          </cell>
          <cell r="F1728">
            <v>46.5</v>
          </cell>
          <cell r="G1728" t="str">
            <v>837 Main St</v>
          </cell>
          <cell r="H1728" t="str">
            <v>Cash</v>
          </cell>
          <cell r="I1728" t="str">
            <v>Returned</v>
          </cell>
          <cell r="J1728" t="str">
            <v>TRK63526023</v>
          </cell>
          <cell r="K1728">
            <v>7</v>
          </cell>
          <cell r="L1728" t="str">
            <v>WINTER15</v>
          </cell>
          <cell r="M1728" t="str">
            <v>Google</v>
          </cell>
          <cell r="N1728">
            <v>93</v>
          </cell>
        </row>
        <row r="1729">
          <cell r="A1729" t="str">
            <v>ORD200527</v>
          </cell>
          <cell r="B1729">
            <v>45523</v>
          </cell>
          <cell r="C1729" t="str">
            <v>C27202</v>
          </cell>
          <cell r="D1729" t="str">
            <v>Chair</v>
          </cell>
          <cell r="E1729">
            <v>5</v>
          </cell>
          <cell r="F1729">
            <v>653.47</v>
          </cell>
          <cell r="G1729" t="str">
            <v>967 Main St</v>
          </cell>
          <cell r="H1729" t="str">
            <v>Credit Card</v>
          </cell>
          <cell r="I1729" t="str">
            <v>Cancelled</v>
          </cell>
          <cell r="J1729" t="str">
            <v>TRK75406128</v>
          </cell>
          <cell r="K1729">
            <v>10</v>
          </cell>
          <cell r="L1729" t="str">
            <v>SAVE10</v>
          </cell>
          <cell r="M1729" t="str">
            <v>Referral</v>
          </cell>
          <cell r="N1729">
            <v>3267.35</v>
          </cell>
        </row>
        <row r="1730">
          <cell r="A1730" t="str">
            <v>ORD200528</v>
          </cell>
          <cell r="B1730">
            <v>45714</v>
          </cell>
          <cell r="C1730" t="str">
            <v>C32011</v>
          </cell>
          <cell r="D1730" t="str">
            <v>Chair</v>
          </cell>
          <cell r="E1730">
            <v>1</v>
          </cell>
          <cell r="F1730">
            <v>628.89</v>
          </cell>
          <cell r="G1730" t="str">
            <v>686 Main St</v>
          </cell>
          <cell r="H1730" t="str">
            <v>Credit Card</v>
          </cell>
          <cell r="I1730" t="str">
            <v>Returned</v>
          </cell>
          <cell r="J1730" t="str">
            <v>TRK70997744</v>
          </cell>
          <cell r="K1730">
            <v>2</v>
          </cell>
          <cell r="L1730" t="str">
            <v>SAVE10</v>
          </cell>
          <cell r="M1730" t="str">
            <v>Referral</v>
          </cell>
          <cell r="N1730">
            <v>628.89</v>
          </cell>
        </row>
        <row r="1731">
          <cell r="A1731" t="str">
            <v>ORD200529</v>
          </cell>
          <cell r="B1731">
            <v>45389</v>
          </cell>
          <cell r="C1731" t="str">
            <v>C21181</v>
          </cell>
          <cell r="D1731" t="str">
            <v>Tablet</v>
          </cell>
          <cell r="E1731">
            <v>2</v>
          </cell>
          <cell r="F1731">
            <v>675.1</v>
          </cell>
          <cell r="G1731" t="str">
            <v>938 Main St</v>
          </cell>
          <cell r="H1731" t="str">
            <v>Cash</v>
          </cell>
          <cell r="I1731" t="str">
            <v>Pending</v>
          </cell>
          <cell r="J1731" t="str">
            <v>TRK50363421</v>
          </cell>
          <cell r="K1731">
            <v>4</v>
          </cell>
          <cell r="L1731" t="str">
            <v>FREESHIP</v>
          </cell>
          <cell r="M1731" t="str">
            <v>Google</v>
          </cell>
          <cell r="N1731">
            <v>1350.2</v>
          </cell>
        </row>
        <row r="1732">
          <cell r="A1732" t="str">
            <v>ORD200530</v>
          </cell>
          <cell r="B1732">
            <v>45491</v>
          </cell>
          <cell r="C1732" t="str">
            <v>C98450</v>
          </cell>
          <cell r="D1732" t="str">
            <v>Chair</v>
          </cell>
          <cell r="E1732">
            <v>4</v>
          </cell>
          <cell r="F1732">
            <v>89.41</v>
          </cell>
          <cell r="G1732" t="str">
            <v>613 Main St</v>
          </cell>
          <cell r="H1732" t="str">
            <v>Online</v>
          </cell>
          <cell r="I1732" t="str">
            <v>Pending</v>
          </cell>
          <cell r="J1732" t="str">
            <v>TRK14809530</v>
          </cell>
          <cell r="K1732">
            <v>9</v>
          </cell>
          <cell r="L1732" t="str">
            <v>No Coupon</v>
          </cell>
          <cell r="M1732" t="str">
            <v>Google</v>
          </cell>
          <cell r="N1732">
            <v>357.64</v>
          </cell>
        </row>
        <row r="1733">
          <cell r="A1733" t="str">
            <v>ORD200531</v>
          </cell>
          <cell r="B1733">
            <v>45475</v>
          </cell>
          <cell r="C1733" t="str">
            <v>C64502</v>
          </cell>
          <cell r="D1733" t="str">
            <v>Desk</v>
          </cell>
          <cell r="E1733">
            <v>5</v>
          </cell>
          <cell r="F1733">
            <v>320.01</v>
          </cell>
          <cell r="G1733" t="str">
            <v>722 Main St</v>
          </cell>
          <cell r="H1733" t="str">
            <v>Gift Card</v>
          </cell>
          <cell r="I1733" t="str">
            <v>Delivered</v>
          </cell>
          <cell r="J1733" t="str">
            <v>TRK14914388</v>
          </cell>
          <cell r="K1733">
            <v>6</v>
          </cell>
          <cell r="L1733" t="str">
            <v>No Coupon</v>
          </cell>
          <cell r="M1733" t="str">
            <v>Referral</v>
          </cell>
          <cell r="N1733">
            <v>1600.05</v>
          </cell>
        </row>
        <row r="1734">
          <cell r="A1734" t="str">
            <v>ORD200532</v>
          </cell>
          <cell r="B1734">
            <v>45780</v>
          </cell>
          <cell r="C1734" t="str">
            <v>C47365</v>
          </cell>
          <cell r="D1734" t="str">
            <v>Laptop</v>
          </cell>
          <cell r="E1734">
            <v>2</v>
          </cell>
          <cell r="F1734">
            <v>41</v>
          </cell>
          <cell r="G1734" t="str">
            <v>369 Main St</v>
          </cell>
          <cell r="H1734" t="str">
            <v>Online</v>
          </cell>
          <cell r="I1734" t="str">
            <v>Delivered</v>
          </cell>
          <cell r="J1734" t="str">
            <v>TRK42207882</v>
          </cell>
          <cell r="K1734">
            <v>7</v>
          </cell>
          <cell r="L1734" t="str">
            <v>No Coupon</v>
          </cell>
          <cell r="M1734" t="str">
            <v>Email</v>
          </cell>
          <cell r="N1734">
            <v>82</v>
          </cell>
        </row>
        <row r="1735">
          <cell r="A1735" t="str">
            <v>ORD200533</v>
          </cell>
          <cell r="B1735">
            <v>44990</v>
          </cell>
          <cell r="C1735" t="str">
            <v>C66349</v>
          </cell>
          <cell r="D1735" t="str">
            <v>Desk</v>
          </cell>
          <cell r="E1735">
            <v>1</v>
          </cell>
          <cell r="F1735">
            <v>565.85</v>
          </cell>
          <cell r="G1735" t="str">
            <v>715 Main St</v>
          </cell>
          <cell r="H1735" t="str">
            <v>Gift Card</v>
          </cell>
          <cell r="I1735" t="str">
            <v>Returned</v>
          </cell>
          <cell r="J1735" t="str">
            <v>TRK63550793</v>
          </cell>
          <cell r="K1735">
            <v>1</v>
          </cell>
          <cell r="L1735" t="str">
            <v>FREESHIP</v>
          </cell>
          <cell r="M1735" t="str">
            <v>Facebook</v>
          </cell>
          <cell r="N1735">
            <v>565.85</v>
          </cell>
        </row>
        <row r="1736">
          <cell r="A1736" t="str">
            <v>ORD200534</v>
          </cell>
          <cell r="B1736">
            <v>45449</v>
          </cell>
          <cell r="C1736" t="str">
            <v>C73289</v>
          </cell>
          <cell r="D1736" t="str">
            <v>Chair</v>
          </cell>
          <cell r="E1736">
            <v>3</v>
          </cell>
          <cell r="F1736">
            <v>648.59</v>
          </cell>
          <cell r="G1736" t="str">
            <v>906 Main St</v>
          </cell>
          <cell r="H1736" t="str">
            <v>Debit Card</v>
          </cell>
          <cell r="I1736" t="str">
            <v>Cancelled</v>
          </cell>
          <cell r="J1736" t="str">
            <v>TRK70872738</v>
          </cell>
          <cell r="K1736">
            <v>4</v>
          </cell>
          <cell r="L1736" t="str">
            <v>SAVE10</v>
          </cell>
          <cell r="M1736" t="str">
            <v>Email</v>
          </cell>
          <cell r="N1736">
            <v>1945.77</v>
          </cell>
        </row>
        <row r="1737">
          <cell r="A1737" t="str">
            <v>ORD200535</v>
          </cell>
          <cell r="B1737">
            <v>45497</v>
          </cell>
          <cell r="C1737" t="str">
            <v>C48649</v>
          </cell>
          <cell r="D1737" t="str">
            <v>Monitor</v>
          </cell>
          <cell r="E1737">
            <v>3</v>
          </cell>
          <cell r="F1737">
            <v>68.12</v>
          </cell>
          <cell r="G1737" t="str">
            <v>332 Main St</v>
          </cell>
          <cell r="H1737" t="str">
            <v>Online</v>
          </cell>
          <cell r="I1737" t="str">
            <v>Cancelled</v>
          </cell>
          <cell r="J1737" t="str">
            <v>TRK45821445</v>
          </cell>
          <cell r="K1737">
            <v>3</v>
          </cell>
          <cell r="L1737" t="str">
            <v>FREESHIP</v>
          </cell>
          <cell r="M1737" t="str">
            <v>Email</v>
          </cell>
          <cell r="N1737">
            <v>204.36</v>
          </cell>
        </row>
        <row r="1738">
          <cell r="A1738" t="str">
            <v>ORD200536</v>
          </cell>
          <cell r="B1738">
            <v>45452</v>
          </cell>
          <cell r="C1738" t="str">
            <v>C18724</v>
          </cell>
          <cell r="D1738" t="str">
            <v>Chair</v>
          </cell>
          <cell r="E1738">
            <v>1</v>
          </cell>
          <cell r="F1738">
            <v>616.1</v>
          </cell>
          <cell r="G1738" t="str">
            <v>124 Main St</v>
          </cell>
          <cell r="H1738" t="str">
            <v>Cash</v>
          </cell>
          <cell r="I1738" t="str">
            <v>Returned</v>
          </cell>
          <cell r="J1738" t="str">
            <v>TRK52508861</v>
          </cell>
          <cell r="K1738">
            <v>6</v>
          </cell>
          <cell r="L1738" t="str">
            <v>No Coupon</v>
          </cell>
          <cell r="M1738" t="str">
            <v>Email</v>
          </cell>
          <cell r="N1738">
            <v>616.1</v>
          </cell>
        </row>
        <row r="1739">
          <cell r="A1739" t="str">
            <v>ORD200537</v>
          </cell>
          <cell r="B1739">
            <v>45739</v>
          </cell>
          <cell r="C1739" t="str">
            <v>C68553</v>
          </cell>
          <cell r="D1739" t="str">
            <v>Tablet</v>
          </cell>
          <cell r="E1739">
            <v>3</v>
          </cell>
          <cell r="F1739">
            <v>247.47</v>
          </cell>
          <cell r="G1739" t="str">
            <v>385 Main St</v>
          </cell>
          <cell r="H1739" t="str">
            <v>Online</v>
          </cell>
          <cell r="I1739" t="str">
            <v>Delivered</v>
          </cell>
          <cell r="J1739" t="str">
            <v>TRK58218971</v>
          </cell>
          <cell r="K1739">
            <v>4</v>
          </cell>
          <cell r="L1739" t="str">
            <v>SAVE10</v>
          </cell>
          <cell r="M1739" t="str">
            <v>Facebook</v>
          </cell>
          <cell r="N1739">
            <v>742.41</v>
          </cell>
        </row>
        <row r="1740">
          <cell r="A1740" t="str">
            <v>ORD200538</v>
          </cell>
          <cell r="B1740">
            <v>45436</v>
          </cell>
          <cell r="C1740" t="str">
            <v>C61280</v>
          </cell>
          <cell r="D1740" t="str">
            <v>Phone</v>
          </cell>
          <cell r="E1740">
            <v>3</v>
          </cell>
          <cell r="F1740">
            <v>490.74</v>
          </cell>
          <cell r="G1740" t="str">
            <v>100 Main St</v>
          </cell>
          <cell r="H1740" t="str">
            <v>Cash</v>
          </cell>
          <cell r="I1740" t="str">
            <v>Shipped</v>
          </cell>
          <cell r="J1740" t="str">
            <v>TRK95487711</v>
          </cell>
          <cell r="K1740">
            <v>3</v>
          </cell>
          <cell r="L1740" t="str">
            <v>WINTER15</v>
          </cell>
          <cell r="M1740" t="str">
            <v>Email</v>
          </cell>
          <cell r="N1740">
            <v>1472.22</v>
          </cell>
        </row>
        <row r="1741">
          <cell r="A1741" t="str">
            <v>ORD200539</v>
          </cell>
          <cell r="B1741">
            <v>45706</v>
          </cell>
          <cell r="C1741" t="str">
            <v>C53277</v>
          </cell>
          <cell r="D1741" t="str">
            <v>Desk</v>
          </cell>
          <cell r="E1741">
            <v>3</v>
          </cell>
          <cell r="F1741">
            <v>531.72</v>
          </cell>
          <cell r="G1741" t="str">
            <v>473 Main St</v>
          </cell>
          <cell r="H1741" t="str">
            <v>Gift Card</v>
          </cell>
          <cell r="I1741" t="str">
            <v>Delivered</v>
          </cell>
          <cell r="J1741" t="str">
            <v>TRK17653832</v>
          </cell>
          <cell r="K1741">
            <v>7</v>
          </cell>
          <cell r="L1741" t="str">
            <v>SAVE10</v>
          </cell>
          <cell r="M1741" t="str">
            <v>Google</v>
          </cell>
          <cell r="N1741">
            <v>1595.16</v>
          </cell>
        </row>
        <row r="1742">
          <cell r="A1742" t="str">
            <v>ORD200540</v>
          </cell>
          <cell r="B1742">
            <v>45320</v>
          </cell>
          <cell r="C1742" t="str">
            <v>C87281</v>
          </cell>
          <cell r="D1742" t="str">
            <v>Laptop</v>
          </cell>
          <cell r="E1742">
            <v>5</v>
          </cell>
          <cell r="F1742">
            <v>648.65</v>
          </cell>
          <cell r="G1742" t="str">
            <v>852 Main St</v>
          </cell>
          <cell r="H1742" t="str">
            <v>Online</v>
          </cell>
          <cell r="I1742" t="str">
            <v>Pending</v>
          </cell>
          <cell r="J1742" t="str">
            <v>TRK81765057</v>
          </cell>
          <cell r="K1742">
            <v>7</v>
          </cell>
          <cell r="L1742" t="str">
            <v>No Coupon</v>
          </cell>
          <cell r="M1742" t="str">
            <v>Referral</v>
          </cell>
          <cell r="N1742">
            <v>3243.25</v>
          </cell>
        </row>
        <row r="1743">
          <cell r="A1743" t="str">
            <v>ORD200541</v>
          </cell>
          <cell r="B1743">
            <v>45145</v>
          </cell>
          <cell r="C1743" t="str">
            <v>C69009</v>
          </cell>
          <cell r="D1743" t="str">
            <v>Printer</v>
          </cell>
          <cell r="E1743">
            <v>5</v>
          </cell>
          <cell r="F1743">
            <v>456.06</v>
          </cell>
          <cell r="G1743" t="str">
            <v>879 Main St</v>
          </cell>
          <cell r="H1743" t="str">
            <v>Cash</v>
          </cell>
          <cell r="I1743" t="str">
            <v>Pending</v>
          </cell>
          <cell r="J1743" t="str">
            <v>TRK61295842</v>
          </cell>
          <cell r="K1743">
            <v>10</v>
          </cell>
          <cell r="L1743" t="str">
            <v>No Coupon</v>
          </cell>
          <cell r="M1743" t="str">
            <v>Instagram</v>
          </cell>
          <cell r="N1743">
            <v>2280.3000000000002</v>
          </cell>
        </row>
        <row r="1744">
          <cell r="A1744" t="str">
            <v>ORD200542</v>
          </cell>
          <cell r="B1744">
            <v>45244</v>
          </cell>
          <cell r="C1744" t="str">
            <v>C49726</v>
          </cell>
          <cell r="D1744" t="str">
            <v>Tablet</v>
          </cell>
          <cell r="E1744">
            <v>1</v>
          </cell>
          <cell r="F1744">
            <v>17.98</v>
          </cell>
          <cell r="G1744" t="str">
            <v>934 Main St</v>
          </cell>
          <cell r="H1744" t="str">
            <v>Cash</v>
          </cell>
          <cell r="I1744" t="str">
            <v>Cancelled</v>
          </cell>
          <cell r="J1744" t="str">
            <v>TRK20739460</v>
          </cell>
          <cell r="K1744">
            <v>6</v>
          </cell>
          <cell r="L1744" t="str">
            <v>FREESHIP</v>
          </cell>
          <cell r="M1744" t="str">
            <v>Email</v>
          </cell>
          <cell r="N1744">
            <v>17.98</v>
          </cell>
        </row>
        <row r="1745">
          <cell r="A1745" t="str">
            <v>ORD200543</v>
          </cell>
          <cell r="B1745">
            <v>45360</v>
          </cell>
          <cell r="C1745" t="str">
            <v>C37531</v>
          </cell>
          <cell r="D1745" t="str">
            <v>Desk</v>
          </cell>
          <cell r="E1745">
            <v>5</v>
          </cell>
          <cell r="F1745">
            <v>269.86</v>
          </cell>
          <cell r="G1745" t="str">
            <v>354 Main St</v>
          </cell>
          <cell r="H1745" t="str">
            <v>Cash</v>
          </cell>
          <cell r="I1745" t="str">
            <v>Shipped</v>
          </cell>
          <cell r="J1745" t="str">
            <v>TRK93877673</v>
          </cell>
          <cell r="K1745">
            <v>6</v>
          </cell>
          <cell r="L1745" t="str">
            <v>WINTER15</v>
          </cell>
          <cell r="M1745" t="str">
            <v>Facebook</v>
          </cell>
          <cell r="N1745">
            <v>1349.3</v>
          </cell>
        </row>
        <row r="1746">
          <cell r="A1746" t="str">
            <v>ORD200544</v>
          </cell>
          <cell r="B1746">
            <v>45361</v>
          </cell>
          <cell r="C1746" t="str">
            <v>C48713</v>
          </cell>
          <cell r="D1746" t="str">
            <v>Printer</v>
          </cell>
          <cell r="E1746">
            <v>5</v>
          </cell>
          <cell r="F1746">
            <v>31.96</v>
          </cell>
          <cell r="G1746" t="str">
            <v>373 Main St</v>
          </cell>
          <cell r="H1746" t="str">
            <v>Credit Card</v>
          </cell>
          <cell r="I1746" t="str">
            <v>Returned</v>
          </cell>
          <cell r="J1746" t="str">
            <v>TRK96334419</v>
          </cell>
          <cell r="K1746">
            <v>5</v>
          </cell>
          <cell r="L1746" t="str">
            <v>FREESHIP</v>
          </cell>
          <cell r="M1746" t="str">
            <v>Referral</v>
          </cell>
          <cell r="N1746">
            <v>159.80000000000001</v>
          </cell>
        </row>
        <row r="1747">
          <cell r="A1747" t="str">
            <v>ORD200545</v>
          </cell>
          <cell r="B1747">
            <v>45279</v>
          </cell>
          <cell r="C1747" t="str">
            <v>C74138</v>
          </cell>
          <cell r="D1747" t="str">
            <v>Monitor</v>
          </cell>
          <cell r="E1747">
            <v>2</v>
          </cell>
          <cell r="F1747">
            <v>98.47</v>
          </cell>
          <cell r="G1747" t="str">
            <v>964 Main St</v>
          </cell>
          <cell r="H1747" t="str">
            <v>Cash</v>
          </cell>
          <cell r="I1747" t="str">
            <v>Returned</v>
          </cell>
          <cell r="J1747" t="str">
            <v>TRK74091695</v>
          </cell>
          <cell r="K1747">
            <v>3</v>
          </cell>
          <cell r="L1747" t="str">
            <v>No Coupon</v>
          </cell>
          <cell r="M1747" t="str">
            <v>Instagram</v>
          </cell>
          <cell r="N1747">
            <v>196.94</v>
          </cell>
        </row>
        <row r="1748">
          <cell r="A1748" t="str">
            <v>ORD200546</v>
          </cell>
          <cell r="B1748">
            <v>45352</v>
          </cell>
          <cell r="C1748" t="str">
            <v>C82399</v>
          </cell>
          <cell r="D1748" t="str">
            <v>Monitor</v>
          </cell>
          <cell r="E1748">
            <v>1</v>
          </cell>
          <cell r="F1748">
            <v>158.68</v>
          </cell>
          <cell r="G1748" t="str">
            <v>928 Main St</v>
          </cell>
          <cell r="H1748" t="str">
            <v>Credit Card</v>
          </cell>
          <cell r="I1748" t="str">
            <v>Returned</v>
          </cell>
          <cell r="J1748" t="str">
            <v>TRK77177284</v>
          </cell>
          <cell r="K1748">
            <v>6</v>
          </cell>
          <cell r="L1748" t="str">
            <v>WINTER15</v>
          </cell>
          <cell r="M1748" t="str">
            <v>Instagram</v>
          </cell>
          <cell r="N1748">
            <v>158.68</v>
          </cell>
        </row>
        <row r="1749">
          <cell r="A1749" t="str">
            <v>ORD200547</v>
          </cell>
          <cell r="B1749">
            <v>45158</v>
          </cell>
          <cell r="C1749" t="str">
            <v>C40427</v>
          </cell>
          <cell r="D1749" t="str">
            <v>Phone</v>
          </cell>
          <cell r="E1749">
            <v>1</v>
          </cell>
          <cell r="F1749">
            <v>613.98</v>
          </cell>
          <cell r="G1749" t="str">
            <v>411 Main St</v>
          </cell>
          <cell r="H1749" t="str">
            <v>Online</v>
          </cell>
          <cell r="I1749" t="str">
            <v>Delivered</v>
          </cell>
          <cell r="J1749" t="str">
            <v>TRK25392280</v>
          </cell>
          <cell r="K1749">
            <v>4</v>
          </cell>
          <cell r="L1749" t="str">
            <v>FREESHIP</v>
          </cell>
          <cell r="M1749" t="str">
            <v>Facebook</v>
          </cell>
          <cell r="N1749">
            <v>613.98</v>
          </cell>
        </row>
        <row r="1750">
          <cell r="A1750" t="str">
            <v>ORD200548</v>
          </cell>
          <cell r="B1750">
            <v>45296</v>
          </cell>
          <cell r="C1750" t="str">
            <v>C17103</v>
          </cell>
          <cell r="D1750" t="str">
            <v>Printer</v>
          </cell>
          <cell r="E1750">
            <v>3</v>
          </cell>
          <cell r="F1750">
            <v>426.12</v>
          </cell>
          <cell r="G1750" t="str">
            <v>922 Main St</v>
          </cell>
          <cell r="H1750" t="str">
            <v>Online</v>
          </cell>
          <cell r="I1750" t="str">
            <v>Delivered</v>
          </cell>
          <cell r="J1750" t="str">
            <v>TRK64398650</v>
          </cell>
          <cell r="K1750">
            <v>5</v>
          </cell>
          <cell r="L1750" t="str">
            <v>WINTER15</v>
          </cell>
          <cell r="M1750" t="str">
            <v>Instagram</v>
          </cell>
          <cell r="N1750">
            <v>1278.3599999999999</v>
          </cell>
        </row>
        <row r="1751">
          <cell r="A1751" t="str">
            <v>ORD200549</v>
          </cell>
          <cell r="B1751">
            <v>45713</v>
          </cell>
          <cell r="C1751" t="str">
            <v>C34266</v>
          </cell>
          <cell r="D1751" t="str">
            <v>Monitor</v>
          </cell>
          <cell r="E1751">
            <v>4</v>
          </cell>
          <cell r="F1751">
            <v>629.88</v>
          </cell>
          <cell r="G1751" t="str">
            <v>550 Main St</v>
          </cell>
          <cell r="H1751" t="str">
            <v>Debit Card</v>
          </cell>
          <cell r="I1751" t="str">
            <v>Cancelled</v>
          </cell>
          <cell r="J1751" t="str">
            <v>TRK56378197</v>
          </cell>
          <cell r="K1751">
            <v>8</v>
          </cell>
          <cell r="L1751" t="str">
            <v>WINTER15</v>
          </cell>
          <cell r="M1751" t="str">
            <v>Instagram</v>
          </cell>
          <cell r="N1751">
            <v>2519.52</v>
          </cell>
        </row>
        <row r="1752">
          <cell r="A1752" t="str">
            <v>ORD200550</v>
          </cell>
          <cell r="B1752">
            <v>45228</v>
          </cell>
          <cell r="C1752" t="str">
            <v>C97485</v>
          </cell>
          <cell r="D1752" t="str">
            <v>Laptop</v>
          </cell>
          <cell r="E1752">
            <v>4</v>
          </cell>
          <cell r="F1752">
            <v>228.91</v>
          </cell>
          <cell r="G1752" t="str">
            <v>573 Main St</v>
          </cell>
          <cell r="H1752" t="str">
            <v>Cash</v>
          </cell>
          <cell r="I1752" t="str">
            <v>Shipped</v>
          </cell>
          <cell r="J1752" t="str">
            <v>TRK81794737</v>
          </cell>
          <cell r="K1752">
            <v>4</v>
          </cell>
          <cell r="L1752" t="str">
            <v>FREESHIP</v>
          </cell>
          <cell r="M1752" t="str">
            <v>Google</v>
          </cell>
          <cell r="N1752">
            <v>915.64</v>
          </cell>
        </row>
        <row r="1753">
          <cell r="A1753" t="str">
            <v>ORD200551</v>
          </cell>
          <cell r="B1753">
            <v>45064</v>
          </cell>
          <cell r="C1753" t="str">
            <v>C23947</v>
          </cell>
          <cell r="D1753" t="str">
            <v>Laptop</v>
          </cell>
          <cell r="E1753">
            <v>1</v>
          </cell>
          <cell r="F1753">
            <v>120.98</v>
          </cell>
          <cell r="G1753" t="str">
            <v>353 Main St</v>
          </cell>
          <cell r="H1753" t="str">
            <v>Debit Card</v>
          </cell>
          <cell r="I1753" t="str">
            <v>Delivered</v>
          </cell>
          <cell r="J1753" t="str">
            <v>TRK74812710</v>
          </cell>
          <cell r="K1753">
            <v>6</v>
          </cell>
          <cell r="L1753" t="str">
            <v>WINTER15</v>
          </cell>
          <cell r="M1753" t="str">
            <v>Email</v>
          </cell>
          <cell r="N1753">
            <v>120.98</v>
          </cell>
        </row>
        <row r="1754">
          <cell r="A1754" t="str">
            <v>ORD200552</v>
          </cell>
          <cell r="B1754">
            <v>45199</v>
          </cell>
          <cell r="C1754" t="str">
            <v>C21665</v>
          </cell>
          <cell r="D1754" t="str">
            <v>Chair</v>
          </cell>
          <cell r="E1754">
            <v>4</v>
          </cell>
          <cell r="F1754">
            <v>425.18</v>
          </cell>
          <cell r="G1754" t="str">
            <v>560 Main St</v>
          </cell>
          <cell r="H1754" t="str">
            <v>Online</v>
          </cell>
          <cell r="I1754" t="str">
            <v>Returned</v>
          </cell>
          <cell r="J1754" t="str">
            <v>TRK29890761</v>
          </cell>
          <cell r="K1754">
            <v>8</v>
          </cell>
          <cell r="L1754" t="str">
            <v>WINTER15</v>
          </cell>
          <cell r="M1754" t="str">
            <v>Facebook</v>
          </cell>
          <cell r="N1754">
            <v>1700.72</v>
          </cell>
        </row>
        <row r="1755">
          <cell r="A1755" t="str">
            <v>ORD200553</v>
          </cell>
          <cell r="B1755">
            <v>45161</v>
          </cell>
          <cell r="C1755" t="str">
            <v>C82550</v>
          </cell>
          <cell r="D1755" t="str">
            <v>Phone</v>
          </cell>
          <cell r="E1755">
            <v>2</v>
          </cell>
          <cell r="F1755">
            <v>333.83</v>
          </cell>
          <cell r="G1755" t="str">
            <v>828 Main St</v>
          </cell>
          <cell r="H1755" t="str">
            <v>Gift Card</v>
          </cell>
          <cell r="I1755" t="str">
            <v>Cancelled</v>
          </cell>
          <cell r="J1755" t="str">
            <v>TRK74103758</v>
          </cell>
          <cell r="K1755">
            <v>4</v>
          </cell>
          <cell r="L1755" t="str">
            <v>FREESHIP</v>
          </cell>
          <cell r="M1755" t="str">
            <v>Referral</v>
          </cell>
          <cell r="N1755">
            <v>667.66</v>
          </cell>
        </row>
        <row r="1756">
          <cell r="A1756" t="str">
            <v>ORD200554</v>
          </cell>
          <cell r="B1756">
            <v>45807</v>
          </cell>
          <cell r="C1756" t="str">
            <v>C61943</v>
          </cell>
          <cell r="D1756" t="str">
            <v>Laptop</v>
          </cell>
          <cell r="E1756">
            <v>2</v>
          </cell>
          <cell r="F1756">
            <v>492.9</v>
          </cell>
          <cell r="G1756" t="str">
            <v>610 Main St</v>
          </cell>
          <cell r="H1756" t="str">
            <v>Cash</v>
          </cell>
          <cell r="I1756" t="str">
            <v>Returned</v>
          </cell>
          <cell r="J1756" t="str">
            <v>TRK66126496</v>
          </cell>
          <cell r="K1756">
            <v>5</v>
          </cell>
          <cell r="L1756" t="str">
            <v>FREESHIP</v>
          </cell>
          <cell r="M1756" t="str">
            <v>Instagram</v>
          </cell>
          <cell r="N1756">
            <v>985.8</v>
          </cell>
        </row>
        <row r="1757">
          <cell r="A1757" t="str">
            <v>ORD200555</v>
          </cell>
          <cell r="B1757">
            <v>44933</v>
          </cell>
          <cell r="C1757" t="str">
            <v>C88933</v>
          </cell>
          <cell r="D1757" t="str">
            <v>Tablet</v>
          </cell>
          <cell r="E1757">
            <v>1</v>
          </cell>
          <cell r="F1757">
            <v>92.04</v>
          </cell>
          <cell r="G1757" t="str">
            <v>333 Main St</v>
          </cell>
          <cell r="H1757" t="str">
            <v>Cash</v>
          </cell>
          <cell r="I1757" t="str">
            <v>Shipped</v>
          </cell>
          <cell r="J1757" t="str">
            <v>TRK89306964</v>
          </cell>
          <cell r="K1757">
            <v>2</v>
          </cell>
          <cell r="L1757" t="str">
            <v>No Coupon</v>
          </cell>
          <cell r="M1757" t="str">
            <v>Facebook</v>
          </cell>
          <cell r="N1757">
            <v>92.04</v>
          </cell>
        </row>
        <row r="1758">
          <cell r="A1758" t="str">
            <v>ORD200556</v>
          </cell>
          <cell r="B1758">
            <v>44954</v>
          </cell>
          <cell r="C1758" t="str">
            <v>C30923</v>
          </cell>
          <cell r="D1758" t="str">
            <v>Laptop</v>
          </cell>
          <cell r="E1758">
            <v>1</v>
          </cell>
          <cell r="F1758">
            <v>654.27</v>
          </cell>
          <cell r="G1758" t="str">
            <v>932 Main St</v>
          </cell>
          <cell r="H1758" t="str">
            <v>Gift Card</v>
          </cell>
          <cell r="I1758" t="str">
            <v>Pending</v>
          </cell>
          <cell r="J1758" t="str">
            <v>TRK82609328</v>
          </cell>
          <cell r="K1758">
            <v>2</v>
          </cell>
          <cell r="L1758" t="str">
            <v>SAVE10</v>
          </cell>
          <cell r="M1758" t="str">
            <v>Facebook</v>
          </cell>
          <cell r="N1758">
            <v>654.27</v>
          </cell>
        </row>
        <row r="1759">
          <cell r="A1759" t="str">
            <v>ORD200557</v>
          </cell>
          <cell r="B1759">
            <v>45106</v>
          </cell>
          <cell r="C1759" t="str">
            <v>C56969</v>
          </cell>
          <cell r="D1759" t="str">
            <v>Tablet</v>
          </cell>
          <cell r="E1759">
            <v>1</v>
          </cell>
          <cell r="F1759">
            <v>56.2</v>
          </cell>
          <cell r="G1759" t="str">
            <v>130 Main St</v>
          </cell>
          <cell r="H1759" t="str">
            <v>Debit Card</v>
          </cell>
          <cell r="I1759" t="str">
            <v>Pending</v>
          </cell>
          <cell r="J1759" t="str">
            <v>TRK40719215</v>
          </cell>
          <cell r="K1759">
            <v>1</v>
          </cell>
          <cell r="L1759" t="str">
            <v>WINTER15</v>
          </cell>
          <cell r="M1759" t="str">
            <v>Facebook</v>
          </cell>
          <cell r="N1759">
            <v>56.2</v>
          </cell>
        </row>
        <row r="1760">
          <cell r="A1760" t="str">
            <v>ORD200558</v>
          </cell>
          <cell r="B1760">
            <v>45489</v>
          </cell>
          <cell r="C1760" t="str">
            <v>C76766</v>
          </cell>
          <cell r="D1760" t="str">
            <v>Phone</v>
          </cell>
          <cell r="E1760">
            <v>4</v>
          </cell>
          <cell r="F1760">
            <v>628.12</v>
          </cell>
          <cell r="G1760" t="str">
            <v>485 Main St</v>
          </cell>
          <cell r="H1760" t="str">
            <v>Online</v>
          </cell>
          <cell r="I1760" t="str">
            <v>Delivered</v>
          </cell>
          <cell r="J1760" t="str">
            <v>TRK32052962</v>
          </cell>
          <cell r="K1760">
            <v>6</v>
          </cell>
          <cell r="L1760" t="str">
            <v>WINTER15</v>
          </cell>
          <cell r="M1760" t="str">
            <v>Instagram</v>
          </cell>
          <cell r="N1760">
            <v>2512.48</v>
          </cell>
        </row>
        <row r="1761">
          <cell r="A1761" t="str">
            <v>ORD200559</v>
          </cell>
          <cell r="B1761">
            <v>45397</v>
          </cell>
          <cell r="C1761" t="str">
            <v>C22981</v>
          </cell>
          <cell r="D1761" t="str">
            <v>Desk</v>
          </cell>
          <cell r="E1761">
            <v>3</v>
          </cell>
          <cell r="F1761">
            <v>157.4</v>
          </cell>
          <cell r="G1761" t="str">
            <v>454 Main St</v>
          </cell>
          <cell r="H1761" t="str">
            <v>Debit Card</v>
          </cell>
          <cell r="I1761" t="str">
            <v>Cancelled</v>
          </cell>
          <cell r="J1761" t="str">
            <v>TRK10115285</v>
          </cell>
          <cell r="K1761">
            <v>7</v>
          </cell>
          <cell r="L1761" t="str">
            <v>WINTER15</v>
          </cell>
          <cell r="M1761" t="str">
            <v>Email</v>
          </cell>
          <cell r="N1761">
            <v>472.2</v>
          </cell>
        </row>
        <row r="1762">
          <cell r="A1762" t="str">
            <v>ORD200560</v>
          </cell>
          <cell r="B1762">
            <v>44957</v>
          </cell>
          <cell r="C1762" t="str">
            <v>C33634</v>
          </cell>
          <cell r="D1762" t="str">
            <v>Monitor</v>
          </cell>
          <cell r="E1762">
            <v>4</v>
          </cell>
          <cell r="F1762">
            <v>588.85</v>
          </cell>
          <cell r="G1762" t="str">
            <v>524 Main St</v>
          </cell>
          <cell r="H1762" t="str">
            <v>Gift Card</v>
          </cell>
          <cell r="I1762" t="str">
            <v>Pending</v>
          </cell>
          <cell r="J1762" t="str">
            <v>TRK93168008</v>
          </cell>
          <cell r="K1762">
            <v>7</v>
          </cell>
          <cell r="L1762" t="str">
            <v>No Coupon</v>
          </cell>
          <cell r="M1762" t="str">
            <v>Email</v>
          </cell>
          <cell r="N1762">
            <v>2355.4</v>
          </cell>
        </row>
        <row r="1763">
          <cell r="A1763" t="str">
            <v>ORD200561</v>
          </cell>
          <cell r="B1763">
            <v>44957</v>
          </cell>
          <cell r="C1763" t="str">
            <v>C96822</v>
          </cell>
          <cell r="D1763" t="str">
            <v>Printer</v>
          </cell>
          <cell r="E1763">
            <v>2</v>
          </cell>
          <cell r="F1763">
            <v>494.78</v>
          </cell>
          <cell r="G1763" t="str">
            <v>198 Main St</v>
          </cell>
          <cell r="H1763" t="str">
            <v>Online</v>
          </cell>
          <cell r="I1763" t="str">
            <v>Shipped</v>
          </cell>
          <cell r="J1763" t="str">
            <v>TRK89180077</v>
          </cell>
          <cell r="K1763">
            <v>2</v>
          </cell>
          <cell r="L1763" t="str">
            <v>No Coupon</v>
          </cell>
          <cell r="M1763" t="str">
            <v>Google</v>
          </cell>
          <cell r="N1763">
            <v>989.56</v>
          </cell>
        </row>
        <row r="1764">
          <cell r="A1764" t="str">
            <v>ORD200562</v>
          </cell>
          <cell r="B1764">
            <v>45205</v>
          </cell>
          <cell r="C1764" t="str">
            <v>C76675</v>
          </cell>
          <cell r="D1764" t="str">
            <v>Laptop</v>
          </cell>
          <cell r="E1764">
            <v>3</v>
          </cell>
          <cell r="F1764">
            <v>663.93</v>
          </cell>
          <cell r="G1764" t="str">
            <v>922 Main St</v>
          </cell>
          <cell r="H1764" t="str">
            <v>Gift Card</v>
          </cell>
          <cell r="I1764" t="str">
            <v>Returned</v>
          </cell>
          <cell r="J1764" t="str">
            <v>TRK28043915</v>
          </cell>
          <cell r="K1764">
            <v>6</v>
          </cell>
          <cell r="L1764" t="str">
            <v>FREESHIP</v>
          </cell>
          <cell r="M1764" t="str">
            <v>Email</v>
          </cell>
          <cell r="N1764">
            <v>1991.79</v>
          </cell>
        </row>
        <row r="1765">
          <cell r="A1765" t="str">
            <v>ORD200563</v>
          </cell>
          <cell r="B1765">
            <v>45272</v>
          </cell>
          <cell r="C1765" t="str">
            <v>C12039</v>
          </cell>
          <cell r="D1765" t="str">
            <v>Laptop</v>
          </cell>
          <cell r="E1765">
            <v>1</v>
          </cell>
          <cell r="F1765">
            <v>132.68</v>
          </cell>
          <cell r="G1765" t="str">
            <v>844 Main St</v>
          </cell>
          <cell r="H1765" t="str">
            <v>Debit Card</v>
          </cell>
          <cell r="I1765" t="str">
            <v>Returned</v>
          </cell>
          <cell r="J1765" t="str">
            <v>TRK68645763</v>
          </cell>
          <cell r="K1765">
            <v>1</v>
          </cell>
          <cell r="L1765" t="str">
            <v>SAVE10</v>
          </cell>
          <cell r="M1765" t="str">
            <v>Referral</v>
          </cell>
          <cell r="N1765">
            <v>132.68</v>
          </cell>
        </row>
        <row r="1766">
          <cell r="A1766" t="str">
            <v>ORD200564</v>
          </cell>
          <cell r="B1766">
            <v>45755</v>
          </cell>
          <cell r="C1766" t="str">
            <v>C93309</v>
          </cell>
          <cell r="D1766" t="str">
            <v>Desk</v>
          </cell>
          <cell r="E1766">
            <v>5</v>
          </cell>
          <cell r="F1766">
            <v>364.28</v>
          </cell>
          <cell r="G1766" t="str">
            <v>734 Main St</v>
          </cell>
          <cell r="H1766" t="str">
            <v>Credit Card</v>
          </cell>
          <cell r="I1766" t="str">
            <v>Cancelled</v>
          </cell>
          <cell r="J1766" t="str">
            <v>TRK99446987</v>
          </cell>
          <cell r="K1766">
            <v>5</v>
          </cell>
          <cell r="L1766" t="str">
            <v>WINTER15</v>
          </cell>
          <cell r="M1766" t="str">
            <v>Google</v>
          </cell>
          <cell r="N1766">
            <v>1821.4</v>
          </cell>
        </row>
        <row r="1767">
          <cell r="A1767" t="str">
            <v>ORD200565</v>
          </cell>
          <cell r="B1767">
            <v>45060</v>
          </cell>
          <cell r="C1767" t="str">
            <v>C62042</v>
          </cell>
          <cell r="D1767" t="str">
            <v>Tablet</v>
          </cell>
          <cell r="E1767">
            <v>5</v>
          </cell>
          <cell r="F1767">
            <v>307.98</v>
          </cell>
          <cell r="G1767" t="str">
            <v>214 Main St</v>
          </cell>
          <cell r="H1767" t="str">
            <v>Online</v>
          </cell>
          <cell r="I1767" t="str">
            <v>Pending</v>
          </cell>
          <cell r="J1767" t="str">
            <v>TRK42605492</v>
          </cell>
          <cell r="K1767">
            <v>10</v>
          </cell>
          <cell r="L1767" t="str">
            <v>No Coupon</v>
          </cell>
          <cell r="M1767" t="str">
            <v>Facebook</v>
          </cell>
          <cell r="N1767">
            <v>1539.9</v>
          </cell>
        </row>
        <row r="1768">
          <cell r="A1768" t="str">
            <v>ORD200566</v>
          </cell>
          <cell r="B1768">
            <v>45400</v>
          </cell>
          <cell r="C1768" t="str">
            <v>C83223</v>
          </cell>
          <cell r="D1768" t="str">
            <v>Phone</v>
          </cell>
          <cell r="E1768">
            <v>4</v>
          </cell>
          <cell r="F1768">
            <v>162.71</v>
          </cell>
          <cell r="G1768" t="str">
            <v>167 Main St</v>
          </cell>
          <cell r="H1768" t="str">
            <v>Cash</v>
          </cell>
          <cell r="I1768" t="str">
            <v>Cancelled</v>
          </cell>
          <cell r="J1768" t="str">
            <v>TRK54339083</v>
          </cell>
          <cell r="K1768">
            <v>7</v>
          </cell>
          <cell r="L1768" t="str">
            <v>FREESHIP</v>
          </cell>
          <cell r="M1768" t="str">
            <v>Email</v>
          </cell>
          <cell r="N1768">
            <v>650.84</v>
          </cell>
        </row>
        <row r="1769">
          <cell r="A1769" t="str">
            <v>ORD200567</v>
          </cell>
          <cell r="B1769">
            <v>45565</v>
          </cell>
          <cell r="C1769" t="str">
            <v>C92575</v>
          </cell>
          <cell r="D1769" t="str">
            <v>Chair</v>
          </cell>
          <cell r="E1769">
            <v>5</v>
          </cell>
          <cell r="F1769">
            <v>492.94</v>
          </cell>
          <cell r="G1769" t="str">
            <v>153 Main St</v>
          </cell>
          <cell r="H1769" t="str">
            <v>Cash</v>
          </cell>
          <cell r="I1769" t="str">
            <v>Shipped</v>
          </cell>
          <cell r="J1769" t="str">
            <v>TRK53579227</v>
          </cell>
          <cell r="K1769">
            <v>10</v>
          </cell>
          <cell r="L1769" t="str">
            <v>FREESHIP</v>
          </cell>
          <cell r="M1769" t="str">
            <v>Email</v>
          </cell>
          <cell r="N1769">
            <v>2464.6999999999998</v>
          </cell>
        </row>
        <row r="1770">
          <cell r="A1770" t="str">
            <v>ORD200568</v>
          </cell>
          <cell r="B1770">
            <v>44995</v>
          </cell>
          <cell r="C1770" t="str">
            <v>C29072</v>
          </cell>
          <cell r="D1770" t="str">
            <v>Laptop</v>
          </cell>
          <cell r="E1770">
            <v>2</v>
          </cell>
          <cell r="F1770">
            <v>343.99</v>
          </cell>
          <cell r="G1770" t="str">
            <v>312 Main St</v>
          </cell>
          <cell r="H1770" t="str">
            <v>Online</v>
          </cell>
          <cell r="I1770" t="str">
            <v>Delivered</v>
          </cell>
          <cell r="J1770" t="str">
            <v>TRK72334047</v>
          </cell>
          <cell r="K1770">
            <v>4</v>
          </cell>
          <cell r="L1770" t="str">
            <v>No Coupon</v>
          </cell>
          <cell r="M1770" t="str">
            <v>Google</v>
          </cell>
          <cell r="N1770">
            <v>687.98</v>
          </cell>
        </row>
        <row r="1771">
          <cell r="A1771" t="str">
            <v>ORD200569</v>
          </cell>
          <cell r="B1771">
            <v>45738</v>
          </cell>
          <cell r="C1771" t="str">
            <v>C25783</v>
          </cell>
          <cell r="D1771" t="str">
            <v>Desk</v>
          </cell>
          <cell r="E1771">
            <v>5</v>
          </cell>
          <cell r="F1771">
            <v>250.68</v>
          </cell>
          <cell r="G1771" t="str">
            <v>672 Main St</v>
          </cell>
          <cell r="H1771" t="str">
            <v>Cash</v>
          </cell>
          <cell r="I1771" t="str">
            <v>Shipped</v>
          </cell>
          <cell r="J1771" t="str">
            <v>TRK13289741</v>
          </cell>
          <cell r="K1771">
            <v>8</v>
          </cell>
          <cell r="L1771" t="str">
            <v>SAVE10</v>
          </cell>
          <cell r="M1771" t="str">
            <v>Instagram</v>
          </cell>
          <cell r="N1771">
            <v>1253.4000000000001</v>
          </cell>
        </row>
        <row r="1772">
          <cell r="A1772" t="str">
            <v>ORD200570</v>
          </cell>
          <cell r="B1772">
            <v>45653</v>
          </cell>
          <cell r="C1772" t="str">
            <v>C63727</v>
          </cell>
          <cell r="D1772" t="str">
            <v>Desk</v>
          </cell>
          <cell r="E1772">
            <v>2</v>
          </cell>
          <cell r="F1772">
            <v>362.14</v>
          </cell>
          <cell r="G1772" t="str">
            <v>122 Main St</v>
          </cell>
          <cell r="H1772" t="str">
            <v>Debit Card</v>
          </cell>
          <cell r="I1772" t="str">
            <v>Pending</v>
          </cell>
          <cell r="J1772" t="str">
            <v>TRK13611021</v>
          </cell>
          <cell r="K1772">
            <v>2</v>
          </cell>
          <cell r="L1772" t="str">
            <v>SAVE10</v>
          </cell>
          <cell r="M1772" t="str">
            <v>Instagram</v>
          </cell>
          <cell r="N1772">
            <v>724.28</v>
          </cell>
        </row>
        <row r="1773">
          <cell r="A1773" t="str">
            <v>ORD200571</v>
          </cell>
          <cell r="B1773">
            <v>45619</v>
          </cell>
          <cell r="C1773" t="str">
            <v>C42365</v>
          </cell>
          <cell r="D1773" t="str">
            <v>Tablet</v>
          </cell>
          <cell r="E1773">
            <v>1</v>
          </cell>
          <cell r="F1773">
            <v>214.08</v>
          </cell>
          <cell r="G1773" t="str">
            <v>867 Main St</v>
          </cell>
          <cell r="H1773" t="str">
            <v>Gift Card</v>
          </cell>
          <cell r="I1773" t="str">
            <v>Returned</v>
          </cell>
          <cell r="J1773" t="str">
            <v>TRK39563288</v>
          </cell>
          <cell r="K1773">
            <v>2</v>
          </cell>
          <cell r="L1773" t="str">
            <v>WINTER15</v>
          </cell>
          <cell r="M1773" t="str">
            <v>Google</v>
          </cell>
          <cell r="N1773">
            <v>214.08</v>
          </cell>
        </row>
        <row r="1774">
          <cell r="A1774" t="str">
            <v>ORD200572</v>
          </cell>
          <cell r="B1774">
            <v>45241</v>
          </cell>
          <cell r="C1774" t="str">
            <v>C27438</v>
          </cell>
          <cell r="D1774" t="str">
            <v>Printer</v>
          </cell>
          <cell r="E1774">
            <v>1</v>
          </cell>
          <cell r="F1774">
            <v>70.319999999999993</v>
          </cell>
          <cell r="G1774" t="str">
            <v>341 Main St</v>
          </cell>
          <cell r="H1774" t="str">
            <v>Cash</v>
          </cell>
          <cell r="I1774" t="str">
            <v>Returned</v>
          </cell>
          <cell r="J1774" t="str">
            <v>TRK69125497</v>
          </cell>
          <cell r="K1774">
            <v>4</v>
          </cell>
          <cell r="L1774" t="str">
            <v>WINTER15</v>
          </cell>
          <cell r="M1774" t="str">
            <v>Facebook</v>
          </cell>
          <cell r="N1774">
            <v>70.319999999999993</v>
          </cell>
        </row>
        <row r="1775">
          <cell r="A1775" t="str">
            <v>ORD200573</v>
          </cell>
          <cell r="B1775">
            <v>44951</v>
          </cell>
          <cell r="C1775" t="str">
            <v>C13205</v>
          </cell>
          <cell r="D1775" t="str">
            <v>Chair</v>
          </cell>
          <cell r="E1775">
            <v>5</v>
          </cell>
          <cell r="F1775">
            <v>421.42</v>
          </cell>
          <cell r="G1775" t="str">
            <v>522 Main St</v>
          </cell>
          <cell r="H1775" t="str">
            <v>Debit Card</v>
          </cell>
          <cell r="I1775" t="str">
            <v>Cancelled</v>
          </cell>
          <cell r="J1775" t="str">
            <v>TRK30686578</v>
          </cell>
          <cell r="K1775">
            <v>7</v>
          </cell>
          <cell r="L1775" t="str">
            <v>No Coupon</v>
          </cell>
          <cell r="M1775" t="str">
            <v>Instagram</v>
          </cell>
          <cell r="N1775">
            <v>2107.1</v>
          </cell>
        </row>
        <row r="1776">
          <cell r="A1776" t="str">
            <v>ORD200574</v>
          </cell>
          <cell r="B1776">
            <v>45315</v>
          </cell>
          <cell r="C1776" t="str">
            <v>C29685</v>
          </cell>
          <cell r="D1776" t="str">
            <v>Chair</v>
          </cell>
          <cell r="E1776">
            <v>5</v>
          </cell>
          <cell r="F1776">
            <v>384.69</v>
          </cell>
          <cell r="G1776" t="str">
            <v>275 Main St</v>
          </cell>
          <cell r="H1776" t="str">
            <v>Credit Card</v>
          </cell>
          <cell r="I1776" t="str">
            <v>Pending</v>
          </cell>
          <cell r="J1776" t="str">
            <v>TRK97733212</v>
          </cell>
          <cell r="K1776">
            <v>6</v>
          </cell>
          <cell r="L1776" t="str">
            <v>FREESHIP</v>
          </cell>
          <cell r="M1776" t="str">
            <v>Email</v>
          </cell>
          <cell r="N1776">
            <v>1923.45</v>
          </cell>
        </row>
        <row r="1777">
          <cell r="A1777" t="str">
            <v>ORD200575</v>
          </cell>
          <cell r="B1777">
            <v>45084</v>
          </cell>
          <cell r="C1777" t="str">
            <v>C74005</v>
          </cell>
          <cell r="D1777" t="str">
            <v>Chair</v>
          </cell>
          <cell r="E1777">
            <v>5</v>
          </cell>
          <cell r="F1777">
            <v>448.15</v>
          </cell>
          <cell r="G1777" t="str">
            <v>528 Main St</v>
          </cell>
          <cell r="H1777" t="str">
            <v>Gift Card</v>
          </cell>
          <cell r="I1777" t="str">
            <v>Returned</v>
          </cell>
          <cell r="J1777" t="str">
            <v>TRK61640534</v>
          </cell>
          <cell r="K1777">
            <v>7</v>
          </cell>
          <cell r="L1777" t="str">
            <v>SAVE10</v>
          </cell>
          <cell r="M1777" t="str">
            <v>Google</v>
          </cell>
          <cell r="N1777">
            <v>2240.75</v>
          </cell>
        </row>
        <row r="1778">
          <cell r="A1778" t="str">
            <v>ORD200576</v>
          </cell>
          <cell r="B1778">
            <v>45441</v>
          </cell>
          <cell r="C1778" t="str">
            <v>C14457</v>
          </cell>
          <cell r="D1778" t="str">
            <v>Laptop</v>
          </cell>
          <cell r="E1778">
            <v>5</v>
          </cell>
          <cell r="F1778">
            <v>79.08</v>
          </cell>
          <cell r="G1778" t="str">
            <v>747 Main St</v>
          </cell>
          <cell r="H1778" t="str">
            <v>Cash</v>
          </cell>
          <cell r="I1778" t="str">
            <v>Pending</v>
          </cell>
          <cell r="J1778" t="str">
            <v>TRK42517811</v>
          </cell>
          <cell r="K1778">
            <v>8</v>
          </cell>
          <cell r="L1778" t="str">
            <v>No Coupon</v>
          </cell>
          <cell r="M1778" t="str">
            <v>Facebook</v>
          </cell>
          <cell r="N1778">
            <v>395.4</v>
          </cell>
        </row>
        <row r="1779">
          <cell r="A1779" t="str">
            <v>ORD200577</v>
          </cell>
          <cell r="B1779">
            <v>44948</v>
          </cell>
          <cell r="C1779" t="str">
            <v>C77046</v>
          </cell>
          <cell r="D1779" t="str">
            <v>Tablet</v>
          </cell>
          <cell r="E1779">
            <v>4</v>
          </cell>
          <cell r="F1779">
            <v>185.41</v>
          </cell>
          <cell r="G1779" t="str">
            <v>967 Main St</v>
          </cell>
          <cell r="H1779" t="str">
            <v>Online</v>
          </cell>
          <cell r="I1779" t="str">
            <v>Returned</v>
          </cell>
          <cell r="J1779" t="str">
            <v>TRK44401497</v>
          </cell>
          <cell r="K1779">
            <v>9</v>
          </cell>
          <cell r="L1779" t="str">
            <v>WINTER15</v>
          </cell>
          <cell r="M1779" t="str">
            <v>Google</v>
          </cell>
          <cell r="N1779">
            <v>741.64</v>
          </cell>
        </row>
        <row r="1780">
          <cell r="A1780" t="str">
            <v>ORD200578</v>
          </cell>
          <cell r="B1780">
            <v>45575</v>
          </cell>
          <cell r="C1780" t="str">
            <v>C50415</v>
          </cell>
          <cell r="D1780" t="str">
            <v>Monitor</v>
          </cell>
          <cell r="E1780">
            <v>5</v>
          </cell>
          <cell r="F1780">
            <v>566.07000000000005</v>
          </cell>
          <cell r="G1780" t="str">
            <v>587 Main St</v>
          </cell>
          <cell r="H1780" t="str">
            <v>Credit Card</v>
          </cell>
          <cell r="I1780" t="str">
            <v>Delivered</v>
          </cell>
          <cell r="J1780" t="str">
            <v>TRK41345634</v>
          </cell>
          <cell r="K1780">
            <v>6</v>
          </cell>
          <cell r="L1780" t="str">
            <v>SAVE10</v>
          </cell>
          <cell r="M1780" t="str">
            <v>Instagram</v>
          </cell>
          <cell r="N1780">
            <v>2830.35</v>
          </cell>
        </row>
        <row r="1781">
          <cell r="A1781" t="str">
            <v>ORD200579</v>
          </cell>
          <cell r="B1781">
            <v>45081</v>
          </cell>
          <cell r="C1781" t="str">
            <v>C73999</v>
          </cell>
          <cell r="D1781" t="str">
            <v>Tablet</v>
          </cell>
          <cell r="E1781">
            <v>2</v>
          </cell>
          <cell r="F1781">
            <v>187.88</v>
          </cell>
          <cell r="G1781" t="str">
            <v>413 Main St</v>
          </cell>
          <cell r="H1781" t="str">
            <v>Online</v>
          </cell>
          <cell r="I1781" t="str">
            <v>Shipped</v>
          </cell>
          <cell r="J1781" t="str">
            <v>TRK67919507</v>
          </cell>
          <cell r="K1781">
            <v>4</v>
          </cell>
          <cell r="L1781" t="str">
            <v>WINTER15</v>
          </cell>
          <cell r="M1781" t="str">
            <v>Facebook</v>
          </cell>
          <cell r="N1781">
            <v>375.76</v>
          </cell>
        </row>
        <row r="1782">
          <cell r="A1782" t="str">
            <v>ORD200580</v>
          </cell>
          <cell r="B1782">
            <v>45244</v>
          </cell>
          <cell r="C1782" t="str">
            <v>C71076</v>
          </cell>
          <cell r="D1782" t="str">
            <v>Monitor</v>
          </cell>
          <cell r="E1782">
            <v>2</v>
          </cell>
          <cell r="F1782">
            <v>255.99</v>
          </cell>
          <cell r="G1782" t="str">
            <v>340 Main St</v>
          </cell>
          <cell r="H1782" t="str">
            <v>Credit Card</v>
          </cell>
          <cell r="I1782" t="str">
            <v>Delivered</v>
          </cell>
          <cell r="J1782" t="str">
            <v>TRK65148292</v>
          </cell>
          <cell r="K1782">
            <v>4</v>
          </cell>
          <cell r="L1782" t="str">
            <v>SAVE10</v>
          </cell>
          <cell r="M1782" t="str">
            <v>Instagram</v>
          </cell>
          <cell r="N1782">
            <v>511.98</v>
          </cell>
        </row>
        <row r="1783">
          <cell r="A1783" t="str">
            <v>ORD200581</v>
          </cell>
          <cell r="B1783">
            <v>45607</v>
          </cell>
          <cell r="C1783" t="str">
            <v>C44674</v>
          </cell>
          <cell r="D1783" t="str">
            <v>Laptop</v>
          </cell>
          <cell r="E1783">
            <v>1</v>
          </cell>
          <cell r="F1783">
            <v>627.34</v>
          </cell>
          <cell r="G1783" t="str">
            <v>942 Main St</v>
          </cell>
          <cell r="H1783" t="str">
            <v>Online</v>
          </cell>
          <cell r="I1783" t="str">
            <v>Delivered</v>
          </cell>
          <cell r="J1783" t="str">
            <v>TRK87158684</v>
          </cell>
          <cell r="K1783">
            <v>1</v>
          </cell>
          <cell r="L1783" t="str">
            <v>No Coupon</v>
          </cell>
          <cell r="M1783" t="str">
            <v>Referral</v>
          </cell>
          <cell r="N1783">
            <v>627.34</v>
          </cell>
        </row>
        <row r="1784">
          <cell r="A1784" t="str">
            <v>ORD200582</v>
          </cell>
          <cell r="B1784">
            <v>45341</v>
          </cell>
          <cell r="C1784" t="str">
            <v>C15228</v>
          </cell>
          <cell r="D1784" t="str">
            <v>Tablet</v>
          </cell>
          <cell r="E1784">
            <v>3</v>
          </cell>
          <cell r="F1784">
            <v>474.14</v>
          </cell>
          <cell r="G1784" t="str">
            <v>558 Main St</v>
          </cell>
          <cell r="H1784" t="str">
            <v>Gift Card</v>
          </cell>
          <cell r="I1784" t="str">
            <v>Shipped</v>
          </cell>
          <cell r="J1784" t="str">
            <v>TRK33860620</v>
          </cell>
          <cell r="K1784">
            <v>8</v>
          </cell>
          <cell r="L1784" t="str">
            <v>WINTER15</v>
          </cell>
          <cell r="M1784" t="str">
            <v>Google</v>
          </cell>
          <cell r="N1784">
            <v>1422.42</v>
          </cell>
        </row>
        <row r="1785">
          <cell r="A1785" t="str">
            <v>ORD200583</v>
          </cell>
          <cell r="B1785">
            <v>45823</v>
          </cell>
          <cell r="C1785" t="str">
            <v>C27072</v>
          </cell>
          <cell r="D1785" t="str">
            <v>Chair</v>
          </cell>
          <cell r="E1785">
            <v>3</v>
          </cell>
          <cell r="F1785">
            <v>154.37</v>
          </cell>
          <cell r="G1785" t="str">
            <v>996 Main St</v>
          </cell>
          <cell r="H1785" t="str">
            <v>Gift Card</v>
          </cell>
          <cell r="I1785" t="str">
            <v>Delivered</v>
          </cell>
          <cell r="J1785" t="str">
            <v>TRK29750379</v>
          </cell>
          <cell r="K1785">
            <v>4</v>
          </cell>
          <cell r="L1785" t="str">
            <v>No Coupon</v>
          </cell>
          <cell r="M1785" t="str">
            <v>Instagram</v>
          </cell>
          <cell r="N1785">
            <v>463.11</v>
          </cell>
        </row>
        <row r="1786">
          <cell r="A1786" t="str">
            <v>ORD200584</v>
          </cell>
          <cell r="B1786">
            <v>45737</v>
          </cell>
          <cell r="C1786" t="str">
            <v>C15257</v>
          </cell>
          <cell r="D1786" t="str">
            <v>Chair</v>
          </cell>
          <cell r="E1786">
            <v>4</v>
          </cell>
          <cell r="F1786">
            <v>145.05000000000001</v>
          </cell>
          <cell r="G1786" t="str">
            <v>626 Main St</v>
          </cell>
          <cell r="H1786" t="str">
            <v>Online</v>
          </cell>
          <cell r="I1786" t="str">
            <v>Delivered</v>
          </cell>
          <cell r="J1786" t="str">
            <v>TRK28779938</v>
          </cell>
          <cell r="K1786">
            <v>6</v>
          </cell>
          <cell r="L1786" t="str">
            <v>SAVE10</v>
          </cell>
          <cell r="M1786" t="str">
            <v>Google</v>
          </cell>
          <cell r="N1786">
            <v>580.20000000000005</v>
          </cell>
        </row>
        <row r="1787">
          <cell r="A1787" t="str">
            <v>ORD200585</v>
          </cell>
          <cell r="B1787">
            <v>45158</v>
          </cell>
          <cell r="C1787" t="str">
            <v>C91486</v>
          </cell>
          <cell r="D1787" t="str">
            <v>Tablet</v>
          </cell>
          <cell r="E1787">
            <v>4</v>
          </cell>
          <cell r="F1787">
            <v>67.08</v>
          </cell>
          <cell r="G1787" t="str">
            <v>907 Main St</v>
          </cell>
          <cell r="H1787" t="str">
            <v>Cash</v>
          </cell>
          <cell r="I1787" t="str">
            <v>Returned</v>
          </cell>
          <cell r="J1787" t="str">
            <v>TRK79617136</v>
          </cell>
          <cell r="K1787">
            <v>8</v>
          </cell>
          <cell r="L1787" t="str">
            <v>WINTER15</v>
          </cell>
          <cell r="M1787" t="str">
            <v>Google</v>
          </cell>
          <cell r="N1787">
            <v>268.32</v>
          </cell>
        </row>
        <row r="1788">
          <cell r="A1788" t="str">
            <v>ORD200586</v>
          </cell>
          <cell r="B1788">
            <v>45606</v>
          </cell>
          <cell r="C1788" t="str">
            <v>C17389</v>
          </cell>
          <cell r="D1788" t="str">
            <v>Monitor</v>
          </cell>
          <cell r="E1788">
            <v>1</v>
          </cell>
          <cell r="F1788">
            <v>522.08000000000004</v>
          </cell>
          <cell r="G1788" t="str">
            <v>905 Main St</v>
          </cell>
          <cell r="H1788" t="str">
            <v>Gift Card</v>
          </cell>
          <cell r="I1788" t="str">
            <v>Returned</v>
          </cell>
          <cell r="J1788" t="str">
            <v>TRK98857880</v>
          </cell>
          <cell r="K1788">
            <v>5</v>
          </cell>
          <cell r="L1788" t="str">
            <v>FREESHIP</v>
          </cell>
          <cell r="M1788" t="str">
            <v>Referral</v>
          </cell>
          <cell r="N1788">
            <v>522.08000000000004</v>
          </cell>
        </row>
        <row r="1789">
          <cell r="A1789" t="str">
            <v>ORD200587</v>
          </cell>
          <cell r="B1789">
            <v>45089</v>
          </cell>
          <cell r="C1789" t="str">
            <v>C18820</v>
          </cell>
          <cell r="D1789" t="str">
            <v>Monitor</v>
          </cell>
          <cell r="E1789">
            <v>5</v>
          </cell>
          <cell r="F1789">
            <v>514.6</v>
          </cell>
          <cell r="G1789" t="str">
            <v>347 Main St</v>
          </cell>
          <cell r="H1789" t="str">
            <v>Gift Card</v>
          </cell>
          <cell r="I1789" t="str">
            <v>Delivered</v>
          </cell>
          <cell r="J1789" t="str">
            <v>TRK91547425</v>
          </cell>
          <cell r="K1789">
            <v>10</v>
          </cell>
          <cell r="L1789" t="str">
            <v>FREESHIP</v>
          </cell>
          <cell r="M1789" t="str">
            <v>Instagram</v>
          </cell>
          <cell r="N1789">
            <v>2573</v>
          </cell>
        </row>
        <row r="1790">
          <cell r="A1790" t="str">
            <v>ORD200588</v>
          </cell>
          <cell r="B1790">
            <v>45636</v>
          </cell>
          <cell r="C1790" t="str">
            <v>C61849</v>
          </cell>
          <cell r="D1790" t="str">
            <v>Monitor</v>
          </cell>
          <cell r="E1790">
            <v>4</v>
          </cell>
          <cell r="F1790">
            <v>577.82000000000005</v>
          </cell>
          <cell r="G1790" t="str">
            <v>811 Main St</v>
          </cell>
          <cell r="H1790" t="str">
            <v>Credit Card</v>
          </cell>
          <cell r="I1790" t="str">
            <v>Delivered</v>
          </cell>
          <cell r="J1790" t="str">
            <v>TRK47613918</v>
          </cell>
          <cell r="K1790">
            <v>9</v>
          </cell>
          <cell r="L1790" t="str">
            <v>No Coupon</v>
          </cell>
          <cell r="M1790" t="str">
            <v>Google</v>
          </cell>
          <cell r="N1790">
            <v>2311.2800000000002</v>
          </cell>
        </row>
        <row r="1791">
          <cell r="A1791" t="str">
            <v>ORD200589</v>
          </cell>
          <cell r="B1791">
            <v>45698</v>
          </cell>
          <cell r="C1791" t="str">
            <v>C84041</v>
          </cell>
          <cell r="D1791" t="str">
            <v>Laptop</v>
          </cell>
          <cell r="E1791">
            <v>2</v>
          </cell>
          <cell r="F1791">
            <v>500.8</v>
          </cell>
          <cell r="G1791" t="str">
            <v>900 Main St</v>
          </cell>
          <cell r="H1791" t="str">
            <v>Cash</v>
          </cell>
          <cell r="I1791" t="str">
            <v>Delivered</v>
          </cell>
          <cell r="J1791" t="str">
            <v>TRK84920444</v>
          </cell>
          <cell r="K1791">
            <v>3</v>
          </cell>
          <cell r="L1791" t="str">
            <v>FREESHIP</v>
          </cell>
          <cell r="M1791" t="str">
            <v>Referral</v>
          </cell>
          <cell r="N1791">
            <v>1001.6</v>
          </cell>
        </row>
        <row r="1792">
          <cell r="A1792" t="str">
            <v>ORD200590</v>
          </cell>
          <cell r="B1792">
            <v>45179</v>
          </cell>
          <cell r="C1792" t="str">
            <v>C55757</v>
          </cell>
          <cell r="D1792" t="str">
            <v>Printer</v>
          </cell>
          <cell r="E1792">
            <v>2</v>
          </cell>
          <cell r="F1792">
            <v>461.13</v>
          </cell>
          <cell r="G1792" t="str">
            <v>175 Main St</v>
          </cell>
          <cell r="H1792" t="str">
            <v>Gift Card</v>
          </cell>
          <cell r="I1792" t="str">
            <v>Returned</v>
          </cell>
          <cell r="J1792" t="str">
            <v>TRK27356242</v>
          </cell>
          <cell r="K1792">
            <v>4</v>
          </cell>
          <cell r="L1792" t="str">
            <v>No Coupon</v>
          </cell>
          <cell r="M1792" t="str">
            <v>Email</v>
          </cell>
          <cell r="N1792">
            <v>922.26</v>
          </cell>
        </row>
        <row r="1793">
          <cell r="A1793" t="str">
            <v>ORD200591</v>
          </cell>
          <cell r="B1793">
            <v>45614</v>
          </cell>
          <cell r="C1793" t="str">
            <v>C18187</v>
          </cell>
          <cell r="D1793" t="str">
            <v>Laptop</v>
          </cell>
          <cell r="E1793">
            <v>1</v>
          </cell>
          <cell r="F1793">
            <v>605.28</v>
          </cell>
          <cell r="G1793" t="str">
            <v>470 Main St</v>
          </cell>
          <cell r="H1793" t="str">
            <v>Gift Card</v>
          </cell>
          <cell r="I1793" t="str">
            <v>Shipped</v>
          </cell>
          <cell r="J1793" t="str">
            <v>TRK50528185</v>
          </cell>
          <cell r="K1793">
            <v>3</v>
          </cell>
          <cell r="L1793" t="str">
            <v>FREESHIP</v>
          </cell>
          <cell r="M1793" t="str">
            <v>Referral</v>
          </cell>
          <cell r="N1793">
            <v>605.28</v>
          </cell>
        </row>
        <row r="1794">
          <cell r="A1794" t="str">
            <v>ORD200592</v>
          </cell>
          <cell r="B1794">
            <v>45405</v>
          </cell>
          <cell r="C1794" t="str">
            <v>C42306</v>
          </cell>
          <cell r="D1794" t="str">
            <v>Phone</v>
          </cell>
          <cell r="E1794">
            <v>3</v>
          </cell>
          <cell r="F1794">
            <v>204.27</v>
          </cell>
          <cell r="G1794" t="str">
            <v>938 Main St</v>
          </cell>
          <cell r="H1794" t="str">
            <v>Online</v>
          </cell>
          <cell r="I1794" t="str">
            <v>Returned</v>
          </cell>
          <cell r="J1794" t="str">
            <v>TRK15499648</v>
          </cell>
          <cell r="K1794">
            <v>4</v>
          </cell>
          <cell r="L1794" t="str">
            <v>No Coupon</v>
          </cell>
          <cell r="M1794" t="str">
            <v>Google</v>
          </cell>
          <cell r="N1794">
            <v>612.80999999999995</v>
          </cell>
        </row>
        <row r="1795">
          <cell r="A1795" t="str">
            <v>ORD200593</v>
          </cell>
          <cell r="B1795">
            <v>45140</v>
          </cell>
          <cell r="C1795" t="str">
            <v>C51024</v>
          </cell>
          <cell r="D1795" t="str">
            <v>Monitor</v>
          </cell>
          <cell r="E1795">
            <v>1</v>
          </cell>
          <cell r="F1795">
            <v>489.8</v>
          </cell>
          <cell r="G1795" t="str">
            <v>636 Main St</v>
          </cell>
          <cell r="H1795" t="str">
            <v>Gift Card</v>
          </cell>
          <cell r="I1795" t="str">
            <v>Shipped</v>
          </cell>
          <cell r="J1795" t="str">
            <v>TRK31375086</v>
          </cell>
          <cell r="K1795">
            <v>4</v>
          </cell>
          <cell r="L1795" t="str">
            <v>FREESHIP</v>
          </cell>
          <cell r="M1795" t="str">
            <v>Facebook</v>
          </cell>
          <cell r="N1795">
            <v>489.8</v>
          </cell>
        </row>
        <row r="1796">
          <cell r="A1796" t="str">
            <v>ORD200594</v>
          </cell>
          <cell r="B1796">
            <v>45343</v>
          </cell>
          <cell r="C1796" t="str">
            <v>C40140</v>
          </cell>
          <cell r="D1796" t="str">
            <v>Phone</v>
          </cell>
          <cell r="E1796">
            <v>5</v>
          </cell>
          <cell r="F1796">
            <v>72.64</v>
          </cell>
          <cell r="G1796" t="str">
            <v>598 Main St</v>
          </cell>
          <cell r="H1796" t="str">
            <v>Credit Card</v>
          </cell>
          <cell r="I1796" t="str">
            <v>Cancelled</v>
          </cell>
          <cell r="J1796" t="str">
            <v>TRK12671989</v>
          </cell>
          <cell r="K1796">
            <v>7</v>
          </cell>
          <cell r="L1796" t="str">
            <v>No Coupon</v>
          </cell>
          <cell r="M1796" t="str">
            <v>Email</v>
          </cell>
          <cell r="N1796">
            <v>363.2</v>
          </cell>
        </row>
        <row r="1797">
          <cell r="A1797" t="str">
            <v>ORD200595</v>
          </cell>
          <cell r="B1797">
            <v>45667</v>
          </cell>
          <cell r="C1797" t="str">
            <v>C72596</v>
          </cell>
          <cell r="D1797" t="str">
            <v>Printer</v>
          </cell>
          <cell r="E1797">
            <v>2</v>
          </cell>
          <cell r="F1797">
            <v>385.16</v>
          </cell>
          <cell r="G1797" t="str">
            <v>491 Main St</v>
          </cell>
          <cell r="H1797" t="str">
            <v>Online</v>
          </cell>
          <cell r="I1797" t="str">
            <v>Pending</v>
          </cell>
          <cell r="J1797" t="str">
            <v>TRK83870446</v>
          </cell>
          <cell r="K1797">
            <v>7</v>
          </cell>
          <cell r="L1797" t="str">
            <v>SAVE10</v>
          </cell>
          <cell r="M1797" t="str">
            <v>Email</v>
          </cell>
          <cell r="N1797">
            <v>770.32</v>
          </cell>
        </row>
        <row r="1798">
          <cell r="A1798" t="str">
            <v>ORD200596</v>
          </cell>
          <cell r="B1798">
            <v>45089</v>
          </cell>
          <cell r="C1798" t="str">
            <v>C91805</v>
          </cell>
          <cell r="D1798" t="str">
            <v>Desk</v>
          </cell>
          <cell r="E1798">
            <v>3</v>
          </cell>
          <cell r="F1798">
            <v>606.41</v>
          </cell>
          <cell r="G1798" t="str">
            <v>653 Main St</v>
          </cell>
          <cell r="H1798" t="str">
            <v>Debit Card</v>
          </cell>
          <cell r="I1798" t="str">
            <v>Returned</v>
          </cell>
          <cell r="J1798" t="str">
            <v>TRK34504030</v>
          </cell>
          <cell r="K1798">
            <v>7</v>
          </cell>
          <cell r="L1798" t="str">
            <v>FREESHIP</v>
          </cell>
          <cell r="M1798" t="str">
            <v>Facebook</v>
          </cell>
          <cell r="N1798">
            <v>1819.23</v>
          </cell>
        </row>
        <row r="1799">
          <cell r="A1799" t="str">
            <v>ORD200597</v>
          </cell>
          <cell r="B1799">
            <v>45621</v>
          </cell>
          <cell r="C1799" t="str">
            <v>C40538</v>
          </cell>
          <cell r="D1799" t="str">
            <v>Desk</v>
          </cell>
          <cell r="E1799">
            <v>2</v>
          </cell>
          <cell r="F1799">
            <v>211.82</v>
          </cell>
          <cell r="G1799" t="str">
            <v>700 Main St</v>
          </cell>
          <cell r="H1799" t="str">
            <v>Gift Card</v>
          </cell>
          <cell r="I1799" t="str">
            <v>Cancelled</v>
          </cell>
          <cell r="J1799" t="str">
            <v>TRK29821356</v>
          </cell>
          <cell r="K1799">
            <v>4</v>
          </cell>
          <cell r="L1799" t="str">
            <v>WINTER15</v>
          </cell>
          <cell r="M1799" t="str">
            <v>Email</v>
          </cell>
          <cell r="N1799">
            <v>423.64</v>
          </cell>
        </row>
        <row r="1800">
          <cell r="A1800" t="str">
            <v>ORD200598</v>
          </cell>
          <cell r="B1800">
            <v>45408</v>
          </cell>
          <cell r="C1800" t="str">
            <v>C60329</v>
          </cell>
          <cell r="D1800" t="str">
            <v>Desk</v>
          </cell>
          <cell r="E1800">
            <v>5</v>
          </cell>
          <cell r="F1800">
            <v>495.35</v>
          </cell>
          <cell r="G1800" t="str">
            <v>826 Main St</v>
          </cell>
          <cell r="H1800" t="str">
            <v>Credit Card</v>
          </cell>
          <cell r="I1800" t="str">
            <v>Pending</v>
          </cell>
          <cell r="J1800" t="str">
            <v>TRK59069987</v>
          </cell>
          <cell r="K1800">
            <v>5</v>
          </cell>
          <cell r="L1800" t="str">
            <v>No Coupon</v>
          </cell>
          <cell r="M1800" t="str">
            <v>Facebook</v>
          </cell>
          <cell r="N1800">
            <v>2476.75</v>
          </cell>
        </row>
        <row r="1801">
          <cell r="A1801" t="str">
            <v>ORD200599</v>
          </cell>
          <cell r="B1801">
            <v>45107</v>
          </cell>
          <cell r="C1801" t="str">
            <v>C28740</v>
          </cell>
          <cell r="D1801" t="str">
            <v>Chair</v>
          </cell>
          <cell r="E1801">
            <v>3</v>
          </cell>
          <cell r="F1801">
            <v>556.99</v>
          </cell>
          <cell r="G1801" t="str">
            <v>123 Main St</v>
          </cell>
          <cell r="H1801" t="str">
            <v>Online</v>
          </cell>
          <cell r="I1801" t="str">
            <v>Cancelled</v>
          </cell>
          <cell r="J1801" t="str">
            <v>TRK33642221</v>
          </cell>
          <cell r="K1801">
            <v>4</v>
          </cell>
          <cell r="L1801" t="str">
            <v>FREESHIP</v>
          </cell>
          <cell r="M1801" t="str">
            <v>Facebook</v>
          </cell>
          <cell r="N1801">
            <v>1670.97</v>
          </cell>
        </row>
        <row r="1802">
          <cell r="A1802" t="str">
            <v>ORD200600</v>
          </cell>
          <cell r="B1802">
            <v>45072</v>
          </cell>
          <cell r="C1802" t="str">
            <v>C87051</v>
          </cell>
          <cell r="D1802" t="str">
            <v>Printer</v>
          </cell>
          <cell r="E1802">
            <v>1</v>
          </cell>
          <cell r="F1802">
            <v>72.31</v>
          </cell>
          <cell r="G1802" t="str">
            <v>460 Main St</v>
          </cell>
          <cell r="H1802" t="str">
            <v>Gift Card</v>
          </cell>
          <cell r="I1802" t="str">
            <v>Cancelled</v>
          </cell>
          <cell r="J1802" t="str">
            <v>TRK82056333</v>
          </cell>
          <cell r="K1802">
            <v>1</v>
          </cell>
          <cell r="L1802" t="str">
            <v>FREESHIP</v>
          </cell>
          <cell r="M1802" t="str">
            <v>Facebook</v>
          </cell>
          <cell r="N1802">
            <v>72.31</v>
          </cell>
        </row>
        <row r="1803">
          <cell r="A1803" t="str">
            <v>ORD200601</v>
          </cell>
          <cell r="B1803">
            <v>45201</v>
          </cell>
          <cell r="C1803" t="str">
            <v>C12479</v>
          </cell>
          <cell r="D1803" t="str">
            <v>Monitor</v>
          </cell>
          <cell r="E1803">
            <v>5</v>
          </cell>
          <cell r="F1803">
            <v>24.82</v>
          </cell>
          <cell r="G1803" t="str">
            <v>529 Main St</v>
          </cell>
          <cell r="H1803" t="str">
            <v>Credit Card</v>
          </cell>
          <cell r="I1803" t="str">
            <v>Shipped</v>
          </cell>
          <cell r="J1803" t="str">
            <v>TRK73935314</v>
          </cell>
          <cell r="K1803">
            <v>10</v>
          </cell>
          <cell r="L1803" t="str">
            <v>No Coupon</v>
          </cell>
          <cell r="M1803" t="str">
            <v>Referral</v>
          </cell>
          <cell r="N1803">
            <v>124.1</v>
          </cell>
        </row>
        <row r="1804">
          <cell r="A1804" t="str">
            <v>ORD200602</v>
          </cell>
          <cell r="B1804">
            <v>45356</v>
          </cell>
          <cell r="C1804" t="str">
            <v>C35852</v>
          </cell>
          <cell r="D1804" t="str">
            <v>Tablet</v>
          </cell>
          <cell r="E1804">
            <v>4</v>
          </cell>
          <cell r="F1804">
            <v>26.04</v>
          </cell>
          <cell r="G1804" t="str">
            <v>982 Main St</v>
          </cell>
          <cell r="H1804" t="str">
            <v>Online</v>
          </cell>
          <cell r="I1804" t="str">
            <v>Pending</v>
          </cell>
          <cell r="J1804" t="str">
            <v>TRK64660134</v>
          </cell>
          <cell r="K1804">
            <v>5</v>
          </cell>
          <cell r="L1804" t="str">
            <v>SAVE10</v>
          </cell>
          <cell r="M1804" t="str">
            <v>Instagram</v>
          </cell>
          <cell r="N1804">
            <v>104.16</v>
          </cell>
        </row>
        <row r="1805">
          <cell r="A1805" t="str">
            <v>ORD200603</v>
          </cell>
          <cell r="B1805">
            <v>45569</v>
          </cell>
          <cell r="C1805" t="str">
            <v>C26223</v>
          </cell>
          <cell r="D1805" t="str">
            <v>Tablet</v>
          </cell>
          <cell r="E1805">
            <v>1</v>
          </cell>
          <cell r="F1805">
            <v>657.07</v>
          </cell>
          <cell r="G1805" t="str">
            <v>800 Main St</v>
          </cell>
          <cell r="H1805" t="str">
            <v>Cash</v>
          </cell>
          <cell r="I1805" t="str">
            <v>Pending</v>
          </cell>
          <cell r="J1805" t="str">
            <v>TRK50900547</v>
          </cell>
          <cell r="K1805">
            <v>4</v>
          </cell>
          <cell r="L1805" t="str">
            <v>SAVE10</v>
          </cell>
          <cell r="M1805" t="str">
            <v>Google</v>
          </cell>
          <cell r="N1805">
            <v>657.07</v>
          </cell>
        </row>
        <row r="1806">
          <cell r="A1806" t="str">
            <v>ORD200604</v>
          </cell>
          <cell r="B1806">
            <v>45830</v>
          </cell>
          <cell r="C1806" t="str">
            <v>C99214</v>
          </cell>
          <cell r="D1806" t="str">
            <v>Chair</v>
          </cell>
          <cell r="E1806">
            <v>3</v>
          </cell>
          <cell r="F1806">
            <v>32.619999999999997</v>
          </cell>
          <cell r="G1806" t="str">
            <v>252 Main St</v>
          </cell>
          <cell r="H1806" t="str">
            <v>Debit Card</v>
          </cell>
          <cell r="I1806" t="str">
            <v>Delivered</v>
          </cell>
          <cell r="J1806" t="str">
            <v>TRK81368481</v>
          </cell>
          <cell r="K1806">
            <v>6</v>
          </cell>
          <cell r="L1806" t="str">
            <v>No Coupon</v>
          </cell>
          <cell r="M1806" t="str">
            <v>Facebook</v>
          </cell>
          <cell r="N1806">
            <v>97.86</v>
          </cell>
        </row>
        <row r="1807">
          <cell r="A1807" t="str">
            <v>ORD200605</v>
          </cell>
          <cell r="B1807">
            <v>45422</v>
          </cell>
          <cell r="C1807" t="str">
            <v>C49605</v>
          </cell>
          <cell r="D1807" t="str">
            <v>Monitor</v>
          </cell>
          <cell r="E1807">
            <v>2</v>
          </cell>
          <cell r="F1807">
            <v>228.91</v>
          </cell>
          <cell r="G1807" t="str">
            <v>892 Main St</v>
          </cell>
          <cell r="H1807" t="str">
            <v>Debit Card</v>
          </cell>
          <cell r="I1807" t="str">
            <v>Shipped</v>
          </cell>
          <cell r="J1807" t="str">
            <v>TRK95620066</v>
          </cell>
          <cell r="K1807">
            <v>4</v>
          </cell>
          <cell r="L1807" t="str">
            <v>SAVE10</v>
          </cell>
          <cell r="M1807" t="str">
            <v>Referral</v>
          </cell>
          <cell r="N1807">
            <v>457.82</v>
          </cell>
        </row>
        <row r="1808">
          <cell r="A1808" t="str">
            <v>ORD200606</v>
          </cell>
          <cell r="B1808">
            <v>45602</v>
          </cell>
          <cell r="C1808" t="str">
            <v>C85018</v>
          </cell>
          <cell r="D1808" t="str">
            <v>Laptop</v>
          </cell>
          <cell r="E1808">
            <v>3</v>
          </cell>
          <cell r="F1808">
            <v>274.75</v>
          </cell>
          <cell r="G1808" t="str">
            <v>783 Main St</v>
          </cell>
          <cell r="H1808" t="str">
            <v>Cash</v>
          </cell>
          <cell r="I1808" t="str">
            <v>Cancelled</v>
          </cell>
          <cell r="J1808" t="str">
            <v>TRK54128886</v>
          </cell>
          <cell r="K1808">
            <v>3</v>
          </cell>
          <cell r="L1808" t="str">
            <v>SAVE10</v>
          </cell>
          <cell r="M1808" t="str">
            <v>Google</v>
          </cell>
          <cell r="N1808">
            <v>824.25</v>
          </cell>
        </row>
        <row r="1809">
          <cell r="A1809" t="str">
            <v>ORD200607</v>
          </cell>
          <cell r="B1809">
            <v>45808</v>
          </cell>
          <cell r="C1809" t="str">
            <v>C96434</v>
          </cell>
          <cell r="D1809" t="str">
            <v>Printer</v>
          </cell>
          <cell r="E1809">
            <v>4</v>
          </cell>
          <cell r="F1809">
            <v>634.04999999999995</v>
          </cell>
          <cell r="G1809" t="str">
            <v>282 Main St</v>
          </cell>
          <cell r="H1809" t="str">
            <v>Cash</v>
          </cell>
          <cell r="I1809" t="str">
            <v>Shipped</v>
          </cell>
          <cell r="J1809" t="str">
            <v>TRK56730647</v>
          </cell>
          <cell r="K1809">
            <v>6</v>
          </cell>
          <cell r="L1809" t="str">
            <v>SAVE10</v>
          </cell>
          <cell r="M1809" t="str">
            <v>Google</v>
          </cell>
          <cell r="N1809">
            <v>2536.1999999999998</v>
          </cell>
        </row>
        <row r="1810">
          <cell r="A1810" t="str">
            <v>ORD200608</v>
          </cell>
          <cell r="B1810">
            <v>45497</v>
          </cell>
          <cell r="C1810" t="str">
            <v>C32956</v>
          </cell>
          <cell r="D1810" t="str">
            <v>Laptop</v>
          </cell>
          <cell r="E1810">
            <v>5</v>
          </cell>
          <cell r="F1810">
            <v>543.16</v>
          </cell>
          <cell r="G1810" t="str">
            <v>788 Main St</v>
          </cell>
          <cell r="H1810" t="str">
            <v>Online</v>
          </cell>
          <cell r="I1810" t="str">
            <v>Cancelled</v>
          </cell>
          <cell r="J1810" t="str">
            <v>TRK73140103</v>
          </cell>
          <cell r="K1810">
            <v>6</v>
          </cell>
          <cell r="L1810" t="str">
            <v>SAVE10</v>
          </cell>
          <cell r="M1810" t="str">
            <v>Instagram</v>
          </cell>
          <cell r="N1810">
            <v>2715.8</v>
          </cell>
        </row>
        <row r="1811">
          <cell r="A1811" t="str">
            <v>ORD200609</v>
          </cell>
          <cell r="B1811">
            <v>45684</v>
          </cell>
          <cell r="C1811" t="str">
            <v>C41137</v>
          </cell>
          <cell r="D1811" t="str">
            <v>Chair</v>
          </cell>
          <cell r="E1811">
            <v>3</v>
          </cell>
          <cell r="F1811">
            <v>449.13</v>
          </cell>
          <cell r="G1811" t="str">
            <v>809 Main St</v>
          </cell>
          <cell r="H1811" t="str">
            <v>Cash</v>
          </cell>
          <cell r="I1811" t="str">
            <v>Returned</v>
          </cell>
          <cell r="J1811" t="str">
            <v>TRK52732162</v>
          </cell>
          <cell r="K1811">
            <v>5</v>
          </cell>
          <cell r="L1811" t="str">
            <v>WINTER15</v>
          </cell>
          <cell r="M1811" t="str">
            <v>Referral</v>
          </cell>
          <cell r="N1811">
            <v>1347.39</v>
          </cell>
        </row>
        <row r="1812">
          <cell r="A1812" t="str">
            <v>ORD200610</v>
          </cell>
          <cell r="B1812">
            <v>45459</v>
          </cell>
          <cell r="C1812" t="str">
            <v>C60361</v>
          </cell>
          <cell r="D1812" t="str">
            <v>Desk</v>
          </cell>
          <cell r="E1812">
            <v>5</v>
          </cell>
          <cell r="F1812">
            <v>389.62</v>
          </cell>
          <cell r="G1812" t="str">
            <v>623 Main St</v>
          </cell>
          <cell r="H1812" t="str">
            <v>Cash</v>
          </cell>
          <cell r="I1812" t="str">
            <v>Returned</v>
          </cell>
          <cell r="J1812" t="str">
            <v>TRK83566924</v>
          </cell>
          <cell r="K1812">
            <v>7</v>
          </cell>
          <cell r="L1812" t="str">
            <v>FREESHIP</v>
          </cell>
          <cell r="M1812" t="str">
            <v>Facebook</v>
          </cell>
          <cell r="N1812">
            <v>1948.1</v>
          </cell>
        </row>
        <row r="1813">
          <cell r="A1813" t="str">
            <v>ORD200611</v>
          </cell>
          <cell r="B1813">
            <v>45037</v>
          </cell>
          <cell r="C1813" t="str">
            <v>C36688</v>
          </cell>
          <cell r="D1813" t="str">
            <v>Desk</v>
          </cell>
          <cell r="E1813">
            <v>1</v>
          </cell>
          <cell r="F1813">
            <v>305.17</v>
          </cell>
          <cell r="G1813" t="str">
            <v>700 Main St</v>
          </cell>
          <cell r="H1813" t="str">
            <v>Gift Card</v>
          </cell>
          <cell r="I1813" t="str">
            <v>Returned</v>
          </cell>
          <cell r="J1813" t="str">
            <v>TRK35720426</v>
          </cell>
          <cell r="K1813">
            <v>3</v>
          </cell>
          <cell r="L1813" t="str">
            <v>WINTER15</v>
          </cell>
          <cell r="M1813" t="str">
            <v>Referral</v>
          </cell>
          <cell r="N1813">
            <v>305.17</v>
          </cell>
        </row>
        <row r="1814">
          <cell r="A1814" t="str">
            <v>ORD200612</v>
          </cell>
          <cell r="B1814">
            <v>45079</v>
          </cell>
          <cell r="C1814" t="str">
            <v>C51811</v>
          </cell>
          <cell r="D1814" t="str">
            <v>Chair</v>
          </cell>
          <cell r="E1814">
            <v>3</v>
          </cell>
          <cell r="F1814">
            <v>445.12</v>
          </cell>
          <cell r="G1814" t="str">
            <v>339 Main St</v>
          </cell>
          <cell r="H1814" t="str">
            <v>Gift Card</v>
          </cell>
          <cell r="I1814" t="str">
            <v>Cancelled</v>
          </cell>
          <cell r="J1814" t="str">
            <v>TRK82377939</v>
          </cell>
          <cell r="K1814">
            <v>8</v>
          </cell>
          <cell r="L1814" t="str">
            <v>No Coupon</v>
          </cell>
          <cell r="M1814" t="str">
            <v>Google</v>
          </cell>
          <cell r="N1814">
            <v>1335.36</v>
          </cell>
        </row>
        <row r="1815">
          <cell r="A1815" t="str">
            <v>ORD200613</v>
          </cell>
          <cell r="B1815">
            <v>45645</v>
          </cell>
          <cell r="C1815" t="str">
            <v>C62405</v>
          </cell>
          <cell r="D1815" t="str">
            <v>Laptop</v>
          </cell>
          <cell r="E1815">
            <v>2</v>
          </cell>
          <cell r="F1815">
            <v>230.36</v>
          </cell>
          <cell r="G1815" t="str">
            <v>154 Main St</v>
          </cell>
          <cell r="H1815" t="str">
            <v>Online</v>
          </cell>
          <cell r="I1815" t="str">
            <v>Returned</v>
          </cell>
          <cell r="J1815" t="str">
            <v>TRK14721763</v>
          </cell>
          <cell r="K1815">
            <v>4</v>
          </cell>
          <cell r="L1815" t="str">
            <v>WINTER15</v>
          </cell>
          <cell r="M1815" t="str">
            <v>Email</v>
          </cell>
          <cell r="N1815">
            <v>460.72</v>
          </cell>
        </row>
        <row r="1816">
          <cell r="A1816" t="str">
            <v>ORD200614</v>
          </cell>
          <cell r="B1816">
            <v>45359</v>
          </cell>
          <cell r="C1816" t="str">
            <v>C77363</v>
          </cell>
          <cell r="D1816" t="str">
            <v>Phone</v>
          </cell>
          <cell r="E1816">
            <v>1</v>
          </cell>
          <cell r="F1816">
            <v>96.81</v>
          </cell>
          <cell r="G1816" t="str">
            <v>807 Main St</v>
          </cell>
          <cell r="H1816" t="str">
            <v>Gift Card</v>
          </cell>
          <cell r="I1816" t="str">
            <v>Cancelled</v>
          </cell>
          <cell r="J1816" t="str">
            <v>TRK12439827</v>
          </cell>
          <cell r="K1816">
            <v>3</v>
          </cell>
          <cell r="L1816" t="str">
            <v>No Coupon</v>
          </cell>
          <cell r="M1816" t="str">
            <v>Referral</v>
          </cell>
          <cell r="N1816">
            <v>96.81</v>
          </cell>
        </row>
        <row r="1817">
          <cell r="A1817" t="str">
            <v>ORD200615</v>
          </cell>
          <cell r="B1817">
            <v>45723</v>
          </cell>
          <cell r="C1817" t="str">
            <v>C97218</v>
          </cell>
          <cell r="D1817" t="str">
            <v>Monitor</v>
          </cell>
          <cell r="E1817">
            <v>5</v>
          </cell>
          <cell r="F1817">
            <v>460.14</v>
          </cell>
          <cell r="G1817" t="str">
            <v>252 Main St</v>
          </cell>
          <cell r="H1817" t="str">
            <v>Credit Card</v>
          </cell>
          <cell r="I1817" t="str">
            <v>Returned</v>
          </cell>
          <cell r="J1817" t="str">
            <v>TRK52632065</v>
          </cell>
          <cell r="K1817">
            <v>10</v>
          </cell>
          <cell r="L1817" t="str">
            <v>WINTER15</v>
          </cell>
          <cell r="M1817" t="str">
            <v>Facebook</v>
          </cell>
          <cell r="N1817">
            <v>2300.6999999999998</v>
          </cell>
        </row>
        <row r="1818">
          <cell r="A1818" t="str">
            <v>ORD200616</v>
          </cell>
          <cell r="B1818">
            <v>45582</v>
          </cell>
          <cell r="C1818" t="str">
            <v>C43919</v>
          </cell>
          <cell r="D1818" t="str">
            <v>Tablet</v>
          </cell>
          <cell r="E1818">
            <v>3</v>
          </cell>
          <cell r="F1818">
            <v>601.6</v>
          </cell>
          <cell r="G1818" t="str">
            <v>984 Main St</v>
          </cell>
          <cell r="H1818" t="str">
            <v>Credit Card</v>
          </cell>
          <cell r="I1818" t="str">
            <v>Cancelled</v>
          </cell>
          <cell r="J1818" t="str">
            <v>TRK73113192</v>
          </cell>
          <cell r="K1818">
            <v>7</v>
          </cell>
          <cell r="L1818" t="str">
            <v>SAVE10</v>
          </cell>
          <cell r="M1818" t="str">
            <v>Facebook</v>
          </cell>
          <cell r="N1818">
            <v>1804.8</v>
          </cell>
        </row>
        <row r="1819">
          <cell r="A1819" t="str">
            <v>ORD200617</v>
          </cell>
          <cell r="B1819">
            <v>45330</v>
          </cell>
          <cell r="C1819" t="str">
            <v>C57093</v>
          </cell>
          <cell r="D1819" t="str">
            <v>Tablet</v>
          </cell>
          <cell r="E1819">
            <v>3</v>
          </cell>
          <cell r="F1819">
            <v>184.47</v>
          </cell>
          <cell r="G1819" t="str">
            <v>834 Main St</v>
          </cell>
          <cell r="H1819" t="str">
            <v>Online</v>
          </cell>
          <cell r="I1819" t="str">
            <v>Cancelled</v>
          </cell>
          <cell r="J1819" t="str">
            <v>TRK75469057</v>
          </cell>
          <cell r="K1819">
            <v>4</v>
          </cell>
          <cell r="L1819" t="str">
            <v>No Coupon</v>
          </cell>
          <cell r="M1819" t="str">
            <v>Referral</v>
          </cell>
          <cell r="N1819">
            <v>553.41</v>
          </cell>
        </row>
        <row r="1820">
          <cell r="A1820" t="str">
            <v>ORD200618</v>
          </cell>
          <cell r="B1820">
            <v>45538</v>
          </cell>
          <cell r="C1820" t="str">
            <v>C50565</v>
          </cell>
          <cell r="D1820" t="str">
            <v>Tablet</v>
          </cell>
          <cell r="E1820">
            <v>1</v>
          </cell>
          <cell r="F1820">
            <v>411.34</v>
          </cell>
          <cell r="G1820" t="str">
            <v>399 Main St</v>
          </cell>
          <cell r="H1820" t="str">
            <v>Debit Card</v>
          </cell>
          <cell r="I1820" t="str">
            <v>Returned</v>
          </cell>
          <cell r="J1820" t="str">
            <v>TRK97981418</v>
          </cell>
          <cell r="K1820">
            <v>5</v>
          </cell>
          <cell r="L1820" t="str">
            <v>No Coupon</v>
          </cell>
          <cell r="M1820" t="str">
            <v>Instagram</v>
          </cell>
          <cell r="N1820">
            <v>411.34</v>
          </cell>
        </row>
        <row r="1821">
          <cell r="A1821" t="str">
            <v>ORD200619</v>
          </cell>
          <cell r="B1821">
            <v>45489</v>
          </cell>
          <cell r="C1821" t="str">
            <v>C38845</v>
          </cell>
          <cell r="D1821" t="str">
            <v>Laptop</v>
          </cell>
          <cell r="E1821">
            <v>1</v>
          </cell>
          <cell r="F1821">
            <v>532.89</v>
          </cell>
          <cell r="G1821" t="str">
            <v>764 Main St</v>
          </cell>
          <cell r="H1821" t="str">
            <v>Gift Card</v>
          </cell>
          <cell r="I1821" t="str">
            <v>Pending</v>
          </cell>
          <cell r="J1821" t="str">
            <v>TRK47637374</v>
          </cell>
          <cell r="K1821">
            <v>2</v>
          </cell>
          <cell r="L1821" t="str">
            <v>No Coupon</v>
          </cell>
          <cell r="M1821" t="str">
            <v>Referral</v>
          </cell>
          <cell r="N1821">
            <v>532.89</v>
          </cell>
        </row>
        <row r="1822">
          <cell r="A1822" t="str">
            <v>ORD200620</v>
          </cell>
          <cell r="B1822">
            <v>45378</v>
          </cell>
          <cell r="C1822" t="str">
            <v>C84834</v>
          </cell>
          <cell r="D1822" t="str">
            <v>Tablet</v>
          </cell>
          <cell r="E1822">
            <v>3</v>
          </cell>
          <cell r="F1822">
            <v>136.34</v>
          </cell>
          <cell r="G1822" t="str">
            <v>866 Main St</v>
          </cell>
          <cell r="H1822" t="str">
            <v>Debit Card</v>
          </cell>
          <cell r="I1822" t="str">
            <v>Returned</v>
          </cell>
          <cell r="J1822" t="str">
            <v>TRK90136001</v>
          </cell>
          <cell r="K1822">
            <v>8</v>
          </cell>
          <cell r="L1822" t="str">
            <v>SAVE10</v>
          </cell>
          <cell r="M1822" t="str">
            <v>Referral</v>
          </cell>
          <cell r="N1822">
            <v>409.02</v>
          </cell>
        </row>
        <row r="1823">
          <cell r="A1823" t="str">
            <v>ORD200621</v>
          </cell>
          <cell r="B1823">
            <v>45221</v>
          </cell>
          <cell r="C1823" t="str">
            <v>C37455</v>
          </cell>
          <cell r="D1823" t="str">
            <v>Phone</v>
          </cell>
          <cell r="E1823">
            <v>5</v>
          </cell>
          <cell r="F1823">
            <v>476.01</v>
          </cell>
          <cell r="G1823" t="str">
            <v>146 Main St</v>
          </cell>
          <cell r="H1823" t="str">
            <v>Credit Card</v>
          </cell>
          <cell r="I1823" t="str">
            <v>Delivered</v>
          </cell>
          <cell r="J1823" t="str">
            <v>TRK82685594</v>
          </cell>
          <cell r="K1823">
            <v>7</v>
          </cell>
          <cell r="L1823" t="str">
            <v>WINTER15</v>
          </cell>
          <cell r="M1823" t="str">
            <v>Google</v>
          </cell>
          <cell r="N1823">
            <v>2380.0500000000002</v>
          </cell>
        </row>
        <row r="1824">
          <cell r="A1824" t="str">
            <v>ORD200622</v>
          </cell>
          <cell r="B1824">
            <v>45598</v>
          </cell>
          <cell r="C1824" t="str">
            <v>C27078</v>
          </cell>
          <cell r="D1824" t="str">
            <v>Desk</v>
          </cell>
          <cell r="E1824">
            <v>5</v>
          </cell>
          <cell r="F1824">
            <v>236.38</v>
          </cell>
          <cell r="G1824" t="str">
            <v>128 Main St</v>
          </cell>
          <cell r="H1824" t="str">
            <v>Credit Card</v>
          </cell>
          <cell r="I1824" t="str">
            <v>Returned</v>
          </cell>
          <cell r="J1824" t="str">
            <v>TRK89314307</v>
          </cell>
          <cell r="K1824">
            <v>7</v>
          </cell>
          <cell r="L1824" t="str">
            <v>No Coupon</v>
          </cell>
          <cell r="M1824" t="str">
            <v>Facebook</v>
          </cell>
          <cell r="N1824">
            <v>1181.9000000000001</v>
          </cell>
        </row>
        <row r="1825">
          <cell r="A1825" t="str">
            <v>ORD200623</v>
          </cell>
          <cell r="B1825">
            <v>45093</v>
          </cell>
          <cell r="C1825" t="str">
            <v>C91941</v>
          </cell>
          <cell r="D1825" t="str">
            <v>Printer</v>
          </cell>
          <cell r="E1825">
            <v>3</v>
          </cell>
          <cell r="F1825">
            <v>396</v>
          </cell>
          <cell r="G1825" t="str">
            <v>269 Main St</v>
          </cell>
          <cell r="H1825" t="str">
            <v>Gift Card</v>
          </cell>
          <cell r="I1825" t="str">
            <v>Cancelled</v>
          </cell>
          <cell r="J1825" t="str">
            <v>TRK21330732</v>
          </cell>
          <cell r="K1825">
            <v>4</v>
          </cell>
          <cell r="L1825" t="str">
            <v>FREESHIP</v>
          </cell>
          <cell r="M1825" t="str">
            <v>Instagram</v>
          </cell>
          <cell r="N1825">
            <v>1188</v>
          </cell>
        </row>
        <row r="1826">
          <cell r="A1826" t="str">
            <v>ORD200624</v>
          </cell>
          <cell r="B1826">
            <v>45307</v>
          </cell>
          <cell r="C1826" t="str">
            <v>C25967</v>
          </cell>
          <cell r="D1826" t="str">
            <v>Tablet</v>
          </cell>
          <cell r="E1826">
            <v>5</v>
          </cell>
          <cell r="F1826">
            <v>341.96</v>
          </cell>
          <cell r="G1826" t="str">
            <v>747 Main St</v>
          </cell>
          <cell r="H1826" t="str">
            <v>Debit Card</v>
          </cell>
          <cell r="I1826" t="str">
            <v>Delivered</v>
          </cell>
          <cell r="J1826" t="str">
            <v>TRK88559278</v>
          </cell>
          <cell r="K1826">
            <v>6</v>
          </cell>
          <cell r="L1826" t="str">
            <v>No Coupon</v>
          </cell>
          <cell r="M1826" t="str">
            <v>Email</v>
          </cell>
          <cell r="N1826">
            <v>1709.8</v>
          </cell>
        </row>
        <row r="1827">
          <cell r="A1827" t="str">
            <v>ORD200625</v>
          </cell>
          <cell r="B1827">
            <v>45193</v>
          </cell>
          <cell r="C1827" t="str">
            <v>C22123</v>
          </cell>
          <cell r="D1827" t="str">
            <v>Tablet</v>
          </cell>
          <cell r="E1827">
            <v>1</v>
          </cell>
          <cell r="F1827">
            <v>672.89</v>
          </cell>
          <cell r="G1827" t="str">
            <v>519 Main St</v>
          </cell>
          <cell r="H1827" t="str">
            <v>Credit Card</v>
          </cell>
          <cell r="I1827" t="str">
            <v>Pending</v>
          </cell>
          <cell r="J1827" t="str">
            <v>TRK43250279</v>
          </cell>
          <cell r="K1827">
            <v>1</v>
          </cell>
          <cell r="L1827" t="str">
            <v>WINTER15</v>
          </cell>
          <cell r="M1827" t="str">
            <v>Email</v>
          </cell>
          <cell r="N1827">
            <v>672.89</v>
          </cell>
        </row>
        <row r="1828">
          <cell r="A1828" t="str">
            <v>ORD200626</v>
          </cell>
          <cell r="B1828">
            <v>45352</v>
          </cell>
          <cell r="C1828" t="str">
            <v>C45671</v>
          </cell>
          <cell r="D1828" t="str">
            <v>Tablet</v>
          </cell>
          <cell r="E1828">
            <v>2</v>
          </cell>
          <cell r="F1828">
            <v>657.48</v>
          </cell>
          <cell r="G1828" t="str">
            <v>769 Main St</v>
          </cell>
          <cell r="H1828" t="str">
            <v>Online</v>
          </cell>
          <cell r="I1828" t="str">
            <v>Shipped</v>
          </cell>
          <cell r="J1828" t="str">
            <v>TRK18179773</v>
          </cell>
          <cell r="K1828">
            <v>5</v>
          </cell>
          <cell r="L1828" t="str">
            <v>SAVE10</v>
          </cell>
          <cell r="M1828" t="str">
            <v>Referral</v>
          </cell>
          <cell r="N1828">
            <v>1314.96</v>
          </cell>
        </row>
        <row r="1829">
          <cell r="A1829" t="str">
            <v>ORD200627</v>
          </cell>
          <cell r="B1829">
            <v>45144</v>
          </cell>
          <cell r="C1829" t="str">
            <v>C53334</v>
          </cell>
          <cell r="D1829" t="str">
            <v>Chair</v>
          </cell>
          <cell r="E1829">
            <v>3</v>
          </cell>
          <cell r="F1829">
            <v>498.68</v>
          </cell>
          <cell r="G1829" t="str">
            <v>879 Main St</v>
          </cell>
          <cell r="H1829" t="str">
            <v>Online</v>
          </cell>
          <cell r="I1829" t="str">
            <v>Returned</v>
          </cell>
          <cell r="J1829" t="str">
            <v>TRK31724421</v>
          </cell>
          <cell r="K1829">
            <v>4</v>
          </cell>
          <cell r="L1829" t="str">
            <v>FREESHIP</v>
          </cell>
          <cell r="M1829" t="str">
            <v>Email</v>
          </cell>
          <cell r="N1829">
            <v>1496.04</v>
          </cell>
        </row>
        <row r="1830">
          <cell r="A1830" t="str">
            <v>ORD200628</v>
          </cell>
          <cell r="B1830">
            <v>45011</v>
          </cell>
          <cell r="C1830" t="str">
            <v>C18717</v>
          </cell>
          <cell r="D1830" t="str">
            <v>Printer</v>
          </cell>
          <cell r="E1830">
            <v>5</v>
          </cell>
          <cell r="F1830">
            <v>558.63</v>
          </cell>
          <cell r="G1830" t="str">
            <v>861 Main St</v>
          </cell>
          <cell r="H1830" t="str">
            <v>Cash</v>
          </cell>
          <cell r="I1830" t="str">
            <v>Pending</v>
          </cell>
          <cell r="J1830" t="str">
            <v>TRK58568806</v>
          </cell>
          <cell r="K1830">
            <v>8</v>
          </cell>
          <cell r="L1830" t="str">
            <v>FREESHIP</v>
          </cell>
          <cell r="M1830" t="str">
            <v>Referral</v>
          </cell>
          <cell r="N1830">
            <v>2793.15</v>
          </cell>
        </row>
        <row r="1831">
          <cell r="A1831" t="str">
            <v>ORD200629</v>
          </cell>
          <cell r="B1831">
            <v>45114</v>
          </cell>
          <cell r="C1831" t="str">
            <v>C50137</v>
          </cell>
          <cell r="D1831" t="str">
            <v>Phone</v>
          </cell>
          <cell r="E1831">
            <v>3</v>
          </cell>
          <cell r="F1831">
            <v>19.73</v>
          </cell>
          <cell r="G1831" t="str">
            <v>840 Main St</v>
          </cell>
          <cell r="H1831" t="str">
            <v>Online</v>
          </cell>
          <cell r="I1831" t="str">
            <v>Pending</v>
          </cell>
          <cell r="J1831" t="str">
            <v>TRK91836131</v>
          </cell>
          <cell r="K1831">
            <v>3</v>
          </cell>
          <cell r="L1831" t="str">
            <v>No Coupon</v>
          </cell>
          <cell r="M1831" t="str">
            <v>Referral</v>
          </cell>
          <cell r="N1831">
            <v>59.19</v>
          </cell>
        </row>
        <row r="1832">
          <cell r="A1832" t="str">
            <v>ORD200630</v>
          </cell>
          <cell r="B1832">
            <v>45100</v>
          </cell>
          <cell r="C1832" t="str">
            <v>C51481</v>
          </cell>
          <cell r="D1832" t="str">
            <v>Monitor</v>
          </cell>
          <cell r="E1832">
            <v>5</v>
          </cell>
          <cell r="F1832">
            <v>248.84</v>
          </cell>
          <cell r="G1832" t="str">
            <v>140 Main St</v>
          </cell>
          <cell r="H1832" t="str">
            <v>Debit Card</v>
          </cell>
          <cell r="I1832" t="str">
            <v>Cancelled</v>
          </cell>
          <cell r="J1832" t="str">
            <v>TRK33437701</v>
          </cell>
          <cell r="K1832">
            <v>10</v>
          </cell>
          <cell r="L1832" t="str">
            <v>No Coupon</v>
          </cell>
          <cell r="M1832" t="str">
            <v>Instagram</v>
          </cell>
          <cell r="N1832">
            <v>1244.2</v>
          </cell>
        </row>
        <row r="1833">
          <cell r="A1833" t="str">
            <v>ORD200631</v>
          </cell>
          <cell r="B1833">
            <v>45535</v>
          </cell>
          <cell r="C1833" t="str">
            <v>C99128</v>
          </cell>
          <cell r="D1833" t="str">
            <v>Chair</v>
          </cell>
          <cell r="E1833">
            <v>3</v>
          </cell>
          <cell r="F1833">
            <v>46.11</v>
          </cell>
          <cell r="G1833" t="str">
            <v>360 Main St</v>
          </cell>
          <cell r="H1833" t="str">
            <v>Gift Card</v>
          </cell>
          <cell r="I1833" t="str">
            <v>Returned</v>
          </cell>
          <cell r="J1833" t="str">
            <v>TRK32426808</v>
          </cell>
          <cell r="K1833">
            <v>5</v>
          </cell>
          <cell r="L1833" t="str">
            <v>WINTER15</v>
          </cell>
          <cell r="M1833" t="str">
            <v>Referral</v>
          </cell>
          <cell r="N1833">
            <v>138.33000000000001</v>
          </cell>
        </row>
        <row r="1834">
          <cell r="A1834" t="str">
            <v>ORD200632</v>
          </cell>
          <cell r="B1834">
            <v>45048</v>
          </cell>
          <cell r="C1834" t="str">
            <v>C67260</v>
          </cell>
          <cell r="D1834" t="str">
            <v>Laptop</v>
          </cell>
          <cell r="E1834">
            <v>5</v>
          </cell>
          <cell r="F1834">
            <v>678.16</v>
          </cell>
          <cell r="G1834" t="str">
            <v>463 Main St</v>
          </cell>
          <cell r="H1834" t="str">
            <v>Gift Card</v>
          </cell>
          <cell r="I1834" t="str">
            <v>Delivered</v>
          </cell>
          <cell r="J1834" t="str">
            <v>TRK38229104</v>
          </cell>
          <cell r="K1834">
            <v>7</v>
          </cell>
          <cell r="L1834" t="str">
            <v>WINTER15</v>
          </cell>
          <cell r="M1834" t="str">
            <v>Facebook</v>
          </cell>
          <cell r="N1834">
            <v>3390.8</v>
          </cell>
        </row>
        <row r="1835">
          <cell r="A1835" t="str">
            <v>ORD200633</v>
          </cell>
          <cell r="B1835">
            <v>45392</v>
          </cell>
          <cell r="C1835" t="str">
            <v>C79533</v>
          </cell>
          <cell r="D1835" t="str">
            <v>Laptop</v>
          </cell>
          <cell r="E1835">
            <v>5</v>
          </cell>
          <cell r="F1835">
            <v>601.72</v>
          </cell>
          <cell r="G1835" t="str">
            <v>921 Main St</v>
          </cell>
          <cell r="H1835" t="str">
            <v>Gift Card</v>
          </cell>
          <cell r="I1835" t="str">
            <v>Cancelled</v>
          </cell>
          <cell r="J1835" t="str">
            <v>TRK54711422</v>
          </cell>
          <cell r="K1835">
            <v>5</v>
          </cell>
          <cell r="L1835" t="str">
            <v>WINTER15</v>
          </cell>
          <cell r="M1835" t="str">
            <v>Instagram</v>
          </cell>
          <cell r="N1835">
            <v>3008.6</v>
          </cell>
        </row>
        <row r="1836">
          <cell r="A1836" t="str">
            <v>ORD200634</v>
          </cell>
          <cell r="B1836">
            <v>45407</v>
          </cell>
          <cell r="C1836" t="str">
            <v>C66906</v>
          </cell>
          <cell r="D1836" t="str">
            <v>Printer</v>
          </cell>
          <cell r="E1836">
            <v>2</v>
          </cell>
          <cell r="F1836">
            <v>259.32</v>
          </cell>
          <cell r="G1836" t="str">
            <v>117 Main St</v>
          </cell>
          <cell r="H1836" t="str">
            <v>Gift Card</v>
          </cell>
          <cell r="I1836" t="str">
            <v>Delivered</v>
          </cell>
          <cell r="J1836" t="str">
            <v>TRK31633755</v>
          </cell>
          <cell r="K1836">
            <v>2</v>
          </cell>
          <cell r="L1836" t="str">
            <v>WINTER15</v>
          </cell>
          <cell r="M1836" t="str">
            <v>Referral</v>
          </cell>
          <cell r="N1836">
            <v>518.64</v>
          </cell>
        </row>
        <row r="1837">
          <cell r="A1837" t="str">
            <v>ORD200635</v>
          </cell>
          <cell r="B1837">
            <v>45273</v>
          </cell>
          <cell r="C1837" t="str">
            <v>C12818</v>
          </cell>
          <cell r="D1837" t="str">
            <v>Chair</v>
          </cell>
          <cell r="E1837">
            <v>3</v>
          </cell>
          <cell r="F1837">
            <v>63.68</v>
          </cell>
          <cell r="G1837" t="str">
            <v>434 Main St</v>
          </cell>
          <cell r="H1837" t="str">
            <v>Cash</v>
          </cell>
          <cell r="I1837" t="str">
            <v>Returned</v>
          </cell>
          <cell r="J1837" t="str">
            <v>TRK40879983</v>
          </cell>
          <cell r="K1837">
            <v>6</v>
          </cell>
          <cell r="L1837" t="str">
            <v>No Coupon</v>
          </cell>
          <cell r="M1837" t="str">
            <v>Facebook</v>
          </cell>
          <cell r="N1837">
            <v>191.04</v>
          </cell>
        </row>
        <row r="1838">
          <cell r="A1838" t="str">
            <v>ORD200636</v>
          </cell>
          <cell r="B1838">
            <v>45204</v>
          </cell>
          <cell r="C1838" t="str">
            <v>C60384</v>
          </cell>
          <cell r="D1838" t="str">
            <v>Laptop</v>
          </cell>
          <cell r="E1838">
            <v>4</v>
          </cell>
          <cell r="F1838">
            <v>371.07</v>
          </cell>
          <cell r="G1838" t="str">
            <v>336 Main St</v>
          </cell>
          <cell r="H1838" t="str">
            <v>Cash</v>
          </cell>
          <cell r="I1838" t="str">
            <v>Cancelled</v>
          </cell>
          <cell r="J1838" t="str">
            <v>TRK92080037</v>
          </cell>
          <cell r="K1838">
            <v>7</v>
          </cell>
          <cell r="L1838" t="str">
            <v>WINTER15</v>
          </cell>
          <cell r="M1838" t="str">
            <v>Facebook</v>
          </cell>
          <cell r="N1838">
            <v>1484.28</v>
          </cell>
        </row>
        <row r="1839">
          <cell r="A1839" t="str">
            <v>ORD200637</v>
          </cell>
          <cell r="B1839">
            <v>45564</v>
          </cell>
          <cell r="C1839" t="str">
            <v>C92294</v>
          </cell>
          <cell r="D1839" t="str">
            <v>Chair</v>
          </cell>
          <cell r="E1839">
            <v>4</v>
          </cell>
          <cell r="F1839">
            <v>306.35000000000002</v>
          </cell>
          <cell r="G1839" t="str">
            <v>784 Main St</v>
          </cell>
          <cell r="H1839" t="str">
            <v>Gift Card</v>
          </cell>
          <cell r="I1839" t="str">
            <v>Shipped</v>
          </cell>
          <cell r="J1839" t="str">
            <v>TRK23585765</v>
          </cell>
          <cell r="K1839">
            <v>7</v>
          </cell>
          <cell r="L1839" t="str">
            <v>WINTER15</v>
          </cell>
          <cell r="M1839" t="str">
            <v>Referral</v>
          </cell>
          <cell r="N1839">
            <v>1225.4000000000001</v>
          </cell>
        </row>
        <row r="1840">
          <cell r="A1840" t="str">
            <v>ORD200638</v>
          </cell>
          <cell r="B1840">
            <v>45214</v>
          </cell>
          <cell r="C1840" t="str">
            <v>C66840</v>
          </cell>
          <cell r="D1840" t="str">
            <v>Tablet</v>
          </cell>
          <cell r="E1840">
            <v>4</v>
          </cell>
          <cell r="F1840">
            <v>578.27</v>
          </cell>
          <cell r="G1840" t="str">
            <v>547 Main St</v>
          </cell>
          <cell r="H1840" t="str">
            <v>Online</v>
          </cell>
          <cell r="I1840" t="str">
            <v>Delivered</v>
          </cell>
          <cell r="J1840" t="str">
            <v>TRK76929637</v>
          </cell>
          <cell r="K1840">
            <v>9</v>
          </cell>
          <cell r="L1840" t="str">
            <v>WINTER15</v>
          </cell>
          <cell r="M1840" t="str">
            <v>Email</v>
          </cell>
          <cell r="N1840">
            <v>2313.08</v>
          </cell>
        </row>
        <row r="1841">
          <cell r="A1841" t="str">
            <v>ORD200639</v>
          </cell>
          <cell r="B1841">
            <v>44946</v>
          </cell>
          <cell r="C1841" t="str">
            <v>C22534</v>
          </cell>
          <cell r="D1841" t="str">
            <v>Chair</v>
          </cell>
          <cell r="E1841">
            <v>1</v>
          </cell>
          <cell r="F1841">
            <v>529.19000000000005</v>
          </cell>
          <cell r="G1841" t="str">
            <v>391 Main St</v>
          </cell>
          <cell r="H1841" t="str">
            <v>Cash</v>
          </cell>
          <cell r="I1841" t="str">
            <v>Cancelled</v>
          </cell>
          <cell r="J1841" t="str">
            <v>TRK17415798</v>
          </cell>
          <cell r="K1841">
            <v>5</v>
          </cell>
          <cell r="L1841" t="str">
            <v>No Coupon</v>
          </cell>
          <cell r="M1841" t="str">
            <v>Referral</v>
          </cell>
          <cell r="N1841">
            <v>529.19000000000005</v>
          </cell>
        </row>
        <row r="1842">
          <cell r="A1842" t="str">
            <v>ORD200640</v>
          </cell>
          <cell r="B1842">
            <v>45349</v>
          </cell>
          <cell r="C1842" t="str">
            <v>C46509</v>
          </cell>
          <cell r="D1842" t="str">
            <v>Chair</v>
          </cell>
          <cell r="E1842">
            <v>2</v>
          </cell>
          <cell r="F1842">
            <v>587.49</v>
          </cell>
          <cell r="G1842" t="str">
            <v>647 Main St</v>
          </cell>
          <cell r="H1842" t="str">
            <v>Gift Card</v>
          </cell>
          <cell r="I1842" t="str">
            <v>Returned</v>
          </cell>
          <cell r="J1842" t="str">
            <v>TRK24241664</v>
          </cell>
          <cell r="K1842">
            <v>6</v>
          </cell>
          <cell r="L1842" t="str">
            <v>SAVE10</v>
          </cell>
          <cell r="M1842" t="str">
            <v>Referral</v>
          </cell>
          <cell r="N1842">
            <v>1174.98</v>
          </cell>
        </row>
        <row r="1843">
          <cell r="A1843" t="str">
            <v>ORD200641</v>
          </cell>
          <cell r="B1843">
            <v>45473</v>
          </cell>
          <cell r="C1843" t="str">
            <v>C71680</v>
          </cell>
          <cell r="D1843" t="str">
            <v>Printer</v>
          </cell>
          <cell r="E1843">
            <v>4</v>
          </cell>
          <cell r="F1843">
            <v>567.57000000000005</v>
          </cell>
          <cell r="G1843" t="str">
            <v>814 Main St</v>
          </cell>
          <cell r="H1843" t="str">
            <v>Debit Card</v>
          </cell>
          <cell r="I1843" t="str">
            <v>Pending</v>
          </cell>
          <cell r="J1843" t="str">
            <v>TRK47386650</v>
          </cell>
          <cell r="K1843">
            <v>9</v>
          </cell>
          <cell r="L1843" t="str">
            <v>WINTER15</v>
          </cell>
          <cell r="M1843" t="str">
            <v>Google</v>
          </cell>
          <cell r="N1843">
            <v>2270.2800000000002</v>
          </cell>
        </row>
        <row r="1844">
          <cell r="A1844" t="str">
            <v>ORD200642</v>
          </cell>
          <cell r="B1844">
            <v>45411</v>
          </cell>
          <cell r="C1844" t="str">
            <v>C15063</v>
          </cell>
          <cell r="D1844" t="str">
            <v>Chair</v>
          </cell>
          <cell r="E1844">
            <v>5</v>
          </cell>
          <cell r="F1844">
            <v>85.22</v>
          </cell>
          <cell r="G1844" t="str">
            <v>527 Main St</v>
          </cell>
          <cell r="H1844" t="str">
            <v>Credit Card</v>
          </cell>
          <cell r="I1844" t="str">
            <v>Cancelled</v>
          </cell>
          <cell r="J1844" t="str">
            <v>TRK10329390</v>
          </cell>
          <cell r="K1844">
            <v>7</v>
          </cell>
          <cell r="L1844" t="str">
            <v>FREESHIP</v>
          </cell>
          <cell r="M1844" t="str">
            <v>Email</v>
          </cell>
          <cell r="N1844">
            <v>426.1</v>
          </cell>
        </row>
        <row r="1845">
          <cell r="A1845" t="str">
            <v>ORD200643</v>
          </cell>
          <cell r="B1845">
            <v>45530</v>
          </cell>
          <cell r="C1845" t="str">
            <v>C77122</v>
          </cell>
          <cell r="D1845" t="str">
            <v>Laptop</v>
          </cell>
          <cell r="E1845">
            <v>1</v>
          </cell>
          <cell r="F1845">
            <v>438.37</v>
          </cell>
          <cell r="G1845" t="str">
            <v>647 Main St</v>
          </cell>
          <cell r="H1845" t="str">
            <v>Cash</v>
          </cell>
          <cell r="I1845" t="str">
            <v>Cancelled</v>
          </cell>
          <cell r="J1845" t="str">
            <v>TRK75814880</v>
          </cell>
          <cell r="K1845">
            <v>4</v>
          </cell>
          <cell r="L1845" t="str">
            <v>SAVE10</v>
          </cell>
          <cell r="M1845" t="str">
            <v>Referral</v>
          </cell>
          <cell r="N1845">
            <v>438.37</v>
          </cell>
        </row>
        <row r="1846">
          <cell r="A1846" t="str">
            <v>ORD200644</v>
          </cell>
          <cell r="B1846">
            <v>45245</v>
          </cell>
          <cell r="C1846" t="str">
            <v>C86524</v>
          </cell>
          <cell r="D1846" t="str">
            <v>Chair</v>
          </cell>
          <cell r="E1846">
            <v>2</v>
          </cell>
          <cell r="F1846">
            <v>366.23</v>
          </cell>
          <cell r="G1846" t="str">
            <v>961 Main St</v>
          </cell>
          <cell r="H1846" t="str">
            <v>Cash</v>
          </cell>
          <cell r="I1846" t="str">
            <v>Shipped</v>
          </cell>
          <cell r="J1846" t="str">
            <v>TRK62490506</v>
          </cell>
          <cell r="K1846">
            <v>2</v>
          </cell>
          <cell r="L1846" t="str">
            <v>WINTER15</v>
          </cell>
          <cell r="M1846" t="str">
            <v>Email</v>
          </cell>
          <cell r="N1846">
            <v>732.46</v>
          </cell>
        </row>
        <row r="1847">
          <cell r="A1847" t="str">
            <v>ORD200645</v>
          </cell>
          <cell r="B1847">
            <v>44928</v>
          </cell>
          <cell r="C1847" t="str">
            <v>C82990</v>
          </cell>
          <cell r="D1847" t="str">
            <v>Laptop</v>
          </cell>
          <cell r="E1847">
            <v>2</v>
          </cell>
          <cell r="F1847">
            <v>150.05000000000001</v>
          </cell>
          <cell r="G1847" t="str">
            <v>727 Main St</v>
          </cell>
          <cell r="H1847" t="str">
            <v>Credit Card</v>
          </cell>
          <cell r="I1847" t="str">
            <v>Cancelled</v>
          </cell>
          <cell r="J1847" t="str">
            <v>TRK68574801</v>
          </cell>
          <cell r="K1847">
            <v>4</v>
          </cell>
          <cell r="L1847" t="str">
            <v>SAVE10</v>
          </cell>
          <cell r="M1847" t="str">
            <v>Facebook</v>
          </cell>
          <cell r="N1847">
            <v>300.10000000000002</v>
          </cell>
        </row>
        <row r="1848">
          <cell r="A1848" t="str">
            <v>ORD200646</v>
          </cell>
          <cell r="B1848">
            <v>45226</v>
          </cell>
          <cell r="C1848" t="str">
            <v>C98761</v>
          </cell>
          <cell r="D1848" t="str">
            <v>Chair</v>
          </cell>
          <cell r="E1848">
            <v>4</v>
          </cell>
          <cell r="F1848">
            <v>498.51</v>
          </cell>
          <cell r="G1848" t="str">
            <v>804 Main St</v>
          </cell>
          <cell r="H1848" t="str">
            <v>Debit Card</v>
          </cell>
          <cell r="I1848" t="str">
            <v>Shipped</v>
          </cell>
          <cell r="J1848" t="str">
            <v>TRK43262630</v>
          </cell>
          <cell r="K1848">
            <v>4</v>
          </cell>
          <cell r="L1848" t="str">
            <v>SAVE10</v>
          </cell>
          <cell r="M1848" t="str">
            <v>Google</v>
          </cell>
          <cell r="N1848">
            <v>1994.04</v>
          </cell>
        </row>
        <row r="1849">
          <cell r="A1849" t="str">
            <v>ORD200647</v>
          </cell>
          <cell r="B1849">
            <v>45771</v>
          </cell>
          <cell r="C1849" t="str">
            <v>C54409</v>
          </cell>
          <cell r="D1849" t="str">
            <v>Desk</v>
          </cell>
          <cell r="E1849">
            <v>3</v>
          </cell>
          <cell r="F1849">
            <v>339.39</v>
          </cell>
          <cell r="G1849" t="str">
            <v>667 Main St</v>
          </cell>
          <cell r="H1849" t="str">
            <v>Cash</v>
          </cell>
          <cell r="I1849" t="str">
            <v>Returned</v>
          </cell>
          <cell r="J1849" t="str">
            <v>TRK67671316</v>
          </cell>
          <cell r="K1849">
            <v>7</v>
          </cell>
          <cell r="L1849" t="str">
            <v>FREESHIP</v>
          </cell>
          <cell r="M1849" t="str">
            <v>Google</v>
          </cell>
          <cell r="N1849">
            <v>1018.17</v>
          </cell>
        </row>
        <row r="1850">
          <cell r="A1850" t="str">
            <v>ORD200648</v>
          </cell>
          <cell r="B1850">
            <v>45675</v>
          </cell>
          <cell r="C1850" t="str">
            <v>C89674</v>
          </cell>
          <cell r="D1850" t="str">
            <v>Monitor</v>
          </cell>
          <cell r="E1850">
            <v>2</v>
          </cell>
          <cell r="F1850">
            <v>575.83000000000004</v>
          </cell>
          <cell r="G1850" t="str">
            <v>182 Main St</v>
          </cell>
          <cell r="H1850" t="str">
            <v>Online</v>
          </cell>
          <cell r="I1850" t="str">
            <v>Delivered</v>
          </cell>
          <cell r="J1850" t="str">
            <v>TRK45902512</v>
          </cell>
          <cell r="K1850">
            <v>3</v>
          </cell>
          <cell r="L1850" t="str">
            <v>WINTER15</v>
          </cell>
          <cell r="M1850" t="str">
            <v>Referral</v>
          </cell>
          <cell r="N1850">
            <v>1151.6600000000001</v>
          </cell>
        </row>
        <row r="1851">
          <cell r="A1851" t="str">
            <v>ORD200649</v>
          </cell>
          <cell r="B1851">
            <v>45283</v>
          </cell>
          <cell r="C1851" t="str">
            <v>C45899</v>
          </cell>
          <cell r="D1851" t="str">
            <v>Monitor</v>
          </cell>
          <cell r="E1851">
            <v>2</v>
          </cell>
          <cell r="F1851">
            <v>642.98</v>
          </cell>
          <cell r="G1851" t="str">
            <v>153 Main St</v>
          </cell>
          <cell r="H1851" t="str">
            <v>Debit Card</v>
          </cell>
          <cell r="I1851" t="str">
            <v>Returned</v>
          </cell>
          <cell r="J1851" t="str">
            <v>TRK32932093</v>
          </cell>
          <cell r="K1851">
            <v>7</v>
          </cell>
          <cell r="L1851" t="str">
            <v>FREESHIP</v>
          </cell>
          <cell r="M1851" t="str">
            <v>Email</v>
          </cell>
          <cell r="N1851">
            <v>1285.96</v>
          </cell>
        </row>
        <row r="1852">
          <cell r="A1852" t="str">
            <v>ORD200650</v>
          </cell>
          <cell r="B1852">
            <v>45064</v>
          </cell>
          <cell r="C1852" t="str">
            <v>C74499</v>
          </cell>
          <cell r="D1852" t="str">
            <v>Desk</v>
          </cell>
          <cell r="E1852">
            <v>2</v>
          </cell>
          <cell r="F1852">
            <v>372.23</v>
          </cell>
          <cell r="G1852" t="str">
            <v>518 Main St</v>
          </cell>
          <cell r="H1852" t="str">
            <v>Gift Card</v>
          </cell>
          <cell r="I1852" t="str">
            <v>Delivered</v>
          </cell>
          <cell r="J1852" t="str">
            <v>TRK93767278</v>
          </cell>
          <cell r="K1852">
            <v>7</v>
          </cell>
          <cell r="L1852" t="str">
            <v>SAVE10</v>
          </cell>
          <cell r="M1852" t="str">
            <v>Email</v>
          </cell>
          <cell r="N1852">
            <v>744.46</v>
          </cell>
        </row>
        <row r="1853">
          <cell r="A1853" t="str">
            <v>ORD200651</v>
          </cell>
          <cell r="B1853">
            <v>45608</v>
          </cell>
          <cell r="C1853" t="str">
            <v>C81192</v>
          </cell>
          <cell r="D1853" t="str">
            <v>Chair</v>
          </cell>
          <cell r="E1853">
            <v>3</v>
          </cell>
          <cell r="F1853">
            <v>646.34</v>
          </cell>
          <cell r="G1853" t="str">
            <v>429 Main St</v>
          </cell>
          <cell r="H1853" t="str">
            <v>Debit Card</v>
          </cell>
          <cell r="I1853" t="str">
            <v>Pending</v>
          </cell>
          <cell r="J1853" t="str">
            <v>TRK76931118</v>
          </cell>
          <cell r="K1853">
            <v>5</v>
          </cell>
          <cell r="L1853" t="str">
            <v>No Coupon</v>
          </cell>
          <cell r="M1853" t="str">
            <v>Google</v>
          </cell>
          <cell r="N1853">
            <v>1939.02</v>
          </cell>
        </row>
        <row r="1854">
          <cell r="A1854" t="str">
            <v>ORD200652</v>
          </cell>
          <cell r="B1854">
            <v>45448</v>
          </cell>
          <cell r="C1854" t="str">
            <v>C71473</v>
          </cell>
          <cell r="D1854" t="str">
            <v>Chair</v>
          </cell>
          <cell r="E1854">
            <v>5</v>
          </cell>
          <cell r="F1854">
            <v>341.84</v>
          </cell>
          <cell r="G1854" t="str">
            <v>328 Main St</v>
          </cell>
          <cell r="H1854" t="str">
            <v>Online</v>
          </cell>
          <cell r="I1854" t="str">
            <v>Shipped</v>
          </cell>
          <cell r="J1854" t="str">
            <v>TRK94857335</v>
          </cell>
          <cell r="K1854">
            <v>8</v>
          </cell>
          <cell r="L1854" t="str">
            <v>FREESHIP</v>
          </cell>
          <cell r="M1854" t="str">
            <v>Instagram</v>
          </cell>
          <cell r="N1854">
            <v>1709.2</v>
          </cell>
        </row>
        <row r="1855">
          <cell r="A1855" t="str">
            <v>ORD200653</v>
          </cell>
          <cell r="B1855">
            <v>45347</v>
          </cell>
          <cell r="C1855" t="str">
            <v>C59338</v>
          </cell>
          <cell r="D1855" t="str">
            <v>Printer</v>
          </cell>
          <cell r="E1855">
            <v>3</v>
          </cell>
          <cell r="F1855">
            <v>690.3</v>
          </cell>
          <cell r="G1855" t="str">
            <v>747 Main St</v>
          </cell>
          <cell r="H1855" t="str">
            <v>Credit Card</v>
          </cell>
          <cell r="I1855" t="str">
            <v>Shipped</v>
          </cell>
          <cell r="J1855" t="str">
            <v>TRK12902764</v>
          </cell>
          <cell r="K1855">
            <v>6</v>
          </cell>
          <cell r="L1855" t="str">
            <v>WINTER15</v>
          </cell>
          <cell r="M1855" t="str">
            <v>Google</v>
          </cell>
          <cell r="N1855">
            <v>2070.9</v>
          </cell>
        </row>
        <row r="1856">
          <cell r="A1856" t="str">
            <v>ORD200654</v>
          </cell>
          <cell r="B1856">
            <v>45089</v>
          </cell>
          <cell r="C1856" t="str">
            <v>C62661</v>
          </cell>
          <cell r="D1856" t="str">
            <v>Tablet</v>
          </cell>
          <cell r="E1856">
            <v>3</v>
          </cell>
          <cell r="F1856">
            <v>382.37</v>
          </cell>
          <cell r="G1856" t="str">
            <v>863 Main St</v>
          </cell>
          <cell r="H1856" t="str">
            <v>Debit Card</v>
          </cell>
          <cell r="I1856" t="str">
            <v>Returned</v>
          </cell>
          <cell r="J1856" t="str">
            <v>TRK25748100</v>
          </cell>
          <cell r="K1856">
            <v>8</v>
          </cell>
          <cell r="L1856" t="str">
            <v>No Coupon</v>
          </cell>
          <cell r="M1856" t="str">
            <v>Instagram</v>
          </cell>
          <cell r="N1856">
            <v>1147.1099999999999</v>
          </cell>
        </row>
        <row r="1857">
          <cell r="A1857" t="str">
            <v>ORD200655</v>
          </cell>
          <cell r="B1857">
            <v>44999</v>
          </cell>
          <cell r="C1857" t="str">
            <v>C22101</v>
          </cell>
          <cell r="D1857" t="str">
            <v>Chair</v>
          </cell>
          <cell r="E1857">
            <v>2</v>
          </cell>
          <cell r="F1857">
            <v>132.6</v>
          </cell>
          <cell r="G1857" t="str">
            <v>262 Main St</v>
          </cell>
          <cell r="H1857" t="str">
            <v>Debit Card</v>
          </cell>
          <cell r="I1857" t="str">
            <v>Cancelled</v>
          </cell>
          <cell r="J1857" t="str">
            <v>TRK70711522</v>
          </cell>
          <cell r="K1857">
            <v>4</v>
          </cell>
          <cell r="L1857" t="str">
            <v>WINTER15</v>
          </cell>
          <cell r="M1857" t="str">
            <v>Email</v>
          </cell>
          <cell r="N1857">
            <v>265.2</v>
          </cell>
        </row>
        <row r="1858">
          <cell r="A1858" t="str">
            <v>ORD200656</v>
          </cell>
          <cell r="B1858">
            <v>45309</v>
          </cell>
          <cell r="C1858" t="str">
            <v>C51404</v>
          </cell>
          <cell r="D1858" t="str">
            <v>Monitor</v>
          </cell>
          <cell r="E1858">
            <v>2</v>
          </cell>
          <cell r="F1858">
            <v>189.06</v>
          </cell>
          <cell r="G1858" t="str">
            <v>835 Main St</v>
          </cell>
          <cell r="H1858" t="str">
            <v>Gift Card</v>
          </cell>
          <cell r="I1858" t="str">
            <v>Shipped</v>
          </cell>
          <cell r="J1858" t="str">
            <v>TRK85682500</v>
          </cell>
          <cell r="K1858">
            <v>7</v>
          </cell>
          <cell r="L1858" t="str">
            <v>SAVE10</v>
          </cell>
          <cell r="M1858" t="str">
            <v>Facebook</v>
          </cell>
          <cell r="N1858">
            <v>378.12</v>
          </cell>
        </row>
        <row r="1859">
          <cell r="A1859" t="str">
            <v>ORD200657</v>
          </cell>
          <cell r="B1859">
            <v>45284</v>
          </cell>
          <cell r="C1859" t="str">
            <v>C19384</v>
          </cell>
          <cell r="D1859" t="str">
            <v>Tablet</v>
          </cell>
          <cell r="E1859">
            <v>4</v>
          </cell>
          <cell r="F1859">
            <v>87.79</v>
          </cell>
          <cell r="G1859" t="str">
            <v>532 Main St</v>
          </cell>
          <cell r="H1859" t="str">
            <v>Cash</v>
          </cell>
          <cell r="I1859" t="str">
            <v>Cancelled</v>
          </cell>
          <cell r="J1859" t="str">
            <v>TRK33207064</v>
          </cell>
          <cell r="K1859">
            <v>6</v>
          </cell>
          <cell r="L1859" t="str">
            <v>FREESHIP</v>
          </cell>
          <cell r="M1859" t="str">
            <v>Instagram</v>
          </cell>
          <cell r="N1859">
            <v>351.16</v>
          </cell>
        </row>
        <row r="1860">
          <cell r="A1860" t="str">
            <v>ORD200658</v>
          </cell>
          <cell r="B1860">
            <v>45765</v>
          </cell>
          <cell r="C1860" t="str">
            <v>C86864</v>
          </cell>
          <cell r="D1860" t="str">
            <v>Printer</v>
          </cell>
          <cell r="E1860">
            <v>2</v>
          </cell>
          <cell r="F1860">
            <v>46.36</v>
          </cell>
          <cell r="G1860" t="str">
            <v>670 Main St</v>
          </cell>
          <cell r="H1860" t="str">
            <v>Gift Card</v>
          </cell>
          <cell r="I1860" t="str">
            <v>Returned</v>
          </cell>
          <cell r="J1860" t="str">
            <v>TRK15323191</v>
          </cell>
          <cell r="K1860">
            <v>4</v>
          </cell>
          <cell r="L1860" t="str">
            <v>SAVE10</v>
          </cell>
          <cell r="M1860" t="str">
            <v>Google</v>
          </cell>
          <cell r="N1860">
            <v>92.72</v>
          </cell>
        </row>
        <row r="1861">
          <cell r="A1861" t="str">
            <v>ORD200659</v>
          </cell>
          <cell r="B1861">
            <v>45591</v>
          </cell>
          <cell r="C1861" t="str">
            <v>C24301</v>
          </cell>
          <cell r="D1861" t="str">
            <v>Phone</v>
          </cell>
          <cell r="E1861">
            <v>2</v>
          </cell>
          <cell r="F1861">
            <v>642.04</v>
          </cell>
          <cell r="G1861" t="str">
            <v>964 Main St</v>
          </cell>
          <cell r="H1861" t="str">
            <v>Gift Card</v>
          </cell>
          <cell r="I1861" t="str">
            <v>Delivered</v>
          </cell>
          <cell r="J1861" t="str">
            <v>TRK55000075</v>
          </cell>
          <cell r="K1861">
            <v>4</v>
          </cell>
          <cell r="L1861" t="str">
            <v>WINTER15</v>
          </cell>
          <cell r="M1861" t="str">
            <v>Email</v>
          </cell>
          <cell r="N1861">
            <v>1284.08</v>
          </cell>
        </row>
        <row r="1862">
          <cell r="A1862" t="str">
            <v>ORD200660</v>
          </cell>
          <cell r="B1862">
            <v>45584</v>
          </cell>
          <cell r="C1862" t="str">
            <v>C43842</v>
          </cell>
          <cell r="D1862" t="str">
            <v>Chair</v>
          </cell>
          <cell r="E1862">
            <v>2</v>
          </cell>
          <cell r="F1862">
            <v>651.57000000000005</v>
          </cell>
          <cell r="G1862" t="str">
            <v>933 Main St</v>
          </cell>
          <cell r="H1862" t="str">
            <v>Debit Card</v>
          </cell>
          <cell r="I1862" t="str">
            <v>Shipped</v>
          </cell>
          <cell r="J1862" t="str">
            <v>TRK54084424</v>
          </cell>
          <cell r="K1862">
            <v>7</v>
          </cell>
          <cell r="L1862" t="str">
            <v>WINTER15</v>
          </cell>
          <cell r="M1862" t="str">
            <v>Facebook</v>
          </cell>
          <cell r="N1862">
            <v>1303.1400000000001</v>
          </cell>
        </row>
        <row r="1863">
          <cell r="A1863" t="str">
            <v>ORD200661</v>
          </cell>
          <cell r="B1863">
            <v>45716</v>
          </cell>
          <cell r="C1863" t="str">
            <v>C63657</v>
          </cell>
          <cell r="D1863" t="str">
            <v>Tablet</v>
          </cell>
          <cell r="E1863">
            <v>3</v>
          </cell>
          <cell r="F1863">
            <v>424.89</v>
          </cell>
          <cell r="G1863" t="str">
            <v>116 Main St</v>
          </cell>
          <cell r="H1863" t="str">
            <v>Debit Card</v>
          </cell>
          <cell r="I1863" t="str">
            <v>Cancelled</v>
          </cell>
          <cell r="J1863" t="str">
            <v>TRK86378984</v>
          </cell>
          <cell r="K1863">
            <v>6</v>
          </cell>
          <cell r="L1863" t="str">
            <v>FREESHIP</v>
          </cell>
          <cell r="M1863" t="str">
            <v>Google</v>
          </cell>
          <cell r="N1863">
            <v>1274.67</v>
          </cell>
        </row>
        <row r="1864">
          <cell r="A1864" t="str">
            <v>ORD200662</v>
          </cell>
          <cell r="B1864">
            <v>44954</v>
          </cell>
          <cell r="C1864" t="str">
            <v>C98332</v>
          </cell>
          <cell r="D1864" t="str">
            <v>Laptop</v>
          </cell>
          <cell r="E1864">
            <v>3</v>
          </cell>
          <cell r="F1864">
            <v>438.89</v>
          </cell>
          <cell r="G1864" t="str">
            <v>985 Main St</v>
          </cell>
          <cell r="H1864" t="str">
            <v>Cash</v>
          </cell>
          <cell r="I1864" t="str">
            <v>Returned</v>
          </cell>
          <cell r="J1864" t="str">
            <v>TRK85744797</v>
          </cell>
          <cell r="K1864">
            <v>3</v>
          </cell>
          <cell r="L1864" t="str">
            <v>No Coupon</v>
          </cell>
          <cell r="M1864" t="str">
            <v>Facebook</v>
          </cell>
          <cell r="N1864">
            <v>1316.67</v>
          </cell>
        </row>
        <row r="1865">
          <cell r="A1865" t="str">
            <v>ORD200663</v>
          </cell>
          <cell r="B1865">
            <v>45397</v>
          </cell>
          <cell r="C1865" t="str">
            <v>C59774</v>
          </cell>
          <cell r="D1865" t="str">
            <v>Monitor</v>
          </cell>
          <cell r="E1865">
            <v>1</v>
          </cell>
          <cell r="F1865">
            <v>72.599999999999994</v>
          </cell>
          <cell r="G1865" t="str">
            <v>941 Main St</v>
          </cell>
          <cell r="H1865" t="str">
            <v>Debit Card</v>
          </cell>
          <cell r="I1865" t="str">
            <v>Cancelled</v>
          </cell>
          <cell r="J1865" t="str">
            <v>TRK87635135</v>
          </cell>
          <cell r="K1865">
            <v>6</v>
          </cell>
          <cell r="L1865" t="str">
            <v>FREESHIP</v>
          </cell>
          <cell r="M1865" t="str">
            <v>Instagram</v>
          </cell>
          <cell r="N1865">
            <v>72.599999999999994</v>
          </cell>
        </row>
        <row r="1866">
          <cell r="A1866" t="str">
            <v>ORD200664</v>
          </cell>
          <cell r="B1866">
            <v>45645</v>
          </cell>
          <cell r="C1866" t="str">
            <v>C14847</v>
          </cell>
          <cell r="D1866" t="str">
            <v>Laptop</v>
          </cell>
          <cell r="E1866">
            <v>4</v>
          </cell>
          <cell r="F1866">
            <v>194.75</v>
          </cell>
          <cell r="G1866" t="str">
            <v>188 Main St</v>
          </cell>
          <cell r="H1866" t="str">
            <v>Cash</v>
          </cell>
          <cell r="I1866" t="str">
            <v>Shipped</v>
          </cell>
          <cell r="J1866" t="str">
            <v>TRK46492755</v>
          </cell>
          <cell r="K1866">
            <v>5</v>
          </cell>
          <cell r="L1866" t="str">
            <v>No Coupon</v>
          </cell>
          <cell r="M1866" t="str">
            <v>Facebook</v>
          </cell>
          <cell r="N1866">
            <v>779</v>
          </cell>
        </row>
        <row r="1867">
          <cell r="A1867" t="str">
            <v>ORD200665</v>
          </cell>
          <cell r="B1867">
            <v>45048</v>
          </cell>
          <cell r="C1867" t="str">
            <v>C83653</v>
          </cell>
          <cell r="D1867" t="str">
            <v>Tablet</v>
          </cell>
          <cell r="E1867">
            <v>4</v>
          </cell>
          <cell r="F1867">
            <v>231.26</v>
          </cell>
          <cell r="G1867" t="str">
            <v>253 Main St</v>
          </cell>
          <cell r="H1867" t="str">
            <v>Online</v>
          </cell>
          <cell r="I1867" t="str">
            <v>Shipped</v>
          </cell>
          <cell r="J1867" t="str">
            <v>TRK32619935</v>
          </cell>
          <cell r="K1867">
            <v>6</v>
          </cell>
          <cell r="L1867" t="str">
            <v>WINTER15</v>
          </cell>
          <cell r="M1867" t="str">
            <v>Google</v>
          </cell>
          <cell r="N1867">
            <v>925.04</v>
          </cell>
        </row>
        <row r="1868">
          <cell r="A1868" t="str">
            <v>ORD200666</v>
          </cell>
          <cell r="B1868">
            <v>45535</v>
          </cell>
          <cell r="C1868" t="str">
            <v>C35711</v>
          </cell>
          <cell r="D1868" t="str">
            <v>Monitor</v>
          </cell>
          <cell r="E1868">
            <v>4</v>
          </cell>
          <cell r="F1868">
            <v>327.12</v>
          </cell>
          <cell r="G1868" t="str">
            <v>788 Main St</v>
          </cell>
          <cell r="H1868" t="str">
            <v>Credit Card</v>
          </cell>
          <cell r="I1868" t="str">
            <v>Cancelled</v>
          </cell>
          <cell r="J1868" t="str">
            <v>TRK45281495</v>
          </cell>
          <cell r="K1868">
            <v>4</v>
          </cell>
          <cell r="L1868" t="str">
            <v>No Coupon</v>
          </cell>
          <cell r="M1868" t="str">
            <v>Email</v>
          </cell>
          <cell r="N1868">
            <v>1308.48</v>
          </cell>
        </row>
        <row r="1869">
          <cell r="A1869" t="str">
            <v>ORD200667</v>
          </cell>
          <cell r="B1869">
            <v>45049</v>
          </cell>
          <cell r="C1869" t="str">
            <v>C10477</v>
          </cell>
          <cell r="D1869" t="str">
            <v>Laptop</v>
          </cell>
          <cell r="E1869">
            <v>1</v>
          </cell>
          <cell r="F1869">
            <v>466.42</v>
          </cell>
          <cell r="G1869" t="str">
            <v>172 Main St</v>
          </cell>
          <cell r="H1869" t="str">
            <v>Gift Card</v>
          </cell>
          <cell r="I1869" t="str">
            <v>Pending</v>
          </cell>
          <cell r="J1869" t="str">
            <v>TRK41505339</v>
          </cell>
          <cell r="K1869">
            <v>5</v>
          </cell>
          <cell r="L1869" t="str">
            <v>SAVE10</v>
          </cell>
          <cell r="M1869" t="str">
            <v>Email</v>
          </cell>
          <cell r="N1869">
            <v>466.42</v>
          </cell>
        </row>
        <row r="1870">
          <cell r="A1870" t="str">
            <v>ORD200668</v>
          </cell>
          <cell r="B1870">
            <v>45478</v>
          </cell>
          <cell r="C1870" t="str">
            <v>C61257</v>
          </cell>
          <cell r="D1870" t="str">
            <v>Monitor</v>
          </cell>
          <cell r="E1870">
            <v>2</v>
          </cell>
          <cell r="F1870">
            <v>253.67</v>
          </cell>
          <cell r="G1870" t="str">
            <v>981 Main St</v>
          </cell>
          <cell r="H1870" t="str">
            <v>Cash</v>
          </cell>
          <cell r="I1870" t="str">
            <v>Returned</v>
          </cell>
          <cell r="J1870" t="str">
            <v>TRK25226070</v>
          </cell>
          <cell r="K1870">
            <v>3</v>
          </cell>
          <cell r="L1870" t="str">
            <v>WINTER15</v>
          </cell>
          <cell r="M1870" t="str">
            <v>Facebook</v>
          </cell>
          <cell r="N1870">
            <v>507.34</v>
          </cell>
        </row>
        <row r="1871">
          <cell r="A1871" t="str">
            <v>ORD200669</v>
          </cell>
          <cell r="B1871">
            <v>44962</v>
          </cell>
          <cell r="C1871" t="str">
            <v>C60547</v>
          </cell>
          <cell r="D1871" t="str">
            <v>Desk</v>
          </cell>
          <cell r="E1871">
            <v>1</v>
          </cell>
          <cell r="F1871">
            <v>257</v>
          </cell>
          <cell r="G1871" t="str">
            <v>812 Main St</v>
          </cell>
          <cell r="H1871" t="str">
            <v>Debit Card</v>
          </cell>
          <cell r="I1871" t="str">
            <v>Cancelled</v>
          </cell>
          <cell r="J1871" t="str">
            <v>TRK65694249</v>
          </cell>
          <cell r="K1871">
            <v>5</v>
          </cell>
          <cell r="L1871" t="str">
            <v>No Coupon</v>
          </cell>
          <cell r="M1871" t="str">
            <v>Referral</v>
          </cell>
          <cell r="N1871">
            <v>257</v>
          </cell>
        </row>
        <row r="1872">
          <cell r="A1872" t="str">
            <v>ORD200670</v>
          </cell>
          <cell r="B1872">
            <v>45400</v>
          </cell>
          <cell r="C1872" t="str">
            <v>C14576</v>
          </cell>
          <cell r="D1872" t="str">
            <v>Desk</v>
          </cell>
          <cell r="E1872">
            <v>4</v>
          </cell>
          <cell r="F1872">
            <v>539.20000000000005</v>
          </cell>
          <cell r="G1872" t="str">
            <v>747 Main St</v>
          </cell>
          <cell r="H1872" t="str">
            <v>Credit Card</v>
          </cell>
          <cell r="I1872" t="str">
            <v>Pending</v>
          </cell>
          <cell r="J1872" t="str">
            <v>TRK21637540</v>
          </cell>
          <cell r="K1872">
            <v>8</v>
          </cell>
          <cell r="L1872" t="str">
            <v>FREESHIP</v>
          </cell>
          <cell r="M1872" t="str">
            <v>Google</v>
          </cell>
          <cell r="N1872">
            <v>2156.8000000000002</v>
          </cell>
        </row>
        <row r="1873">
          <cell r="A1873" t="str">
            <v>ORD200671</v>
          </cell>
          <cell r="B1873">
            <v>45092</v>
          </cell>
          <cell r="C1873" t="str">
            <v>C49282</v>
          </cell>
          <cell r="D1873" t="str">
            <v>Chair</v>
          </cell>
          <cell r="E1873">
            <v>5</v>
          </cell>
          <cell r="F1873">
            <v>50.74</v>
          </cell>
          <cell r="G1873" t="str">
            <v>737 Main St</v>
          </cell>
          <cell r="H1873" t="str">
            <v>Gift Card</v>
          </cell>
          <cell r="I1873" t="str">
            <v>Cancelled</v>
          </cell>
          <cell r="J1873" t="str">
            <v>TRK88653901</v>
          </cell>
          <cell r="K1873">
            <v>7</v>
          </cell>
          <cell r="L1873" t="str">
            <v>WINTER15</v>
          </cell>
          <cell r="M1873" t="str">
            <v>Google</v>
          </cell>
          <cell r="N1873">
            <v>253.7</v>
          </cell>
        </row>
        <row r="1874">
          <cell r="A1874" t="str">
            <v>ORD200672</v>
          </cell>
          <cell r="B1874">
            <v>45055</v>
          </cell>
          <cell r="C1874" t="str">
            <v>C14017</v>
          </cell>
          <cell r="D1874" t="str">
            <v>Phone</v>
          </cell>
          <cell r="E1874">
            <v>2</v>
          </cell>
          <cell r="F1874">
            <v>624.16</v>
          </cell>
          <cell r="G1874" t="str">
            <v>984 Main St</v>
          </cell>
          <cell r="H1874" t="str">
            <v>Debit Card</v>
          </cell>
          <cell r="I1874" t="str">
            <v>Shipped</v>
          </cell>
          <cell r="J1874" t="str">
            <v>TRK71009446</v>
          </cell>
          <cell r="K1874">
            <v>2</v>
          </cell>
          <cell r="L1874" t="str">
            <v>SAVE10</v>
          </cell>
          <cell r="M1874" t="str">
            <v>Instagram</v>
          </cell>
          <cell r="N1874">
            <v>1248.32</v>
          </cell>
        </row>
        <row r="1875">
          <cell r="A1875" t="str">
            <v>ORD200673</v>
          </cell>
          <cell r="B1875">
            <v>44978</v>
          </cell>
          <cell r="C1875" t="str">
            <v>C46504</v>
          </cell>
          <cell r="D1875" t="str">
            <v>Tablet</v>
          </cell>
          <cell r="E1875">
            <v>2</v>
          </cell>
          <cell r="F1875">
            <v>372.92</v>
          </cell>
          <cell r="G1875" t="str">
            <v>131 Main St</v>
          </cell>
          <cell r="H1875" t="str">
            <v>Credit Card</v>
          </cell>
          <cell r="I1875" t="str">
            <v>Delivered</v>
          </cell>
          <cell r="J1875" t="str">
            <v>TRK95024356</v>
          </cell>
          <cell r="K1875">
            <v>7</v>
          </cell>
          <cell r="L1875" t="str">
            <v>SAVE10</v>
          </cell>
          <cell r="M1875" t="str">
            <v>Email</v>
          </cell>
          <cell r="N1875">
            <v>745.84</v>
          </cell>
        </row>
        <row r="1876">
          <cell r="A1876" t="str">
            <v>ORD200674</v>
          </cell>
          <cell r="B1876">
            <v>45300</v>
          </cell>
          <cell r="C1876" t="str">
            <v>C56928</v>
          </cell>
          <cell r="D1876" t="str">
            <v>Laptop</v>
          </cell>
          <cell r="E1876">
            <v>4</v>
          </cell>
          <cell r="F1876">
            <v>358.75</v>
          </cell>
          <cell r="G1876" t="str">
            <v>860 Main St</v>
          </cell>
          <cell r="H1876" t="str">
            <v>Gift Card</v>
          </cell>
          <cell r="I1876" t="str">
            <v>Delivered</v>
          </cell>
          <cell r="J1876" t="str">
            <v>TRK57792939</v>
          </cell>
          <cell r="K1876">
            <v>9</v>
          </cell>
          <cell r="L1876" t="str">
            <v>SAVE10</v>
          </cell>
          <cell r="M1876" t="str">
            <v>Facebook</v>
          </cell>
          <cell r="N1876">
            <v>1435</v>
          </cell>
        </row>
        <row r="1877">
          <cell r="A1877" t="str">
            <v>ORD200675</v>
          </cell>
          <cell r="B1877">
            <v>45510</v>
          </cell>
          <cell r="C1877" t="str">
            <v>C97749</v>
          </cell>
          <cell r="D1877" t="str">
            <v>Desk</v>
          </cell>
          <cell r="E1877">
            <v>3</v>
          </cell>
          <cell r="F1877">
            <v>342.02</v>
          </cell>
          <cell r="G1877" t="str">
            <v>906 Main St</v>
          </cell>
          <cell r="H1877" t="str">
            <v>Debit Card</v>
          </cell>
          <cell r="I1877" t="str">
            <v>Pending</v>
          </cell>
          <cell r="J1877" t="str">
            <v>TRK90233116</v>
          </cell>
          <cell r="K1877">
            <v>5</v>
          </cell>
          <cell r="L1877" t="str">
            <v>No Coupon</v>
          </cell>
          <cell r="M1877" t="str">
            <v>Email</v>
          </cell>
          <cell r="N1877">
            <v>1026.06</v>
          </cell>
        </row>
        <row r="1878">
          <cell r="A1878" t="str">
            <v>ORD200676</v>
          </cell>
          <cell r="B1878">
            <v>45831</v>
          </cell>
          <cell r="C1878" t="str">
            <v>C90431</v>
          </cell>
          <cell r="D1878" t="str">
            <v>Laptop</v>
          </cell>
          <cell r="E1878">
            <v>2</v>
          </cell>
          <cell r="F1878">
            <v>422.34</v>
          </cell>
          <cell r="G1878" t="str">
            <v>985 Main St</v>
          </cell>
          <cell r="H1878" t="str">
            <v>Credit Card</v>
          </cell>
          <cell r="I1878" t="str">
            <v>Cancelled</v>
          </cell>
          <cell r="J1878" t="str">
            <v>TRK44151723</v>
          </cell>
          <cell r="K1878">
            <v>4</v>
          </cell>
          <cell r="L1878" t="str">
            <v>FREESHIP</v>
          </cell>
          <cell r="M1878" t="str">
            <v>Instagram</v>
          </cell>
          <cell r="N1878">
            <v>844.68</v>
          </cell>
        </row>
        <row r="1879">
          <cell r="A1879" t="str">
            <v>ORD200677</v>
          </cell>
          <cell r="B1879">
            <v>45750</v>
          </cell>
          <cell r="C1879" t="str">
            <v>C56722</v>
          </cell>
          <cell r="D1879" t="str">
            <v>Tablet</v>
          </cell>
          <cell r="E1879">
            <v>5</v>
          </cell>
          <cell r="F1879">
            <v>22.07</v>
          </cell>
          <cell r="G1879" t="str">
            <v>179 Main St</v>
          </cell>
          <cell r="H1879" t="str">
            <v>Online</v>
          </cell>
          <cell r="I1879" t="str">
            <v>Cancelled</v>
          </cell>
          <cell r="J1879" t="str">
            <v>TRK78778569</v>
          </cell>
          <cell r="K1879">
            <v>7</v>
          </cell>
          <cell r="L1879" t="str">
            <v>FREESHIP</v>
          </cell>
          <cell r="M1879" t="str">
            <v>Instagram</v>
          </cell>
          <cell r="N1879">
            <v>110.35</v>
          </cell>
        </row>
        <row r="1880">
          <cell r="A1880" t="str">
            <v>ORD200678</v>
          </cell>
          <cell r="B1880">
            <v>45620</v>
          </cell>
          <cell r="C1880" t="str">
            <v>C40863</v>
          </cell>
          <cell r="D1880" t="str">
            <v>Chair</v>
          </cell>
          <cell r="E1880">
            <v>3</v>
          </cell>
          <cell r="F1880">
            <v>163.13</v>
          </cell>
          <cell r="G1880" t="str">
            <v>457 Main St</v>
          </cell>
          <cell r="H1880" t="str">
            <v>Gift Card</v>
          </cell>
          <cell r="I1880" t="str">
            <v>Shipped</v>
          </cell>
          <cell r="J1880" t="str">
            <v>TRK20553345</v>
          </cell>
          <cell r="K1880">
            <v>5</v>
          </cell>
          <cell r="L1880" t="str">
            <v>WINTER15</v>
          </cell>
          <cell r="M1880" t="str">
            <v>Facebook</v>
          </cell>
          <cell r="N1880">
            <v>489.39</v>
          </cell>
        </row>
        <row r="1881">
          <cell r="A1881" t="str">
            <v>ORD200679</v>
          </cell>
          <cell r="B1881">
            <v>44959</v>
          </cell>
          <cell r="C1881" t="str">
            <v>C40798</v>
          </cell>
          <cell r="D1881" t="str">
            <v>Tablet</v>
          </cell>
          <cell r="E1881">
            <v>3</v>
          </cell>
          <cell r="F1881">
            <v>360.66</v>
          </cell>
          <cell r="G1881" t="str">
            <v>304 Main St</v>
          </cell>
          <cell r="H1881" t="str">
            <v>Online</v>
          </cell>
          <cell r="I1881" t="str">
            <v>Returned</v>
          </cell>
          <cell r="J1881" t="str">
            <v>TRK66106697</v>
          </cell>
          <cell r="K1881">
            <v>5</v>
          </cell>
          <cell r="L1881" t="str">
            <v>FREESHIP</v>
          </cell>
          <cell r="M1881" t="str">
            <v>Instagram</v>
          </cell>
          <cell r="N1881">
            <v>1081.98</v>
          </cell>
        </row>
        <row r="1882">
          <cell r="A1882" t="str">
            <v>ORD200680</v>
          </cell>
          <cell r="B1882">
            <v>45165</v>
          </cell>
          <cell r="C1882" t="str">
            <v>C16702</v>
          </cell>
          <cell r="D1882" t="str">
            <v>Monitor</v>
          </cell>
          <cell r="E1882">
            <v>3</v>
          </cell>
          <cell r="F1882">
            <v>463.39</v>
          </cell>
          <cell r="G1882" t="str">
            <v>694 Main St</v>
          </cell>
          <cell r="H1882" t="str">
            <v>Credit Card</v>
          </cell>
          <cell r="I1882" t="str">
            <v>Returned</v>
          </cell>
          <cell r="J1882" t="str">
            <v>TRK16953491</v>
          </cell>
          <cell r="K1882">
            <v>3</v>
          </cell>
          <cell r="L1882" t="str">
            <v>No Coupon</v>
          </cell>
          <cell r="M1882" t="str">
            <v>Facebook</v>
          </cell>
          <cell r="N1882">
            <v>1390.17</v>
          </cell>
        </row>
        <row r="1883">
          <cell r="A1883" t="str">
            <v>ORD200681</v>
          </cell>
          <cell r="B1883">
            <v>45321</v>
          </cell>
          <cell r="C1883" t="str">
            <v>C38262</v>
          </cell>
          <cell r="D1883" t="str">
            <v>Tablet</v>
          </cell>
          <cell r="E1883">
            <v>1</v>
          </cell>
          <cell r="F1883">
            <v>155.27000000000001</v>
          </cell>
          <cell r="G1883" t="str">
            <v>548 Main St</v>
          </cell>
          <cell r="H1883" t="str">
            <v>Debit Card</v>
          </cell>
          <cell r="I1883" t="str">
            <v>Shipped</v>
          </cell>
          <cell r="J1883" t="str">
            <v>TRK47300502</v>
          </cell>
          <cell r="K1883">
            <v>6</v>
          </cell>
          <cell r="L1883" t="str">
            <v>No Coupon</v>
          </cell>
          <cell r="M1883" t="str">
            <v>Email</v>
          </cell>
          <cell r="N1883">
            <v>155.27000000000001</v>
          </cell>
        </row>
        <row r="1884">
          <cell r="A1884" t="str">
            <v>ORD200682</v>
          </cell>
          <cell r="B1884">
            <v>45130</v>
          </cell>
          <cell r="C1884" t="str">
            <v>C50274</v>
          </cell>
          <cell r="D1884" t="str">
            <v>Monitor</v>
          </cell>
          <cell r="E1884">
            <v>3</v>
          </cell>
          <cell r="F1884">
            <v>509.42</v>
          </cell>
          <cell r="G1884" t="str">
            <v>449 Main St</v>
          </cell>
          <cell r="H1884" t="str">
            <v>Credit Card</v>
          </cell>
          <cell r="I1884" t="str">
            <v>Cancelled</v>
          </cell>
          <cell r="J1884" t="str">
            <v>TRK91729086</v>
          </cell>
          <cell r="K1884">
            <v>5</v>
          </cell>
          <cell r="L1884" t="str">
            <v>FREESHIP</v>
          </cell>
          <cell r="M1884" t="str">
            <v>Google</v>
          </cell>
          <cell r="N1884">
            <v>1528.26</v>
          </cell>
        </row>
        <row r="1885">
          <cell r="A1885" t="str">
            <v>ORD200683</v>
          </cell>
          <cell r="B1885">
            <v>45795</v>
          </cell>
          <cell r="C1885" t="str">
            <v>C91591</v>
          </cell>
          <cell r="D1885" t="str">
            <v>Desk</v>
          </cell>
          <cell r="E1885">
            <v>4</v>
          </cell>
          <cell r="F1885">
            <v>652.48</v>
          </cell>
          <cell r="G1885" t="str">
            <v>887 Main St</v>
          </cell>
          <cell r="H1885" t="str">
            <v>Cash</v>
          </cell>
          <cell r="I1885" t="str">
            <v>Pending</v>
          </cell>
          <cell r="J1885" t="str">
            <v>TRK23554043</v>
          </cell>
          <cell r="K1885">
            <v>5</v>
          </cell>
          <cell r="L1885" t="str">
            <v>FREESHIP</v>
          </cell>
          <cell r="M1885" t="str">
            <v>Instagram</v>
          </cell>
          <cell r="N1885">
            <v>2609.92</v>
          </cell>
        </row>
        <row r="1886">
          <cell r="A1886" t="str">
            <v>ORD200684</v>
          </cell>
          <cell r="B1886">
            <v>45557</v>
          </cell>
          <cell r="C1886" t="str">
            <v>C96583</v>
          </cell>
          <cell r="D1886" t="str">
            <v>Printer</v>
          </cell>
          <cell r="E1886">
            <v>4</v>
          </cell>
          <cell r="F1886">
            <v>34.840000000000003</v>
          </cell>
          <cell r="G1886" t="str">
            <v>288 Main St</v>
          </cell>
          <cell r="H1886" t="str">
            <v>Credit Card</v>
          </cell>
          <cell r="I1886" t="str">
            <v>Shipped</v>
          </cell>
          <cell r="J1886" t="str">
            <v>TRK64353241</v>
          </cell>
          <cell r="K1886">
            <v>8</v>
          </cell>
          <cell r="L1886" t="str">
            <v>No Coupon</v>
          </cell>
          <cell r="M1886" t="str">
            <v>Email</v>
          </cell>
          <cell r="N1886">
            <v>139.36000000000001</v>
          </cell>
        </row>
        <row r="1887">
          <cell r="A1887" t="str">
            <v>ORD200685</v>
          </cell>
          <cell r="B1887">
            <v>45695</v>
          </cell>
          <cell r="C1887" t="str">
            <v>C64579</v>
          </cell>
          <cell r="D1887" t="str">
            <v>Desk</v>
          </cell>
          <cell r="E1887">
            <v>1</v>
          </cell>
          <cell r="F1887">
            <v>234.37</v>
          </cell>
          <cell r="G1887" t="str">
            <v>638 Main St</v>
          </cell>
          <cell r="H1887" t="str">
            <v>Debit Card</v>
          </cell>
          <cell r="I1887" t="str">
            <v>Shipped</v>
          </cell>
          <cell r="J1887" t="str">
            <v>TRK10276565</v>
          </cell>
          <cell r="K1887">
            <v>5</v>
          </cell>
          <cell r="L1887" t="str">
            <v>FREESHIP</v>
          </cell>
          <cell r="M1887" t="str">
            <v>Email</v>
          </cell>
          <cell r="N1887">
            <v>234.37</v>
          </cell>
        </row>
        <row r="1888">
          <cell r="A1888" t="str">
            <v>ORD200686</v>
          </cell>
          <cell r="B1888">
            <v>45208</v>
          </cell>
          <cell r="C1888" t="str">
            <v>C41903</v>
          </cell>
          <cell r="D1888" t="str">
            <v>Desk</v>
          </cell>
          <cell r="E1888">
            <v>3</v>
          </cell>
          <cell r="F1888">
            <v>53.6</v>
          </cell>
          <cell r="G1888" t="str">
            <v>525 Main St</v>
          </cell>
          <cell r="H1888" t="str">
            <v>Cash</v>
          </cell>
          <cell r="I1888" t="str">
            <v>Pending</v>
          </cell>
          <cell r="J1888" t="str">
            <v>TRK59112382</v>
          </cell>
          <cell r="K1888">
            <v>4</v>
          </cell>
          <cell r="L1888" t="str">
            <v>WINTER15</v>
          </cell>
          <cell r="M1888" t="str">
            <v>Facebook</v>
          </cell>
          <cell r="N1888">
            <v>160.80000000000001</v>
          </cell>
        </row>
        <row r="1889">
          <cell r="A1889" t="str">
            <v>ORD200687</v>
          </cell>
          <cell r="B1889">
            <v>45182</v>
          </cell>
          <cell r="C1889" t="str">
            <v>C19742</v>
          </cell>
          <cell r="D1889" t="str">
            <v>Tablet</v>
          </cell>
          <cell r="E1889">
            <v>1</v>
          </cell>
          <cell r="F1889">
            <v>332.09</v>
          </cell>
          <cell r="G1889" t="str">
            <v>408 Main St</v>
          </cell>
          <cell r="H1889" t="str">
            <v>Gift Card</v>
          </cell>
          <cell r="I1889" t="str">
            <v>Returned</v>
          </cell>
          <cell r="J1889" t="str">
            <v>TRK68845230</v>
          </cell>
          <cell r="K1889">
            <v>5</v>
          </cell>
          <cell r="L1889" t="str">
            <v>FREESHIP</v>
          </cell>
          <cell r="M1889" t="str">
            <v>Instagram</v>
          </cell>
          <cell r="N1889">
            <v>332.09</v>
          </cell>
        </row>
        <row r="1890">
          <cell r="A1890" t="str">
            <v>ORD200688</v>
          </cell>
          <cell r="B1890">
            <v>45357</v>
          </cell>
          <cell r="C1890" t="str">
            <v>C20077</v>
          </cell>
          <cell r="D1890" t="str">
            <v>Monitor</v>
          </cell>
          <cell r="E1890">
            <v>4</v>
          </cell>
          <cell r="F1890">
            <v>593.22</v>
          </cell>
          <cell r="G1890" t="str">
            <v>154 Main St</v>
          </cell>
          <cell r="H1890" t="str">
            <v>Credit Card</v>
          </cell>
          <cell r="I1890" t="str">
            <v>Cancelled</v>
          </cell>
          <cell r="J1890" t="str">
            <v>TRK36415742</v>
          </cell>
          <cell r="K1890">
            <v>8</v>
          </cell>
          <cell r="L1890" t="str">
            <v>WINTER15</v>
          </cell>
          <cell r="M1890" t="str">
            <v>Facebook</v>
          </cell>
          <cell r="N1890">
            <v>2372.88</v>
          </cell>
        </row>
        <row r="1891">
          <cell r="A1891" t="str">
            <v>ORD200689</v>
          </cell>
          <cell r="B1891">
            <v>45167</v>
          </cell>
          <cell r="C1891" t="str">
            <v>C13186</v>
          </cell>
          <cell r="D1891" t="str">
            <v>Tablet</v>
          </cell>
          <cell r="E1891">
            <v>2</v>
          </cell>
          <cell r="F1891">
            <v>444.84</v>
          </cell>
          <cell r="G1891" t="str">
            <v>787 Main St</v>
          </cell>
          <cell r="H1891" t="str">
            <v>Online</v>
          </cell>
          <cell r="I1891" t="str">
            <v>Shipped</v>
          </cell>
          <cell r="J1891" t="str">
            <v>TRK56967415</v>
          </cell>
          <cell r="K1891">
            <v>7</v>
          </cell>
          <cell r="L1891" t="str">
            <v>No Coupon</v>
          </cell>
          <cell r="M1891" t="str">
            <v>Facebook</v>
          </cell>
          <cell r="N1891">
            <v>889.68</v>
          </cell>
        </row>
        <row r="1892">
          <cell r="A1892" t="str">
            <v>ORD200690</v>
          </cell>
          <cell r="B1892">
            <v>45485</v>
          </cell>
          <cell r="C1892" t="str">
            <v>C29318</v>
          </cell>
          <cell r="D1892" t="str">
            <v>Monitor</v>
          </cell>
          <cell r="E1892">
            <v>1</v>
          </cell>
          <cell r="F1892">
            <v>24.48</v>
          </cell>
          <cell r="G1892" t="str">
            <v>128 Main St</v>
          </cell>
          <cell r="H1892" t="str">
            <v>Gift Card</v>
          </cell>
          <cell r="I1892" t="str">
            <v>Returned</v>
          </cell>
          <cell r="J1892" t="str">
            <v>TRK88666721</v>
          </cell>
          <cell r="K1892">
            <v>1</v>
          </cell>
          <cell r="L1892" t="str">
            <v>No Coupon</v>
          </cell>
          <cell r="M1892" t="str">
            <v>Instagram</v>
          </cell>
          <cell r="N1892">
            <v>24.48</v>
          </cell>
        </row>
        <row r="1893">
          <cell r="A1893" t="str">
            <v>ORD200691</v>
          </cell>
          <cell r="B1893">
            <v>45620</v>
          </cell>
          <cell r="C1893" t="str">
            <v>C36137</v>
          </cell>
          <cell r="D1893" t="str">
            <v>Laptop</v>
          </cell>
          <cell r="E1893">
            <v>3</v>
          </cell>
          <cell r="F1893">
            <v>239.08</v>
          </cell>
          <cell r="G1893" t="str">
            <v>396 Main St</v>
          </cell>
          <cell r="H1893" t="str">
            <v>Cash</v>
          </cell>
          <cell r="I1893" t="str">
            <v>Shipped</v>
          </cell>
          <cell r="J1893" t="str">
            <v>TRK57376416</v>
          </cell>
          <cell r="K1893">
            <v>8</v>
          </cell>
          <cell r="L1893" t="str">
            <v>No Coupon</v>
          </cell>
          <cell r="M1893" t="str">
            <v>Google</v>
          </cell>
          <cell r="N1893">
            <v>717.24</v>
          </cell>
        </row>
        <row r="1894">
          <cell r="A1894" t="str">
            <v>ORD200692</v>
          </cell>
          <cell r="B1894">
            <v>44949</v>
          </cell>
          <cell r="C1894" t="str">
            <v>C25534</v>
          </cell>
          <cell r="D1894" t="str">
            <v>Desk</v>
          </cell>
          <cell r="E1894">
            <v>5</v>
          </cell>
          <cell r="F1894">
            <v>196.84</v>
          </cell>
          <cell r="G1894" t="str">
            <v>319 Main St</v>
          </cell>
          <cell r="H1894" t="str">
            <v>Credit Card</v>
          </cell>
          <cell r="I1894" t="str">
            <v>Delivered</v>
          </cell>
          <cell r="J1894" t="str">
            <v>TRK68347402</v>
          </cell>
          <cell r="K1894">
            <v>5</v>
          </cell>
          <cell r="L1894" t="str">
            <v>WINTER15</v>
          </cell>
          <cell r="M1894" t="str">
            <v>Instagram</v>
          </cell>
          <cell r="N1894">
            <v>984.2</v>
          </cell>
        </row>
        <row r="1895">
          <cell r="A1895" t="str">
            <v>ORD200693</v>
          </cell>
          <cell r="B1895">
            <v>45728</v>
          </cell>
          <cell r="C1895" t="str">
            <v>C62070</v>
          </cell>
          <cell r="D1895" t="str">
            <v>Monitor</v>
          </cell>
          <cell r="E1895">
            <v>1</v>
          </cell>
          <cell r="F1895">
            <v>176.58</v>
          </cell>
          <cell r="G1895" t="str">
            <v>674 Main St</v>
          </cell>
          <cell r="H1895" t="str">
            <v>Debit Card</v>
          </cell>
          <cell r="I1895" t="str">
            <v>Returned</v>
          </cell>
          <cell r="J1895" t="str">
            <v>TRK10267127</v>
          </cell>
          <cell r="K1895">
            <v>4</v>
          </cell>
          <cell r="L1895" t="str">
            <v>No Coupon</v>
          </cell>
          <cell r="M1895" t="str">
            <v>Referral</v>
          </cell>
          <cell r="N1895">
            <v>176.58</v>
          </cell>
        </row>
        <row r="1896">
          <cell r="A1896" t="str">
            <v>ORD200694</v>
          </cell>
          <cell r="B1896">
            <v>45201</v>
          </cell>
          <cell r="C1896" t="str">
            <v>C92049</v>
          </cell>
          <cell r="D1896" t="str">
            <v>Printer</v>
          </cell>
          <cell r="E1896">
            <v>4</v>
          </cell>
          <cell r="F1896">
            <v>666.52</v>
          </cell>
          <cell r="G1896" t="str">
            <v>619 Main St</v>
          </cell>
          <cell r="H1896" t="str">
            <v>Cash</v>
          </cell>
          <cell r="I1896" t="str">
            <v>Shipped</v>
          </cell>
          <cell r="J1896" t="str">
            <v>TRK32287092</v>
          </cell>
          <cell r="K1896">
            <v>8</v>
          </cell>
          <cell r="L1896" t="str">
            <v>FREESHIP</v>
          </cell>
          <cell r="M1896" t="str">
            <v>Email</v>
          </cell>
          <cell r="N1896">
            <v>2666.08</v>
          </cell>
        </row>
        <row r="1897">
          <cell r="A1897" t="str">
            <v>ORD200695</v>
          </cell>
          <cell r="B1897">
            <v>45619</v>
          </cell>
          <cell r="C1897" t="str">
            <v>C52604</v>
          </cell>
          <cell r="D1897" t="str">
            <v>Printer</v>
          </cell>
          <cell r="E1897">
            <v>5</v>
          </cell>
          <cell r="F1897">
            <v>101.3</v>
          </cell>
          <cell r="G1897" t="str">
            <v>553 Main St</v>
          </cell>
          <cell r="H1897" t="str">
            <v>Online</v>
          </cell>
          <cell r="I1897" t="str">
            <v>Shipped</v>
          </cell>
          <cell r="J1897" t="str">
            <v>TRK48839788</v>
          </cell>
          <cell r="K1897">
            <v>7</v>
          </cell>
          <cell r="L1897" t="str">
            <v>FREESHIP</v>
          </cell>
          <cell r="M1897" t="str">
            <v>Email</v>
          </cell>
          <cell r="N1897">
            <v>506.5</v>
          </cell>
        </row>
        <row r="1898">
          <cell r="A1898" t="str">
            <v>ORD200696</v>
          </cell>
          <cell r="B1898">
            <v>45109</v>
          </cell>
          <cell r="C1898" t="str">
            <v>C22429</v>
          </cell>
          <cell r="D1898" t="str">
            <v>Chair</v>
          </cell>
          <cell r="E1898">
            <v>4</v>
          </cell>
          <cell r="F1898">
            <v>151.19999999999999</v>
          </cell>
          <cell r="G1898" t="str">
            <v>965 Main St</v>
          </cell>
          <cell r="H1898" t="str">
            <v>Gift Card</v>
          </cell>
          <cell r="I1898" t="str">
            <v>Pending</v>
          </cell>
          <cell r="J1898" t="str">
            <v>TRK38572927</v>
          </cell>
          <cell r="K1898">
            <v>9</v>
          </cell>
          <cell r="L1898" t="str">
            <v>WINTER15</v>
          </cell>
          <cell r="M1898" t="str">
            <v>Facebook</v>
          </cell>
          <cell r="N1898">
            <v>604.79999999999995</v>
          </cell>
        </row>
        <row r="1899">
          <cell r="A1899" t="str">
            <v>ORD200697</v>
          </cell>
          <cell r="B1899">
            <v>45692</v>
          </cell>
          <cell r="C1899" t="str">
            <v>C27430</v>
          </cell>
          <cell r="D1899" t="str">
            <v>Printer</v>
          </cell>
          <cell r="E1899">
            <v>5</v>
          </cell>
          <cell r="F1899">
            <v>94.85</v>
          </cell>
          <cell r="G1899" t="str">
            <v>788 Main St</v>
          </cell>
          <cell r="H1899" t="str">
            <v>Cash</v>
          </cell>
          <cell r="I1899" t="str">
            <v>Shipped</v>
          </cell>
          <cell r="J1899" t="str">
            <v>TRK45025840</v>
          </cell>
          <cell r="K1899">
            <v>6</v>
          </cell>
          <cell r="L1899" t="str">
            <v>WINTER15</v>
          </cell>
          <cell r="M1899" t="str">
            <v>Email</v>
          </cell>
          <cell r="N1899">
            <v>474.25</v>
          </cell>
        </row>
        <row r="1900">
          <cell r="A1900" t="str">
            <v>ORD200698</v>
          </cell>
          <cell r="B1900">
            <v>44930</v>
          </cell>
          <cell r="C1900" t="str">
            <v>C44366</v>
          </cell>
          <cell r="D1900" t="str">
            <v>Laptop</v>
          </cell>
          <cell r="E1900">
            <v>2</v>
          </cell>
          <cell r="F1900">
            <v>388.22</v>
          </cell>
          <cell r="G1900" t="str">
            <v>169 Main St</v>
          </cell>
          <cell r="H1900" t="str">
            <v>Cash</v>
          </cell>
          <cell r="I1900" t="str">
            <v>Delivered</v>
          </cell>
          <cell r="J1900" t="str">
            <v>TRK48658394</v>
          </cell>
          <cell r="K1900">
            <v>2</v>
          </cell>
          <cell r="L1900" t="str">
            <v>WINTER15</v>
          </cell>
          <cell r="M1900" t="str">
            <v>Instagram</v>
          </cell>
          <cell r="N1900">
            <v>776.44</v>
          </cell>
        </row>
        <row r="1901">
          <cell r="A1901" t="str">
            <v>ORD200699</v>
          </cell>
          <cell r="B1901">
            <v>45243</v>
          </cell>
          <cell r="C1901" t="str">
            <v>C36813</v>
          </cell>
          <cell r="D1901" t="str">
            <v>Laptop</v>
          </cell>
          <cell r="E1901">
            <v>3</v>
          </cell>
          <cell r="F1901">
            <v>614.15</v>
          </cell>
          <cell r="G1901" t="str">
            <v>897 Main St</v>
          </cell>
          <cell r="H1901" t="str">
            <v>Gift Card</v>
          </cell>
          <cell r="I1901" t="str">
            <v>Cancelled</v>
          </cell>
          <cell r="J1901" t="str">
            <v>TRK84088900</v>
          </cell>
          <cell r="K1901">
            <v>3</v>
          </cell>
          <cell r="L1901" t="str">
            <v>No Coupon</v>
          </cell>
          <cell r="M1901" t="str">
            <v>Facebook</v>
          </cell>
          <cell r="N1901">
            <v>1842.45</v>
          </cell>
        </row>
        <row r="1902">
          <cell r="A1902" t="str">
            <v>ORD200700</v>
          </cell>
          <cell r="B1902">
            <v>45560</v>
          </cell>
          <cell r="C1902" t="str">
            <v>C40201</v>
          </cell>
          <cell r="D1902" t="str">
            <v>Laptop</v>
          </cell>
          <cell r="E1902">
            <v>2</v>
          </cell>
          <cell r="F1902">
            <v>92.91</v>
          </cell>
          <cell r="G1902" t="str">
            <v>555 Main St</v>
          </cell>
          <cell r="H1902" t="str">
            <v>Cash</v>
          </cell>
          <cell r="I1902" t="str">
            <v>Returned</v>
          </cell>
          <cell r="J1902" t="str">
            <v>TRK30198779</v>
          </cell>
          <cell r="K1902">
            <v>3</v>
          </cell>
          <cell r="L1902" t="str">
            <v>WINTER15</v>
          </cell>
          <cell r="M1902" t="str">
            <v>Instagram</v>
          </cell>
          <cell r="N1902">
            <v>185.82</v>
          </cell>
        </row>
        <row r="1903">
          <cell r="A1903" t="str">
            <v>ORD200701</v>
          </cell>
          <cell r="B1903">
            <v>45466</v>
          </cell>
          <cell r="C1903" t="str">
            <v>C75456</v>
          </cell>
          <cell r="D1903" t="str">
            <v>Monitor</v>
          </cell>
          <cell r="E1903">
            <v>3</v>
          </cell>
          <cell r="F1903">
            <v>92.22</v>
          </cell>
          <cell r="G1903" t="str">
            <v>115 Main St</v>
          </cell>
          <cell r="H1903" t="str">
            <v>Credit Card</v>
          </cell>
          <cell r="I1903" t="str">
            <v>Delivered</v>
          </cell>
          <cell r="J1903" t="str">
            <v>TRK90519490</v>
          </cell>
          <cell r="K1903">
            <v>5</v>
          </cell>
          <cell r="L1903" t="str">
            <v>FREESHIP</v>
          </cell>
          <cell r="M1903" t="str">
            <v>Email</v>
          </cell>
          <cell r="N1903">
            <v>276.66000000000003</v>
          </cell>
        </row>
        <row r="1904">
          <cell r="A1904" t="str">
            <v>ORD200702</v>
          </cell>
          <cell r="B1904">
            <v>45452</v>
          </cell>
          <cell r="C1904" t="str">
            <v>C33315</v>
          </cell>
          <cell r="D1904" t="str">
            <v>Printer</v>
          </cell>
          <cell r="E1904">
            <v>3</v>
          </cell>
          <cell r="F1904">
            <v>562.54999999999995</v>
          </cell>
          <cell r="G1904" t="str">
            <v>154 Main St</v>
          </cell>
          <cell r="H1904" t="str">
            <v>Debit Card</v>
          </cell>
          <cell r="I1904" t="str">
            <v>Returned</v>
          </cell>
          <cell r="J1904" t="str">
            <v>TRK43589369</v>
          </cell>
          <cell r="K1904">
            <v>6</v>
          </cell>
          <cell r="L1904" t="str">
            <v>No Coupon</v>
          </cell>
          <cell r="M1904" t="str">
            <v>Email</v>
          </cell>
          <cell r="N1904">
            <v>1687.65</v>
          </cell>
        </row>
        <row r="1905">
          <cell r="A1905" t="str">
            <v>ORD200703</v>
          </cell>
          <cell r="B1905">
            <v>45007</v>
          </cell>
          <cell r="C1905" t="str">
            <v>C89336</v>
          </cell>
          <cell r="D1905" t="str">
            <v>Desk</v>
          </cell>
          <cell r="E1905">
            <v>1</v>
          </cell>
          <cell r="F1905">
            <v>92.79</v>
          </cell>
          <cell r="G1905" t="str">
            <v>799 Main St</v>
          </cell>
          <cell r="H1905" t="str">
            <v>Cash</v>
          </cell>
          <cell r="I1905" t="str">
            <v>Pending</v>
          </cell>
          <cell r="J1905" t="str">
            <v>TRK47665103</v>
          </cell>
          <cell r="K1905">
            <v>3</v>
          </cell>
          <cell r="L1905" t="str">
            <v>WINTER15</v>
          </cell>
          <cell r="M1905" t="str">
            <v>Email</v>
          </cell>
          <cell r="N1905">
            <v>92.79</v>
          </cell>
        </row>
        <row r="1906">
          <cell r="A1906" t="str">
            <v>ORD200704</v>
          </cell>
          <cell r="B1906">
            <v>45080</v>
          </cell>
          <cell r="C1906" t="str">
            <v>C96034</v>
          </cell>
          <cell r="D1906" t="str">
            <v>Desk</v>
          </cell>
          <cell r="E1906">
            <v>4</v>
          </cell>
          <cell r="F1906">
            <v>30.27</v>
          </cell>
          <cell r="G1906" t="str">
            <v>819 Main St</v>
          </cell>
          <cell r="H1906" t="str">
            <v>Online</v>
          </cell>
          <cell r="I1906" t="str">
            <v>Delivered</v>
          </cell>
          <cell r="J1906" t="str">
            <v>TRK87261034</v>
          </cell>
          <cell r="K1906">
            <v>9</v>
          </cell>
          <cell r="L1906" t="str">
            <v>FREESHIP</v>
          </cell>
          <cell r="M1906" t="str">
            <v>Google</v>
          </cell>
          <cell r="N1906">
            <v>121.08</v>
          </cell>
        </row>
        <row r="1907">
          <cell r="A1907" t="str">
            <v>ORD200705</v>
          </cell>
          <cell r="B1907">
            <v>45746</v>
          </cell>
          <cell r="C1907" t="str">
            <v>C50114</v>
          </cell>
          <cell r="D1907" t="str">
            <v>Monitor</v>
          </cell>
          <cell r="E1907">
            <v>2</v>
          </cell>
          <cell r="F1907">
            <v>49.08</v>
          </cell>
          <cell r="G1907" t="str">
            <v>420 Main St</v>
          </cell>
          <cell r="H1907" t="str">
            <v>Debit Card</v>
          </cell>
          <cell r="I1907" t="str">
            <v>Returned</v>
          </cell>
          <cell r="J1907" t="str">
            <v>TRK20214786</v>
          </cell>
          <cell r="K1907">
            <v>7</v>
          </cell>
          <cell r="L1907" t="str">
            <v>FREESHIP</v>
          </cell>
          <cell r="M1907" t="str">
            <v>Instagram</v>
          </cell>
          <cell r="N1907">
            <v>98.16</v>
          </cell>
        </row>
        <row r="1908">
          <cell r="A1908" t="str">
            <v>ORD200706</v>
          </cell>
          <cell r="B1908">
            <v>45718</v>
          </cell>
          <cell r="C1908" t="str">
            <v>C85330</v>
          </cell>
          <cell r="D1908" t="str">
            <v>Desk</v>
          </cell>
          <cell r="E1908">
            <v>5</v>
          </cell>
          <cell r="F1908">
            <v>228.09</v>
          </cell>
          <cell r="G1908" t="str">
            <v>969 Main St</v>
          </cell>
          <cell r="H1908" t="str">
            <v>Gift Card</v>
          </cell>
          <cell r="I1908" t="str">
            <v>Returned</v>
          </cell>
          <cell r="J1908" t="str">
            <v>TRK97693301</v>
          </cell>
          <cell r="K1908">
            <v>9</v>
          </cell>
          <cell r="L1908" t="str">
            <v>FREESHIP</v>
          </cell>
          <cell r="M1908" t="str">
            <v>Facebook</v>
          </cell>
          <cell r="N1908">
            <v>1140.45</v>
          </cell>
        </row>
        <row r="1909">
          <cell r="A1909" t="str">
            <v>ORD200707</v>
          </cell>
          <cell r="B1909">
            <v>45597</v>
          </cell>
          <cell r="C1909" t="str">
            <v>C31761</v>
          </cell>
          <cell r="D1909" t="str">
            <v>Chair</v>
          </cell>
          <cell r="E1909">
            <v>4</v>
          </cell>
          <cell r="F1909">
            <v>650.04</v>
          </cell>
          <cell r="G1909" t="str">
            <v>989 Main St</v>
          </cell>
          <cell r="H1909" t="str">
            <v>Gift Card</v>
          </cell>
          <cell r="I1909" t="str">
            <v>Cancelled</v>
          </cell>
          <cell r="J1909" t="str">
            <v>TRK17628852</v>
          </cell>
          <cell r="K1909">
            <v>6</v>
          </cell>
          <cell r="L1909" t="str">
            <v>SAVE10</v>
          </cell>
          <cell r="M1909" t="str">
            <v>Facebook</v>
          </cell>
          <cell r="N1909">
            <v>2600.16</v>
          </cell>
        </row>
        <row r="1910">
          <cell r="A1910" t="str">
            <v>ORD200708</v>
          </cell>
          <cell r="B1910">
            <v>45720</v>
          </cell>
          <cell r="C1910" t="str">
            <v>C25268</v>
          </cell>
          <cell r="D1910" t="str">
            <v>Printer</v>
          </cell>
          <cell r="E1910">
            <v>1</v>
          </cell>
          <cell r="F1910">
            <v>665.11</v>
          </cell>
          <cell r="G1910" t="str">
            <v>788 Main St</v>
          </cell>
          <cell r="H1910" t="str">
            <v>Cash</v>
          </cell>
          <cell r="I1910" t="str">
            <v>Pending</v>
          </cell>
          <cell r="J1910" t="str">
            <v>TRK20481215</v>
          </cell>
          <cell r="K1910">
            <v>3</v>
          </cell>
          <cell r="L1910" t="str">
            <v>FREESHIP</v>
          </cell>
          <cell r="M1910" t="str">
            <v>Instagram</v>
          </cell>
          <cell r="N1910">
            <v>665.11</v>
          </cell>
        </row>
        <row r="1911">
          <cell r="A1911" t="str">
            <v>ORD200709</v>
          </cell>
          <cell r="B1911">
            <v>45633</v>
          </cell>
          <cell r="C1911" t="str">
            <v>C17132</v>
          </cell>
          <cell r="D1911" t="str">
            <v>Desk</v>
          </cell>
          <cell r="E1911">
            <v>1</v>
          </cell>
          <cell r="F1911">
            <v>386.03</v>
          </cell>
          <cell r="G1911" t="str">
            <v>855 Main St</v>
          </cell>
          <cell r="H1911" t="str">
            <v>Online</v>
          </cell>
          <cell r="I1911" t="str">
            <v>Pending</v>
          </cell>
          <cell r="J1911" t="str">
            <v>TRK37504692</v>
          </cell>
          <cell r="K1911">
            <v>4</v>
          </cell>
          <cell r="L1911" t="str">
            <v>FREESHIP</v>
          </cell>
          <cell r="M1911" t="str">
            <v>Google</v>
          </cell>
          <cell r="N1911">
            <v>386.03</v>
          </cell>
        </row>
        <row r="1912">
          <cell r="A1912" t="str">
            <v>ORD200710</v>
          </cell>
          <cell r="B1912">
            <v>45495</v>
          </cell>
          <cell r="C1912" t="str">
            <v>C48790</v>
          </cell>
          <cell r="D1912" t="str">
            <v>Laptop</v>
          </cell>
          <cell r="E1912">
            <v>5</v>
          </cell>
          <cell r="F1912">
            <v>21.54</v>
          </cell>
          <cell r="G1912" t="str">
            <v>113 Main St</v>
          </cell>
          <cell r="H1912" t="str">
            <v>Gift Card</v>
          </cell>
          <cell r="I1912" t="str">
            <v>Returned</v>
          </cell>
          <cell r="J1912" t="str">
            <v>TRK19086608</v>
          </cell>
          <cell r="K1912">
            <v>10</v>
          </cell>
          <cell r="L1912" t="str">
            <v>No Coupon</v>
          </cell>
          <cell r="M1912" t="str">
            <v>Google</v>
          </cell>
          <cell r="N1912">
            <v>107.7</v>
          </cell>
        </row>
        <row r="1913">
          <cell r="A1913" t="str">
            <v>ORD200711</v>
          </cell>
          <cell r="B1913">
            <v>45477</v>
          </cell>
          <cell r="C1913" t="str">
            <v>C61070</v>
          </cell>
          <cell r="D1913" t="str">
            <v>Tablet</v>
          </cell>
          <cell r="E1913">
            <v>2</v>
          </cell>
          <cell r="F1913">
            <v>475.78</v>
          </cell>
          <cell r="G1913" t="str">
            <v>632 Main St</v>
          </cell>
          <cell r="H1913" t="str">
            <v>Online</v>
          </cell>
          <cell r="I1913" t="str">
            <v>Shipped</v>
          </cell>
          <cell r="J1913" t="str">
            <v>TRK90764894</v>
          </cell>
          <cell r="K1913">
            <v>2</v>
          </cell>
          <cell r="L1913" t="str">
            <v>WINTER15</v>
          </cell>
          <cell r="M1913" t="str">
            <v>Google</v>
          </cell>
          <cell r="N1913">
            <v>951.56</v>
          </cell>
        </row>
        <row r="1914">
          <cell r="A1914" t="str">
            <v>ORD200712</v>
          </cell>
          <cell r="B1914">
            <v>45300</v>
          </cell>
          <cell r="C1914" t="str">
            <v>C56969</v>
          </cell>
          <cell r="D1914" t="str">
            <v>Tablet</v>
          </cell>
          <cell r="E1914">
            <v>2</v>
          </cell>
          <cell r="F1914">
            <v>68.400000000000006</v>
          </cell>
          <cell r="G1914" t="str">
            <v>993 Main St</v>
          </cell>
          <cell r="H1914" t="str">
            <v>Gift Card</v>
          </cell>
          <cell r="I1914" t="str">
            <v>Pending</v>
          </cell>
          <cell r="J1914" t="str">
            <v>TRK10513339</v>
          </cell>
          <cell r="K1914">
            <v>7</v>
          </cell>
          <cell r="L1914" t="str">
            <v>FREESHIP</v>
          </cell>
          <cell r="M1914" t="str">
            <v>Email</v>
          </cell>
          <cell r="N1914">
            <v>136.80000000000001</v>
          </cell>
        </row>
        <row r="1915">
          <cell r="A1915" t="str">
            <v>ORD200713</v>
          </cell>
          <cell r="B1915">
            <v>45829</v>
          </cell>
          <cell r="C1915" t="str">
            <v>C65056</v>
          </cell>
          <cell r="D1915" t="str">
            <v>Tablet</v>
          </cell>
          <cell r="E1915">
            <v>4</v>
          </cell>
          <cell r="F1915">
            <v>532.49</v>
          </cell>
          <cell r="G1915" t="str">
            <v>638 Main St</v>
          </cell>
          <cell r="H1915" t="str">
            <v>Online</v>
          </cell>
          <cell r="I1915" t="str">
            <v>Cancelled</v>
          </cell>
          <cell r="J1915" t="str">
            <v>TRK31705278</v>
          </cell>
          <cell r="K1915">
            <v>6</v>
          </cell>
          <cell r="L1915" t="str">
            <v>SAVE10</v>
          </cell>
          <cell r="M1915" t="str">
            <v>Facebook</v>
          </cell>
          <cell r="N1915">
            <v>2129.96</v>
          </cell>
        </row>
        <row r="1916">
          <cell r="A1916" t="str">
            <v>ORD200714</v>
          </cell>
          <cell r="B1916">
            <v>45037</v>
          </cell>
          <cell r="C1916" t="str">
            <v>C84888</v>
          </cell>
          <cell r="D1916" t="str">
            <v>Laptop</v>
          </cell>
          <cell r="E1916">
            <v>1</v>
          </cell>
          <cell r="F1916">
            <v>51.73</v>
          </cell>
          <cell r="G1916" t="str">
            <v>278 Main St</v>
          </cell>
          <cell r="H1916" t="str">
            <v>Debit Card</v>
          </cell>
          <cell r="I1916" t="str">
            <v>Pending</v>
          </cell>
          <cell r="J1916" t="str">
            <v>TRK23612847</v>
          </cell>
          <cell r="K1916">
            <v>1</v>
          </cell>
          <cell r="L1916" t="str">
            <v>FREESHIP</v>
          </cell>
          <cell r="M1916" t="str">
            <v>Facebook</v>
          </cell>
          <cell r="N1916">
            <v>51.73</v>
          </cell>
        </row>
        <row r="1917">
          <cell r="A1917" t="str">
            <v>ORD200715</v>
          </cell>
          <cell r="B1917">
            <v>45499</v>
          </cell>
          <cell r="C1917" t="str">
            <v>C68266</v>
          </cell>
          <cell r="D1917" t="str">
            <v>Printer</v>
          </cell>
          <cell r="E1917">
            <v>3</v>
          </cell>
          <cell r="F1917">
            <v>653.63</v>
          </cell>
          <cell r="G1917" t="str">
            <v>281 Main St</v>
          </cell>
          <cell r="H1917" t="str">
            <v>Online</v>
          </cell>
          <cell r="I1917" t="str">
            <v>Delivered</v>
          </cell>
          <cell r="J1917" t="str">
            <v>TRK96161062</v>
          </cell>
          <cell r="K1917">
            <v>7</v>
          </cell>
          <cell r="L1917" t="str">
            <v>FREESHIP</v>
          </cell>
          <cell r="M1917" t="str">
            <v>Email</v>
          </cell>
          <cell r="N1917">
            <v>1960.89</v>
          </cell>
        </row>
        <row r="1918">
          <cell r="A1918" t="str">
            <v>ORD200716</v>
          </cell>
          <cell r="B1918">
            <v>45456</v>
          </cell>
          <cell r="C1918" t="str">
            <v>C84115</v>
          </cell>
          <cell r="D1918" t="str">
            <v>Chair</v>
          </cell>
          <cell r="E1918">
            <v>3</v>
          </cell>
          <cell r="F1918">
            <v>454.29</v>
          </cell>
          <cell r="G1918" t="str">
            <v>891 Main St</v>
          </cell>
          <cell r="H1918" t="str">
            <v>Credit Card</v>
          </cell>
          <cell r="I1918" t="str">
            <v>Pending</v>
          </cell>
          <cell r="J1918" t="str">
            <v>TRK25466842</v>
          </cell>
          <cell r="K1918">
            <v>4</v>
          </cell>
          <cell r="L1918" t="str">
            <v>WINTER15</v>
          </cell>
          <cell r="M1918" t="str">
            <v>Google</v>
          </cell>
          <cell r="N1918">
            <v>1362.87</v>
          </cell>
        </row>
        <row r="1919">
          <cell r="A1919" t="str">
            <v>ORD200717</v>
          </cell>
          <cell r="B1919">
            <v>45215</v>
          </cell>
          <cell r="C1919" t="str">
            <v>C50087</v>
          </cell>
          <cell r="D1919" t="str">
            <v>Chair</v>
          </cell>
          <cell r="E1919">
            <v>3</v>
          </cell>
          <cell r="F1919">
            <v>122.11</v>
          </cell>
          <cell r="G1919" t="str">
            <v>707 Main St</v>
          </cell>
          <cell r="H1919" t="str">
            <v>Online</v>
          </cell>
          <cell r="I1919" t="str">
            <v>Delivered</v>
          </cell>
          <cell r="J1919" t="str">
            <v>TRK31143760</v>
          </cell>
          <cell r="K1919">
            <v>4</v>
          </cell>
          <cell r="L1919" t="str">
            <v>WINTER15</v>
          </cell>
          <cell r="M1919" t="str">
            <v>Email</v>
          </cell>
          <cell r="N1919">
            <v>366.33</v>
          </cell>
        </row>
        <row r="1920">
          <cell r="A1920" t="str">
            <v>ORD200718</v>
          </cell>
          <cell r="B1920">
            <v>45024</v>
          </cell>
          <cell r="C1920" t="str">
            <v>C16790</v>
          </cell>
          <cell r="D1920" t="str">
            <v>Laptop</v>
          </cell>
          <cell r="E1920">
            <v>4</v>
          </cell>
          <cell r="F1920">
            <v>64.739999999999995</v>
          </cell>
          <cell r="G1920" t="str">
            <v>718 Main St</v>
          </cell>
          <cell r="H1920" t="str">
            <v>Gift Card</v>
          </cell>
          <cell r="I1920" t="str">
            <v>Cancelled</v>
          </cell>
          <cell r="J1920" t="str">
            <v>TRK91791367</v>
          </cell>
          <cell r="K1920">
            <v>8</v>
          </cell>
          <cell r="L1920" t="str">
            <v>SAVE10</v>
          </cell>
          <cell r="M1920" t="str">
            <v>Google</v>
          </cell>
          <cell r="N1920">
            <v>258.95999999999998</v>
          </cell>
        </row>
        <row r="1921">
          <cell r="A1921" t="str">
            <v>ORD200719</v>
          </cell>
          <cell r="B1921">
            <v>45312</v>
          </cell>
          <cell r="C1921" t="str">
            <v>C46920</v>
          </cell>
          <cell r="D1921" t="str">
            <v>Laptop</v>
          </cell>
          <cell r="E1921">
            <v>2</v>
          </cell>
          <cell r="F1921">
            <v>681.06</v>
          </cell>
          <cell r="G1921" t="str">
            <v>703 Main St</v>
          </cell>
          <cell r="H1921" t="str">
            <v>Debit Card</v>
          </cell>
          <cell r="I1921" t="str">
            <v>Shipped</v>
          </cell>
          <cell r="J1921" t="str">
            <v>TRK86403837</v>
          </cell>
          <cell r="K1921">
            <v>3</v>
          </cell>
          <cell r="L1921" t="str">
            <v>FREESHIP</v>
          </cell>
          <cell r="M1921" t="str">
            <v>Facebook</v>
          </cell>
          <cell r="N1921">
            <v>1362.12</v>
          </cell>
        </row>
        <row r="1922">
          <cell r="A1922" t="str">
            <v>ORD200720</v>
          </cell>
          <cell r="B1922">
            <v>45190</v>
          </cell>
          <cell r="C1922" t="str">
            <v>C12740</v>
          </cell>
          <cell r="D1922" t="str">
            <v>Desk</v>
          </cell>
          <cell r="E1922">
            <v>5</v>
          </cell>
          <cell r="F1922">
            <v>128.94999999999999</v>
          </cell>
          <cell r="G1922" t="str">
            <v>305 Main St</v>
          </cell>
          <cell r="H1922" t="str">
            <v>Cash</v>
          </cell>
          <cell r="I1922" t="str">
            <v>Pending</v>
          </cell>
          <cell r="J1922" t="str">
            <v>TRK98506513</v>
          </cell>
          <cell r="K1922">
            <v>10</v>
          </cell>
          <cell r="L1922" t="str">
            <v>FREESHIP</v>
          </cell>
          <cell r="M1922" t="str">
            <v>Instagram</v>
          </cell>
          <cell r="N1922">
            <v>644.75</v>
          </cell>
        </row>
        <row r="1923">
          <cell r="A1923" t="str">
            <v>ORD200721</v>
          </cell>
          <cell r="B1923">
            <v>45369</v>
          </cell>
          <cell r="C1923" t="str">
            <v>C46557</v>
          </cell>
          <cell r="D1923" t="str">
            <v>Desk</v>
          </cell>
          <cell r="E1923">
            <v>2</v>
          </cell>
          <cell r="F1923">
            <v>118.59</v>
          </cell>
          <cell r="G1923" t="str">
            <v>890 Main St</v>
          </cell>
          <cell r="H1923" t="str">
            <v>Credit Card</v>
          </cell>
          <cell r="I1923" t="str">
            <v>Delivered</v>
          </cell>
          <cell r="J1923" t="str">
            <v>TRK56110689</v>
          </cell>
          <cell r="K1923">
            <v>2</v>
          </cell>
          <cell r="L1923" t="str">
            <v>No Coupon</v>
          </cell>
          <cell r="M1923" t="str">
            <v>Email</v>
          </cell>
          <cell r="N1923">
            <v>237.18</v>
          </cell>
        </row>
        <row r="1924">
          <cell r="A1924" t="str">
            <v>ORD200722</v>
          </cell>
          <cell r="B1924">
            <v>45611</v>
          </cell>
          <cell r="C1924" t="str">
            <v>C58156</v>
          </cell>
          <cell r="D1924" t="str">
            <v>Printer</v>
          </cell>
          <cell r="E1924">
            <v>1</v>
          </cell>
          <cell r="F1924">
            <v>95.1</v>
          </cell>
          <cell r="G1924" t="str">
            <v>516 Main St</v>
          </cell>
          <cell r="H1924" t="str">
            <v>Gift Card</v>
          </cell>
          <cell r="I1924" t="str">
            <v>Pending</v>
          </cell>
          <cell r="J1924" t="str">
            <v>TRK49719458</v>
          </cell>
          <cell r="K1924">
            <v>1</v>
          </cell>
          <cell r="L1924" t="str">
            <v>WINTER15</v>
          </cell>
          <cell r="M1924" t="str">
            <v>Instagram</v>
          </cell>
          <cell r="N1924">
            <v>95.1</v>
          </cell>
        </row>
        <row r="1925">
          <cell r="A1925" t="str">
            <v>ORD200723</v>
          </cell>
          <cell r="B1925">
            <v>45269</v>
          </cell>
          <cell r="C1925" t="str">
            <v>C14455</v>
          </cell>
          <cell r="D1925" t="str">
            <v>Desk</v>
          </cell>
          <cell r="E1925">
            <v>3</v>
          </cell>
          <cell r="F1925">
            <v>54.95</v>
          </cell>
          <cell r="G1925" t="str">
            <v>385 Main St</v>
          </cell>
          <cell r="H1925" t="str">
            <v>Cash</v>
          </cell>
          <cell r="I1925" t="str">
            <v>Returned</v>
          </cell>
          <cell r="J1925" t="str">
            <v>TRK50933724</v>
          </cell>
          <cell r="K1925">
            <v>8</v>
          </cell>
          <cell r="L1925" t="str">
            <v>SAVE10</v>
          </cell>
          <cell r="M1925" t="str">
            <v>Referral</v>
          </cell>
          <cell r="N1925">
            <v>164.85</v>
          </cell>
        </row>
        <row r="1926">
          <cell r="A1926" t="str">
            <v>ORD200724</v>
          </cell>
          <cell r="B1926">
            <v>45583</v>
          </cell>
          <cell r="C1926" t="str">
            <v>C63150</v>
          </cell>
          <cell r="D1926" t="str">
            <v>Printer</v>
          </cell>
          <cell r="E1926">
            <v>3</v>
          </cell>
          <cell r="F1926">
            <v>136.97</v>
          </cell>
          <cell r="G1926" t="str">
            <v>326 Main St</v>
          </cell>
          <cell r="H1926" t="str">
            <v>Credit Card</v>
          </cell>
          <cell r="I1926" t="str">
            <v>Returned</v>
          </cell>
          <cell r="J1926" t="str">
            <v>TRK19348078</v>
          </cell>
          <cell r="K1926">
            <v>4</v>
          </cell>
          <cell r="L1926" t="str">
            <v>FREESHIP</v>
          </cell>
          <cell r="M1926" t="str">
            <v>Referral</v>
          </cell>
          <cell r="N1926">
            <v>410.91</v>
          </cell>
        </row>
        <row r="1927">
          <cell r="A1927" t="str">
            <v>ORD200725</v>
          </cell>
          <cell r="B1927">
            <v>44997</v>
          </cell>
          <cell r="C1927" t="str">
            <v>C95269</v>
          </cell>
          <cell r="D1927" t="str">
            <v>Chair</v>
          </cell>
          <cell r="E1927">
            <v>2</v>
          </cell>
          <cell r="F1927">
            <v>194.85</v>
          </cell>
          <cell r="G1927" t="str">
            <v>372 Main St</v>
          </cell>
          <cell r="H1927" t="str">
            <v>Gift Card</v>
          </cell>
          <cell r="I1927" t="str">
            <v>Returned</v>
          </cell>
          <cell r="J1927" t="str">
            <v>TRK45670926</v>
          </cell>
          <cell r="K1927">
            <v>5</v>
          </cell>
          <cell r="L1927" t="str">
            <v>No Coupon</v>
          </cell>
          <cell r="M1927" t="str">
            <v>Referral</v>
          </cell>
          <cell r="N1927">
            <v>389.7</v>
          </cell>
        </row>
        <row r="1928">
          <cell r="A1928" t="str">
            <v>ORD200726</v>
          </cell>
          <cell r="B1928">
            <v>45590</v>
          </cell>
          <cell r="C1928" t="str">
            <v>C18105</v>
          </cell>
          <cell r="D1928" t="str">
            <v>Laptop</v>
          </cell>
          <cell r="E1928">
            <v>4</v>
          </cell>
          <cell r="F1928">
            <v>583.02</v>
          </cell>
          <cell r="G1928" t="str">
            <v>338 Main St</v>
          </cell>
          <cell r="H1928" t="str">
            <v>Online</v>
          </cell>
          <cell r="I1928" t="str">
            <v>Delivered</v>
          </cell>
          <cell r="J1928" t="str">
            <v>TRK94006117</v>
          </cell>
          <cell r="K1928">
            <v>4</v>
          </cell>
          <cell r="L1928" t="str">
            <v>FREESHIP</v>
          </cell>
          <cell r="M1928" t="str">
            <v>Facebook</v>
          </cell>
          <cell r="N1928">
            <v>2332.08</v>
          </cell>
        </row>
        <row r="1929">
          <cell r="A1929" t="str">
            <v>ORD200727</v>
          </cell>
          <cell r="B1929">
            <v>45564</v>
          </cell>
          <cell r="C1929" t="str">
            <v>C29063</v>
          </cell>
          <cell r="D1929" t="str">
            <v>Chair</v>
          </cell>
          <cell r="E1929">
            <v>5</v>
          </cell>
          <cell r="F1929">
            <v>95.75</v>
          </cell>
          <cell r="G1929" t="str">
            <v>379 Main St</v>
          </cell>
          <cell r="H1929" t="str">
            <v>Online</v>
          </cell>
          <cell r="I1929" t="str">
            <v>Shipped</v>
          </cell>
          <cell r="J1929" t="str">
            <v>TRK92745947</v>
          </cell>
          <cell r="K1929">
            <v>8</v>
          </cell>
          <cell r="L1929" t="str">
            <v>SAVE10</v>
          </cell>
          <cell r="M1929" t="str">
            <v>Instagram</v>
          </cell>
          <cell r="N1929">
            <v>478.75</v>
          </cell>
        </row>
        <row r="1930">
          <cell r="A1930" t="str">
            <v>ORD200728</v>
          </cell>
          <cell r="B1930">
            <v>45502</v>
          </cell>
          <cell r="C1930" t="str">
            <v>C10154</v>
          </cell>
          <cell r="D1930" t="str">
            <v>Desk</v>
          </cell>
          <cell r="E1930">
            <v>4</v>
          </cell>
          <cell r="F1930">
            <v>325.76</v>
          </cell>
          <cell r="G1930" t="str">
            <v>827 Main St</v>
          </cell>
          <cell r="H1930" t="str">
            <v>Gift Card</v>
          </cell>
          <cell r="I1930" t="str">
            <v>Shipped</v>
          </cell>
          <cell r="J1930" t="str">
            <v>TRK79793300</v>
          </cell>
          <cell r="K1930">
            <v>8</v>
          </cell>
          <cell r="L1930" t="str">
            <v>WINTER15</v>
          </cell>
          <cell r="M1930" t="str">
            <v>Email</v>
          </cell>
          <cell r="N1930">
            <v>1303.04</v>
          </cell>
        </row>
        <row r="1931">
          <cell r="A1931" t="str">
            <v>ORD200729</v>
          </cell>
          <cell r="B1931">
            <v>45177</v>
          </cell>
          <cell r="C1931" t="str">
            <v>C36997</v>
          </cell>
          <cell r="D1931" t="str">
            <v>Phone</v>
          </cell>
          <cell r="E1931">
            <v>4</v>
          </cell>
          <cell r="F1931">
            <v>186.41</v>
          </cell>
          <cell r="G1931" t="str">
            <v>819 Main St</v>
          </cell>
          <cell r="H1931" t="str">
            <v>Gift Card</v>
          </cell>
          <cell r="I1931" t="str">
            <v>Pending</v>
          </cell>
          <cell r="J1931" t="str">
            <v>TRK92794872</v>
          </cell>
          <cell r="K1931">
            <v>6</v>
          </cell>
          <cell r="L1931" t="str">
            <v>SAVE10</v>
          </cell>
          <cell r="M1931" t="str">
            <v>Google</v>
          </cell>
          <cell r="N1931">
            <v>745.64</v>
          </cell>
        </row>
        <row r="1932">
          <cell r="A1932" t="str">
            <v>ORD200730</v>
          </cell>
          <cell r="B1932">
            <v>45710</v>
          </cell>
          <cell r="C1932" t="str">
            <v>C77357</v>
          </cell>
          <cell r="D1932" t="str">
            <v>Phone</v>
          </cell>
          <cell r="E1932">
            <v>1</v>
          </cell>
          <cell r="F1932">
            <v>474.6</v>
          </cell>
          <cell r="G1932" t="str">
            <v>407 Main St</v>
          </cell>
          <cell r="H1932" t="str">
            <v>Debit Card</v>
          </cell>
          <cell r="I1932" t="str">
            <v>Delivered</v>
          </cell>
          <cell r="J1932" t="str">
            <v>TRK91943923</v>
          </cell>
          <cell r="K1932">
            <v>4</v>
          </cell>
          <cell r="L1932" t="str">
            <v>SAVE10</v>
          </cell>
          <cell r="M1932" t="str">
            <v>Email</v>
          </cell>
          <cell r="N1932">
            <v>474.6</v>
          </cell>
        </row>
        <row r="1933">
          <cell r="A1933" t="str">
            <v>ORD200731</v>
          </cell>
          <cell r="B1933">
            <v>45450</v>
          </cell>
          <cell r="C1933" t="str">
            <v>C71310</v>
          </cell>
          <cell r="D1933" t="str">
            <v>Printer</v>
          </cell>
          <cell r="E1933">
            <v>5</v>
          </cell>
          <cell r="F1933">
            <v>584.46</v>
          </cell>
          <cell r="G1933" t="str">
            <v>308 Main St</v>
          </cell>
          <cell r="H1933" t="str">
            <v>Credit Card</v>
          </cell>
          <cell r="I1933" t="str">
            <v>Returned</v>
          </cell>
          <cell r="J1933" t="str">
            <v>TRK48292586</v>
          </cell>
          <cell r="K1933">
            <v>8</v>
          </cell>
          <cell r="L1933" t="str">
            <v>No Coupon</v>
          </cell>
          <cell r="M1933" t="str">
            <v>Email</v>
          </cell>
          <cell r="N1933">
            <v>2922.3</v>
          </cell>
        </row>
        <row r="1934">
          <cell r="A1934" t="str">
            <v>ORD200732</v>
          </cell>
          <cell r="B1934">
            <v>45723</v>
          </cell>
          <cell r="C1934" t="str">
            <v>C80987</v>
          </cell>
          <cell r="D1934" t="str">
            <v>Laptop</v>
          </cell>
          <cell r="E1934">
            <v>1</v>
          </cell>
          <cell r="F1934">
            <v>132.05000000000001</v>
          </cell>
          <cell r="G1934" t="str">
            <v>787 Main St</v>
          </cell>
          <cell r="H1934" t="str">
            <v>Online</v>
          </cell>
          <cell r="I1934" t="str">
            <v>Delivered</v>
          </cell>
          <cell r="J1934" t="str">
            <v>TRK42187776</v>
          </cell>
          <cell r="K1934">
            <v>2</v>
          </cell>
          <cell r="L1934" t="str">
            <v>No Coupon</v>
          </cell>
          <cell r="M1934" t="str">
            <v>Google</v>
          </cell>
          <cell r="N1934">
            <v>132.05000000000001</v>
          </cell>
        </row>
        <row r="1935">
          <cell r="A1935" t="str">
            <v>ORD200733</v>
          </cell>
          <cell r="B1935">
            <v>45264</v>
          </cell>
          <cell r="C1935" t="str">
            <v>C90757</v>
          </cell>
          <cell r="D1935" t="str">
            <v>Tablet</v>
          </cell>
          <cell r="E1935">
            <v>4</v>
          </cell>
          <cell r="F1935">
            <v>494.84</v>
          </cell>
          <cell r="G1935" t="str">
            <v>694 Main St</v>
          </cell>
          <cell r="H1935" t="str">
            <v>Cash</v>
          </cell>
          <cell r="I1935" t="str">
            <v>Returned</v>
          </cell>
          <cell r="J1935" t="str">
            <v>TRK87991608</v>
          </cell>
          <cell r="K1935">
            <v>8</v>
          </cell>
          <cell r="L1935" t="str">
            <v>SAVE10</v>
          </cell>
          <cell r="M1935" t="str">
            <v>Email</v>
          </cell>
          <cell r="N1935">
            <v>1979.36</v>
          </cell>
        </row>
        <row r="1936">
          <cell r="A1936" t="str">
            <v>ORD200734</v>
          </cell>
          <cell r="B1936">
            <v>45314</v>
          </cell>
          <cell r="C1936" t="str">
            <v>C51898</v>
          </cell>
          <cell r="D1936" t="str">
            <v>Printer</v>
          </cell>
          <cell r="E1936">
            <v>4</v>
          </cell>
          <cell r="F1936">
            <v>224.61</v>
          </cell>
          <cell r="G1936" t="str">
            <v>630 Main St</v>
          </cell>
          <cell r="H1936" t="str">
            <v>Credit Card</v>
          </cell>
          <cell r="I1936" t="str">
            <v>Returned</v>
          </cell>
          <cell r="J1936" t="str">
            <v>TRK19767885</v>
          </cell>
          <cell r="K1936">
            <v>6</v>
          </cell>
          <cell r="L1936" t="str">
            <v>WINTER15</v>
          </cell>
          <cell r="M1936" t="str">
            <v>Facebook</v>
          </cell>
          <cell r="N1936">
            <v>898.44</v>
          </cell>
        </row>
        <row r="1937">
          <cell r="A1937" t="str">
            <v>ORD200735</v>
          </cell>
          <cell r="B1937">
            <v>45471</v>
          </cell>
          <cell r="C1937" t="str">
            <v>C94508</v>
          </cell>
          <cell r="D1937" t="str">
            <v>Monitor</v>
          </cell>
          <cell r="E1937">
            <v>4</v>
          </cell>
          <cell r="F1937">
            <v>44.07</v>
          </cell>
          <cell r="G1937" t="str">
            <v>359 Main St</v>
          </cell>
          <cell r="H1937" t="str">
            <v>Debit Card</v>
          </cell>
          <cell r="I1937" t="str">
            <v>Pending</v>
          </cell>
          <cell r="J1937" t="str">
            <v>TRK13443264</v>
          </cell>
          <cell r="K1937">
            <v>6</v>
          </cell>
          <cell r="L1937" t="str">
            <v>No Coupon</v>
          </cell>
          <cell r="M1937" t="str">
            <v>Email</v>
          </cell>
          <cell r="N1937">
            <v>176.28</v>
          </cell>
        </row>
        <row r="1938">
          <cell r="A1938" t="str">
            <v>ORD200736</v>
          </cell>
          <cell r="B1938">
            <v>45331</v>
          </cell>
          <cell r="C1938" t="str">
            <v>C59441</v>
          </cell>
          <cell r="D1938" t="str">
            <v>Monitor</v>
          </cell>
          <cell r="E1938">
            <v>5</v>
          </cell>
          <cell r="F1938">
            <v>418.53</v>
          </cell>
          <cell r="G1938" t="str">
            <v>696 Main St</v>
          </cell>
          <cell r="H1938" t="str">
            <v>Credit Card</v>
          </cell>
          <cell r="I1938" t="str">
            <v>Pending</v>
          </cell>
          <cell r="J1938" t="str">
            <v>TRK66186874</v>
          </cell>
          <cell r="K1938">
            <v>6</v>
          </cell>
          <cell r="L1938" t="str">
            <v>FREESHIP</v>
          </cell>
          <cell r="M1938" t="str">
            <v>Google</v>
          </cell>
          <cell r="N1938">
            <v>2092.65</v>
          </cell>
        </row>
        <row r="1939">
          <cell r="A1939" t="str">
            <v>ORD200737</v>
          </cell>
          <cell r="B1939">
            <v>45294</v>
          </cell>
          <cell r="C1939" t="str">
            <v>C91029</v>
          </cell>
          <cell r="D1939" t="str">
            <v>Phone</v>
          </cell>
          <cell r="E1939">
            <v>4</v>
          </cell>
          <cell r="F1939">
            <v>532.87</v>
          </cell>
          <cell r="G1939" t="str">
            <v>972 Main St</v>
          </cell>
          <cell r="H1939" t="str">
            <v>Cash</v>
          </cell>
          <cell r="I1939" t="str">
            <v>Pending</v>
          </cell>
          <cell r="J1939" t="str">
            <v>TRK25501930</v>
          </cell>
          <cell r="K1939">
            <v>9</v>
          </cell>
          <cell r="L1939" t="str">
            <v>FREESHIP</v>
          </cell>
          <cell r="M1939" t="str">
            <v>Instagram</v>
          </cell>
          <cell r="N1939">
            <v>2131.48</v>
          </cell>
        </row>
        <row r="1940">
          <cell r="A1940" t="str">
            <v>ORD200738</v>
          </cell>
          <cell r="B1940">
            <v>45812</v>
          </cell>
          <cell r="C1940" t="str">
            <v>C96261</v>
          </cell>
          <cell r="D1940" t="str">
            <v>Phone</v>
          </cell>
          <cell r="E1940">
            <v>2</v>
          </cell>
          <cell r="F1940">
            <v>485.37</v>
          </cell>
          <cell r="G1940" t="str">
            <v>264 Main St</v>
          </cell>
          <cell r="H1940" t="str">
            <v>Credit Card</v>
          </cell>
          <cell r="I1940" t="str">
            <v>Shipped</v>
          </cell>
          <cell r="J1940" t="str">
            <v>TRK44998396</v>
          </cell>
          <cell r="K1940">
            <v>5</v>
          </cell>
          <cell r="L1940" t="str">
            <v>SAVE10</v>
          </cell>
          <cell r="M1940" t="str">
            <v>Email</v>
          </cell>
          <cell r="N1940">
            <v>970.74</v>
          </cell>
        </row>
        <row r="1941">
          <cell r="A1941" t="str">
            <v>ORD200739</v>
          </cell>
          <cell r="B1941">
            <v>45456</v>
          </cell>
          <cell r="C1941" t="str">
            <v>C35123</v>
          </cell>
          <cell r="D1941" t="str">
            <v>Phone</v>
          </cell>
          <cell r="E1941">
            <v>4</v>
          </cell>
          <cell r="F1941">
            <v>386.73</v>
          </cell>
          <cell r="G1941" t="str">
            <v>513 Main St</v>
          </cell>
          <cell r="H1941" t="str">
            <v>Cash</v>
          </cell>
          <cell r="I1941" t="str">
            <v>Delivered</v>
          </cell>
          <cell r="J1941" t="str">
            <v>TRK58979275</v>
          </cell>
          <cell r="K1941">
            <v>4</v>
          </cell>
          <cell r="L1941" t="str">
            <v>SAVE10</v>
          </cell>
          <cell r="M1941" t="str">
            <v>Facebook</v>
          </cell>
          <cell r="N1941">
            <v>1546.92</v>
          </cell>
        </row>
        <row r="1942">
          <cell r="A1942" t="str">
            <v>ORD200740</v>
          </cell>
          <cell r="B1942">
            <v>45493</v>
          </cell>
          <cell r="C1942" t="str">
            <v>C10892</v>
          </cell>
          <cell r="D1942" t="str">
            <v>Desk</v>
          </cell>
          <cell r="E1942">
            <v>2</v>
          </cell>
          <cell r="F1942">
            <v>377.47</v>
          </cell>
          <cell r="G1942" t="str">
            <v>433 Main St</v>
          </cell>
          <cell r="H1942" t="str">
            <v>Cash</v>
          </cell>
          <cell r="I1942" t="str">
            <v>Pending</v>
          </cell>
          <cell r="J1942" t="str">
            <v>TRK76154554</v>
          </cell>
          <cell r="K1942">
            <v>7</v>
          </cell>
          <cell r="L1942" t="str">
            <v>No Coupon</v>
          </cell>
          <cell r="M1942" t="str">
            <v>Google</v>
          </cell>
          <cell r="N1942">
            <v>754.94</v>
          </cell>
        </row>
        <row r="1943">
          <cell r="A1943" t="str">
            <v>ORD200741</v>
          </cell>
          <cell r="B1943">
            <v>45680</v>
          </cell>
          <cell r="C1943" t="str">
            <v>C99683</v>
          </cell>
          <cell r="D1943" t="str">
            <v>Monitor</v>
          </cell>
          <cell r="E1943">
            <v>5</v>
          </cell>
          <cell r="F1943">
            <v>332.64</v>
          </cell>
          <cell r="G1943" t="str">
            <v>945 Main St</v>
          </cell>
          <cell r="H1943" t="str">
            <v>Gift Card</v>
          </cell>
          <cell r="I1943" t="str">
            <v>Delivered</v>
          </cell>
          <cell r="J1943" t="str">
            <v>TRK87305883</v>
          </cell>
          <cell r="K1943">
            <v>10</v>
          </cell>
          <cell r="L1943" t="str">
            <v>No Coupon</v>
          </cell>
          <cell r="M1943" t="str">
            <v>Referral</v>
          </cell>
          <cell r="N1943">
            <v>1663.2</v>
          </cell>
        </row>
        <row r="1944">
          <cell r="A1944" t="str">
            <v>ORD200742</v>
          </cell>
          <cell r="B1944">
            <v>45626</v>
          </cell>
          <cell r="C1944" t="str">
            <v>C41974</v>
          </cell>
          <cell r="D1944" t="str">
            <v>Laptop</v>
          </cell>
          <cell r="E1944">
            <v>3</v>
          </cell>
          <cell r="F1944">
            <v>699.93</v>
          </cell>
          <cell r="G1944" t="str">
            <v>726 Main St</v>
          </cell>
          <cell r="H1944" t="str">
            <v>Cash</v>
          </cell>
          <cell r="I1944" t="str">
            <v>Returned</v>
          </cell>
          <cell r="J1944" t="str">
            <v>TRK48051468</v>
          </cell>
          <cell r="K1944">
            <v>7</v>
          </cell>
          <cell r="L1944" t="str">
            <v>SAVE10</v>
          </cell>
          <cell r="M1944" t="str">
            <v>Google</v>
          </cell>
          <cell r="N1944">
            <v>2099.79</v>
          </cell>
        </row>
        <row r="1945">
          <cell r="A1945" t="str">
            <v>ORD200743</v>
          </cell>
          <cell r="B1945">
            <v>45565</v>
          </cell>
          <cell r="C1945" t="str">
            <v>C23978</v>
          </cell>
          <cell r="D1945" t="str">
            <v>Monitor</v>
          </cell>
          <cell r="E1945">
            <v>1</v>
          </cell>
          <cell r="F1945">
            <v>576.35</v>
          </cell>
          <cell r="G1945" t="str">
            <v>549 Main St</v>
          </cell>
          <cell r="H1945" t="str">
            <v>Gift Card</v>
          </cell>
          <cell r="I1945" t="str">
            <v>Returned</v>
          </cell>
          <cell r="J1945" t="str">
            <v>TRK87090813</v>
          </cell>
          <cell r="K1945">
            <v>1</v>
          </cell>
          <cell r="L1945" t="str">
            <v>WINTER15</v>
          </cell>
          <cell r="M1945" t="str">
            <v>Instagram</v>
          </cell>
          <cell r="N1945">
            <v>576.35</v>
          </cell>
        </row>
        <row r="1946">
          <cell r="A1946" t="str">
            <v>ORD200744</v>
          </cell>
          <cell r="B1946">
            <v>45455</v>
          </cell>
          <cell r="C1946" t="str">
            <v>C10642</v>
          </cell>
          <cell r="D1946" t="str">
            <v>Tablet</v>
          </cell>
          <cell r="E1946">
            <v>2</v>
          </cell>
          <cell r="F1946">
            <v>461.37</v>
          </cell>
          <cell r="G1946" t="str">
            <v>200 Main St</v>
          </cell>
          <cell r="H1946" t="str">
            <v>Cash</v>
          </cell>
          <cell r="I1946" t="str">
            <v>Delivered</v>
          </cell>
          <cell r="J1946" t="str">
            <v>TRK98725693</v>
          </cell>
          <cell r="K1946">
            <v>5</v>
          </cell>
          <cell r="L1946" t="str">
            <v>SAVE10</v>
          </cell>
          <cell r="M1946" t="str">
            <v>Google</v>
          </cell>
          <cell r="N1946">
            <v>922.74</v>
          </cell>
        </row>
        <row r="1947">
          <cell r="A1947" t="str">
            <v>ORD200745</v>
          </cell>
          <cell r="B1947">
            <v>44987</v>
          </cell>
          <cell r="C1947" t="str">
            <v>C73813</v>
          </cell>
          <cell r="D1947" t="str">
            <v>Printer</v>
          </cell>
          <cell r="E1947">
            <v>4</v>
          </cell>
          <cell r="F1947">
            <v>111.3</v>
          </cell>
          <cell r="G1947" t="str">
            <v>364 Main St</v>
          </cell>
          <cell r="H1947" t="str">
            <v>Debit Card</v>
          </cell>
          <cell r="I1947" t="str">
            <v>Pending</v>
          </cell>
          <cell r="J1947" t="str">
            <v>TRK89906749</v>
          </cell>
          <cell r="K1947">
            <v>7</v>
          </cell>
          <cell r="L1947" t="str">
            <v>FREESHIP</v>
          </cell>
          <cell r="M1947" t="str">
            <v>Email</v>
          </cell>
          <cell r="N1947">
            <v>445.2</v>
          </cell>
        </row>
        <row r="1948">
          <cell r="A1948" t="str">
            <v>ORD200746</v>
          </cell>
          <cell r="B1948">
            <v>45712</v>
          </cell>
          <cell r="C1948" t="str">
            <v>C32183</v>
          </cell>
          <cell r="D1948" t="str">
            <v>Desk</v>
          </cell>
          <cell r="E1948">
            <v>3</v>
          </cell>
          <cell r="F1948">
            <v>661.89</v>
          </cell>
          <cell r="G1948" t="str">
            <v>551 Main St</v>
          </cell>
          <cell r="H1948" t="str">
            <v>Online</v>
          </cell>
          <cell r="I1948" t="str">
            <v>Cancelled</v>
          </cell>
          <cell r="J1948" t="str">
            <v>TRK76287027</v>
          </cell>
          <cell r="K1948">
            <v>6</v>
          </cell>
          <cell r="L1948" t="str">
            <v>WINTER15</v>
          </cell>
          <cell r="M1948" t="str">
            <v>Referral</v>
          </cell>
          <cell r="N1948">
            <v>1985.67</v>
          </cell>
        </row>
        <row r="1949">
          <cell r="A1949" t="str">
            <v>ORD200747</v>
          </cell>
          <cell r="B1949">
            <v>45728</v>
          </cell>
          <cell r="C1949" t="str">
            <v>C54277</v>
          </cell>
          <cell r="D1949" t="str">
            <v>Tablet</v>
          </cell>
          <cell r="E1949">
            <v>2</v>
          </cell>
          <cell r="F1949">
            <v>259.58</v>
          </cell>
          <cell r="G1949" t="str">
            <v>940 Main St</v>
          </cell>
          <cell r="H1949" t="str">
            <v>Debit Card</v>
          </cell>
          <cell r="I1949" t="str">
            <v>Delivered</v>
          </cell>
          <cell r="J1949" t="str">
            <v>TRK26500181</v>
          </cell>
          <cell r="K1949">
            <v>7</v>
          </cell>
          <cell r="L1949" t="str">
            <v>FREESHIP</v>
          </cell>
          <cell r="M1949" t="str">
            <v>Instagram</v>
          </cell>
          <cell r="N1949">
            <v>519.16</v>
          </cell>
        </row>
        <row r="1950">
          <cell r="A1950" t="str">
            <v>ORD200748</v>
          </cell>
          <cell r="B1950">
            <v>45488</v>
          </cell>
          <cell r="C1950" t="str">
            <v>C56553</v>
          </cell>
          <cell r="D1950" t="str">
            <v>Tablet</v>
          </cell>
          <cell r="E1950">
            <v>3</v>
          </cell>
          <cell r="F1950">
            <v>70.81</v>
          </cell>
          <cell r="G1950" t="str">
            <v>249 Main St</v>
          </cell>
          <cell r="H1950" t="str">
            <v>Credit Card</v>
          </cell>
          <cell r="I1950" t="str">
            <v>Shipped</v>
          </cell>
          <cell r="J1950" t="str">
            <v>TRK37667360</v>
          </cell>
          <cell r="K1950">
            <v>8</v>
          </cell>
          <cell r="L1950" t="str">
            <v>FREESHIP</v>
          </cell>
          <cell r="M1950" t="str">
            <v>Referral</v>
          </cell>
          <cell r="N1950">
            <v>212.43</v>
          </cell>
        </row>
        <row r="1951">
          <cell r="A1951" t="str">
            <v>ORD200749</v>
          </cell>
          <cell r="B1951">
            <v>45760</v>
          </cell>
          <cell r="C1951" t="str">
            <v>C17551</v>
          </cell>
          <cell r="D1951" t="str">
            <v>Laptop</v>
          </cell>
          <cell r="E1951">
            <v>1</v>
          </cell>
          <cell r="F1951">
            <v>518.39</v>
          </cell>
          <cell r="G1951" t="str">
            <v>997 Main St</v>
          </cell>
          <cell r="H1951" t="str">
            <v>Debit Card</v>
          </cell>
          <cell r="I1951" t="str">
            <v>Pending</v>
          </cell>
          <cell r="J1951" t="str">
            <v>TRK88797170</v>
          </cell>
          <cell r="K1951">
            <v>4</v>
          </cell>
          <cell r="L1951" t="str">
            <v>FREESHIP</v>
          </cell>
          <cell r="M1951" t="str">
            <v>Instagram</v>
          </cell>
          <cell r="N1951">
            <v>518.39</v>
          </cell>
        </row>
        <row r="1952">
          <cell r="A1952" t="str">
            <v>ORD200750</v>
          </cell>
          <cell r="B1952">
            <v>44940</v>
          </cell>
          <cell r="C1952" t="str">
            <v>C14737</v>
          </cell>
          <cell r="D1952" t="str">
            <v>Tablet</v>
          </cell>
          <cell r="E1952">
            <v>4</v>
          </cell>
          <cell r="F1952">
            <v>145.41</v>
          </cell>
          <cell r="G1952" t="str">
            <v>637 Main St</v>
          </cell>
          <cell r="H1952" t="str">
            <v>Credit Card</v>
          </cell>
          <cell r="I1952" t="str">
            <v>Returned</v>
          </cell>
          <cell r="J1952" t="str">
            <v>TRK10295115</v>
          </cell>
          <cell r="K1952">
            <v>7</v>
          </cell>
          <cell r="L1952" t="str">
            <v>FREESHIP</v>
          </cell>
          <cell r="M1952" t="str">
            <v>Email</v>
          </cell>
          <cell r="N1952">
            <v>581.64</v>
          </cell>
        </row>
        <row r="1953">
          <cell r="A1953" t="str">
            <v>ORD200751</v>
          </cell>
          <cell r="B1953">
            <v>44950</v>
          </cell>
          <cell r="C1953" t="str">
            <v>C35168</v>
          </cell>
          <cell r="D1953" t="str">
            <v>Tablet</v>
          </cell>
          <cell r="E1953">
            <v>2</v>
          </cell>
          <cell r="F1953">
            <v>599.86</v>
          </cell>
          <cell r="G1953" t="str">
            <v>455 Main St</v>
          </cell>
          <cell r="H1953" t="str">
            <v>Gift Card</v>
          </cell>
          <cell r="I1953" t="str">
            <v>Pending</v>
          </cell>
          <cell r="J1953" t="str">
            <v>TRK76960854</v>
          </cell>
          <cell r="K1953">
            <v>7</v>
          </cell>
          <cell r="L1953" t="str">
            <v>FREESHIP</v>
          </cell>
          <cell r="M1953" t="str">
            <v>Facebook</v>
          </cell>
          <cell r="N1953">
            <v>1199.72</v>
          </cell>
        </row>
        <row r="1954">
          <cell r="A1954" t="str">
            <v>ORD200752</v>
          </cell>
          <cell r="B1954">
            <v>45568</v>
          </cell>
          <cell r="C1954" t="str">
            <v>C82217</v>
          </cell>
          <cell r="D1954" t="str">
            <v>Phone</v>
          </cell>
          <cell r="E1954">
            <v>4</v>
          </cell>
          <cell r="F1954">
            <v>429.37</v>
          </cell>
          <cell r="G1954" t="str">
            <v>299 Main St</v>
          </cell>
          <cell r="H1954" t="str">
            <v>Credit Card</v>
          </cell>
          <cell r="I1954" t="str">
            <v>Delivered</v>
          </cell>
          <cell r="J1954" t="str">
            <v>TRK33305694</v>
          </cell>
          <cell r="K1954">
            <v>8</v>
          </cell>
          <cell r="L1954" t="str">
            <v>FREESHIP</v>
          </cell>
          <cell r="M1954" t="str">
            <v>Google</v>
          </cell>
          <cell r="N1954">
            <v>1717.48</v>
          </cell>
        </row>
        <row r="1955">
          <cell r="A1955" t="str">
            <v>ORD200753</v>
          </cell>
          <cell r="B1955">
            <v>45406</v>
          </cell>
          <cell r="C1955" t="str">
            <v>C42270</v>
          </cell>
          <cell r="D1955" t="str">
            <v>Phone</v>
          </cell>
          <cell r="E1955">
            <v>2</v>
          </cell>
          <cell r="F1955">
            <v>241.49</v>
          </cell>
          <cell r="G1955" t="str">
            <v>864 Main St</v>
          </cell>
          <cell r="H1955" t="str">
            <v>Debit Card</v>
          </cell>
          <cell r="I1955" t="str">
            <v>Returned</v>
          </cell>
          <cell r="J1955" t="str">
            <v>TRK72697796</v>
          </cell>
          <cell r="K1955">
            <v>7</v>
          </cell>
          <cell r="L1955" t="str">
            <v>FREESHIP</v>
          </cell>
          <cell r="M1955" t="str">
            <v>Instagram</v>
          </cell>
          <cell r="N1955">
            <v>482.98</v>
          </cell>
        </row>
        <row r="1956">
          <cell r="A1956" t="str">
            <v>ORD200754</v>
          </cell>
          <cell r="B1956">
            <v>45808</v>
          </cell>
          <cell r="C1956" t="str">
            <v>C48846</v>
          </cell>
          <cell r="D1956" t="str">
            <v>Printer</v>
          </cell>
          <cell r="E1956">
            <v>2</v>
          </cell>
          <cell r="F1956">
            <v>452.05</v>
          </cell>
          <cell r="G1956" t="str">
            <v>983 Main St</v>
          </cell>
          <cell r="H1956" t="str">
            <v>Credit Card</v>
          </cell>
          <cell r="I1956" t="str">
            <v>Returned</v>
          </cell>
          <cell r="J1956" t="str">
            <v>TRK52804097</v>
          </cell>
          <cell r="K1956">
            <v>3</v>
          </cell>
          <cell r="L1956" t="str">
            <v>WINTER15</v>
          </cell>
          <cell r="M1956" t="str">
            <v>Email</v>
          </cell>
          <cell r="N1956">
            <v>904.1</v>
          </cell>
        </row>
        <row r="1957">
          <cell r="A1957" t="str">
            <v>ORD200755</v>
          </cell>
          <cell r="B1957">
            <v>45090</v>
          </cell>
          <cell r="C1957" t="str">
            <v>C54160</v>
          </cell>
          <cell r="D1957" t="str">
            <v>Desk</v>
          </cell>
          <cell r="E1957">
            <v>3</v>
          </cell>
          <cell r="F1957">
            <v>336.71</v>
          </cell>
          <cell r="G1957" t="str">
            <v>658 Main St</v>
          </cell>
          <cell r="H1957" t="str">
            <v>Credit Card</v>
          </cell>
          <cell r="I1957" t="str">
            <v>Pending</v>
          </cell>
          <cell r="J1957" t="str">
            <v>TRK60515972</v>
          </cell>
          <cell r="K1957">
            <v>4</v>
          </cell>
          <cell r="L1957" t="str">
            <v>No Coupon</v>
          </cell>
          <cell r="M1957" t="str">
            <v>Email</v>
          </cell>
          <cell r="N1957">
            <v>1010.13</v>
          </cell>
        </row>
        <row r="1958">
          <cell r="A1958" t="str">
            <v>ORD200756</v>
          </cell>
          <cell r="B1958">
            <v>45470</v>
          </cell>
          <cell r="C1958" t="str">
            <v>C14080</v>
          </cell>
          <cell r="D1958" t="str">
            <v>Phone</v>
          </cell>
          <cell r="E1958">
            <v>1</v>
          </cell>
          <cell r="F1958">
            <v>283.69</v>
          </cell>
          <cell r="G1958" t="str">
            <v>202 Main St</v>
          </cell>
          <cell r="H1958" t="str">
            <v>Gift Card</v>
          </cell>
          <cell r="I1958" t="str">
            <v>Shipped</v>
          </cell>
          <cell r="J1958" t="str">
            <v>TRK93163682</v>
          </cell>
          <cell r="K1958">
            <v>6</v>
          </cell>
          <cell r="L1958" t="str">
            <v>No Coupon</v>
          </cell>
          <cell r="M1958" t="str">
            <v>Google</v>
          </cell>
          <cell r="N1958">
            <v>283.69</v>
          </cell>
        </row>
        <row r="1959">
          <cell r="A1959" t="str">
            <v>ORD200757</v>
          </cell>
          <cell r="B1959">
            <v>45344</v>
          </cell>
          <cell r="C1959" t="str">
            <v>C81074</v>
          </cell>
          <cell r="D1959" t="str">
            <v>Desk</v>
          </cell>
          <cell r="E1959">
            <v>1</v>
          </cell>
          <cell r="F1959">
            <v>157.72</v>
          </cell>
          <cell r="G1959" t="str">
            <v>597 Main St</v>
          </cell>
          <cell r="H1959" t="str">
            <v>Debit Card</v>
          </cell>
          <cell r="I1959" t="str">
            <v>Delivered</v>
          </cell>
          <cell r="J1959" t="str">
            <v>TRK91105190</v>
          </cell>
          <cell r="K1959">
            <v>2</v>
          </cell>
          <cell r="L1959" t="str">
            <v>FREESHIP</v>
          </cell>
          <cell r="M1959" t="str">
            <v>Google</v>
          </cell>
          <cell r="N1959">
            <v>157.72</v>
          </cell>
        </row>
        <row r="1960">
          <cell r="A1960" t="str">
            <v>ORD200758</v>
          </cell>
          <cell r="B1960">
            <v>45011</v>
          </cell>
          <cell r="C1960" t="str">
            <v>C69021</v>
          </cell>
          <cell r="D1960" t="str">
            <v>Tablet</v>
          </cell>
          <cell r="E1960">
            <v>3</v>
          </cell>
          <cell r="F1960">
            <v>624.84</v>
          </cell>
          <cell r="G1960" t="str">
            <v>917 Main St</v>
          </cell>
          <cell r="H1960" t="str">
            <v>Credit Card</v>
          </cell>
          <cell r="I1960" t="str">
            <v>Cancelled</v>
          </cell>
          <cell r="J1960" t="str">
            <v>TRK57148510</v>
          </cell>
          <cell r="K1960">
            <v>8</v>
          </cell>
          <cell r="L1960" t="str">
            <v>WINTER15</v>
          </cell>
          <cell r="M1960" t="str">
            <v>Facebook</v>
          </cell>
          <cell r="N1960">
            <v>1874.52</v>
          </cell>
        </row>
        <row r="1961">
          <cell r="A1961" t="str">
            <v>ORD200759</v>
          </cell>
          <cell r="B1961">
            <v>45131</v>
          </cell>
          <cell r="C1961" t="str">
            <v>C96283</v>
          </cell>
          <cell r="D1961" t="str">
            <v>Desk</v>
          </cell>
          <cell r="E1961">
            <v>3</v>
          </cell>
          <cell r="F1961">
            <v>308.01</v>
          </cell>
          <cell r="G1961" t="str">
            <v>366 Main St</v>
          </cell>
          <cell r="H1961" t="str">
            <v>Cash</v>
          </cell>
          <cell r="I1961" t="str">
            <v>Pending</v>
          </cell>
          <cell r="J1961" t="str">
            <v>TRK91784124</v>
          </cell>
          <cell r="K1961">
            <v>3</v>
          </cell>
          <cell r="L1961" t="str">
            <v>FREESHIP</v>
          </cell>
          <cell r="M1961" t="str">
            <v>Facebook</v>
          </cell>
          <cell r="N1961">
            <v>924.03</v>
          </cell>
        </row>
        <row r="1962">
          <cell r="A1962" t="str">
            <v>ORD200760</v>
          </cell>
          <cell r="B1962">
            <v>45706</v>
          </cell>
          <cell r="C1962" t="str">
            <v>C96636</v>
          </cell>
          <cell r="D1962" t="str">
            <v>Desk</v>
          </cell>
          <cell r="E1962">
            <v>1</v>
          </cell>
          <cell r="F1962">
            <v>39.56</v>
          </cell>
          <cell r="G1962" t="str">
            <v>283 Main St</v>
          </cell>
          <cell r="H1962" t="str">
            <v>Debit Card</v>
          </cell>
          <cell r="I1962" t="str">
            <v>Cancelled</v>
          </cell>
          <cell r="J1962" t="str">
            <v>TRK73324346</v>
          </cell>
          <cell r="K1962">
            <v>5</v>
          </cell>
          <cell r="L1962" t="str">
            <v>No Coupon</v>
          </cell>
          <cell r="M1962" t="str">
            <v>Google</v>
          </cell>
          <cell r="N1962">
            <v>39.56</v>
          </cell>
        </row>
        <row r="1963">
          <cell r="A1963" t="str">
            <v>ORD200761</v>
          </cell>
          <cell r="B1963">
            <v>45079</v>
          </cell>
          <cell r="C1963" t="str">
            <v>C37235</v>
          </cell>
          <cell r="D1963" t="str">
            <v>Desk</v>
          </cell>
          <cell r="E1963">
            <v>4</v>
          </cell>
          <cell r="F1963">
            <v>37.76</v>
          </cell>
          <cell r="G1963" t="str">
            <v>217 Main St</v>
          </cell>
          <cell r="H1963" t="str">
            <v>Debit Card</v>
          </cell>
          <cell r="I1963" t="str">
            <v>Delivered</v>
          </cell>
          <cell r="J1963" t="str">
            <v>TRK67789367</v>
          </cell>
          <cell r="K1963">
            <v>7</v>
          </cell>
          <cell r="L1963" t="str">
            <v>No Coupon</v>
          </cell>
          <cell r="M1963" t="str">
            <v>Google</v>
          </cell>
          <cell r="N1963">
            <v>151.04</v>
          </cell>
        </row>
        <row r="1964">
          <cell r="A1964" t="str">
            <v>ORD200762</v>
          </cell>
          <cell r="B1964">
            <v>45552</v>
          </cell>
          <cell r="C1964" t="str">
            <v>C12444</v>
          </cell>
          <cell r="D1964" t="str">
            <v>Phone</v>
          </cell>
          <cell r="E1964">
            <v>3</v>
          </cell>
          <cell r="F1964">
            <v>76.959999999999994</v>
          </cell>
          <cell r="G1964" t="str">
            <v>611 Main St</v>
          </cell>
          <cell r="H1964" t="str">
            <v>Cash</v>
          </cell>
          <cell r="I1964" t="str">
            <v>Returned</v>
          </cell>
          <cell r="J1964" t="str">
            <v>TRK97621403</v>
          </cell>
          <cell r="K1964">
            <v>8</v>
          </cell>
          <cell r="L1964" t="str">
            <v>FREESHIP</v>
          </cell>
          <cell r="M1964" t="str">
            <v>Email</v>
          </cell>
          <cell r="N1964">
            <v>230.88</v>
          </cell>
        </row>
        <row r="1965">
          <cell r="A1965" t="str">
            <v>ORD200763</v>
          </cell>
          <cell r="B1965">
            <v>45022</v>
          </cell>
          <cell r="C1965" t="str">
            <v>C79142</v>
          </cell>
          <cell r="D1965" t="str">
            <v>Laptop</v>
          </cell>
          <cell r="E1965">
            <v>1</v>
          </cell>
          <cell r="F1965">
            <v>569.96</v>
          </cell>
          <cell r="G1965" t="str">
            <v>533 Main St</v>
          </cell>
          <cell r="H1965" t="str">
            <v>Online</v>
          </cell>
          <cell r="I1965" t="str">
            <v>Delivered</v>
          </cell>
          <cell r="J1965" t="str">
            <v>TRK30915955</v>
          </cell>
          <cell r="K1965">
            <v>4</v>
          </cell>
          <cell r="L1965" t="str">
            <v>FREESHIP</v>
          </cell>
          <cell r="M1965" t="str">
            <v>Email</v>
          </cell>
          <cell r="N1965">
            <v>569.96</v>
          </cell>
        </row>
        <row r="1966">
          <cell r="A1966" t="str">
            <v>ORD200764</v>
          </cell>
          <cell r="B1966">
            <v>45361</v>
          </cell>
          <cell r="C1966" t="str">
            <v>C35983</v>
          </cell>
          <cell r="D1966" t="str">
            <v>Laptop</v>
          </cell>
          <cell r="E1966">
            <v>5</v>
          </cell>
          <cell r="F1966">
            <v>627.42999999999995</v>
          </cell>
          <cell r="G1966" t="str">
            <v>806 Main St</v>
          </cell>
          <cell r="H1966" t="str">
            <v>Credit Card</v>
          </cell>
          <cell r="I1966" t="str">
            <v>Cancelled</v>
          </cell>
          <cell r="J1966" t="str">
            <v>TRK14016163</v>
          </cell>
          <cell r="K1966">
            <v>10</v>
          </cell>
          <cell r="L1966" t="str">
            <v>FREESHIP</v>
          </cell>
          <cell r="M1966" t="str">
            <v>Email</v>
          </cell>
          <cell r="N1966">
            <v>3137.15</v>
          </cell>
        </row>
        <row r="1967">
          <cell r="A1967" t="str">
            <v>ORD200765</v>
          </cell>
          <cell r="B1967">
            <v>45205</v>
          </cell>
          <cell r="C1967" t="str">
            <v>C36150</v>
          </cell>
          <cell r="D1967" t="str">
            <v>Laptop</v>
          </cell>
          <cell r="E1967">
            <v>2</v>
          </cell>
          <cell r="F1967">
            <v>534.91</v>
          </cell>
          <cell r="G1967" t="str">
            <v>281 Main St</v>
          </cell>
          <cell r="H1967" t="str">
            <v>Debit Card</v>
          </cell>
          <cell r="I1967" t="str">
            <v>Returned</v>
          </cell>
          <cell r="J1967" t="str">
            <v>TRK96249043</v>
          </cell>
          <cell r="K1967">
            <v>5</v>
          </cell>
          <cell r="L1967" t="str">
            <v>SAVE10</v>
          </cell>
          <cell r="M1967" t="str">
            <v>Google</v>
          </cell>
          <cell r="N1967">
            <v>1069.82</v>
          </cell>
        </row>
        <row r="1968">
          <cell r="A1968" t="str">
            <v>ORD200766</v>
          </cell>
          <cell r="B1968">
            <v>44948</v>
          </cell>
          <cell r="C1968" t="str">
            <v>C91454</v>
          </cell>
          <cell r="D1968" t="str">
            <v>Printer</v>
          </cell>
          <cell r="E1968">
            <v>2</v>
          </cell>
          <cell r="F1968">
            <v>278.88</v>
          </cell>
          <cell r="G1968" t="str">
            <v>494 Main St</v>
          </cell>
          <cell r="H1968" t="str">
            <v>Debit Card</v>
          </cell>
          <cell r="I1968" t="str">
            <v>Pending</v>
          </cell>
          <cell r="J1968" t="str">
            <v>TRK99985340</v>
          </cell>
          <cell r="K1968">
            <v>3</v>
          </cell>
          <cell r="L1968" t="str">
            <v>FREESHIP</v>
          </cell>
          <cell r="M1968" t="str">
            <v>Referral</v>
          </cell>
          <cell r="N1968">
            <v>557.76</v>
          </cell>
        </row>
        <row r="1969">
          <cell r="A1969" t="str">
            <v>ORD200767</v>
          </cell>
          <cell r="B1969">
            <v>45765</v>
          </cell>
          <cell r="C1969" t="str">
            <v>C19368</v>
          </cell>
          <cell r="D1969" t="str">
            <v>Tablet</v>
          </cell>
          <cell r="E1969">
            <v>2</v>
          </cell>
          <cell r="F1969">
            <v>323.22000000000003</v>
          </cell>
          <cell r="G1969" t="str">
            <v>517 Main St</v>
          </cell>
          <cell r="H1969" t="str">
            <v>Credit Card</v>
          </cell>
          <cell r="I1969" t="str">
            <v>Delivered</v>
          </cell>
          <cell r="J1969" t="str">
            <v>TRK80436037</v>
          </cell>
          <cell r="K1969">
            <v>7</v>
          </cell>
          <cell r="L1969" t="str">
            <v>No Coupon</v>
          </cell>
          <cell r="M1969" t="str">
            <v>Instagram</v>
          </cell>
          <cell r="N1969">
            <v>646.44000000000005</v>
          </cell>
        </row>
        <row r="1970">
          <cell r="A1970" t="str">
            <v>ORD200768</v>
          </cell>
          <cell r="B1970">
            <v>45173</v>
          </cell>
          <cell r="C1970" t="str">
            <v>C35987</v>
          </cell>
          <cell r="D1970" t="str">
            <v>Tablet</v>
          </cell>
          <cell r="E1970">
            <v>5</v>
          </cell>
          <cell r="F1970">
            <v>653.46</v>
          </cell>
          <cell r="G1970" t="str">
            <v>165 Main St</v>
          </cell>
          <cell r="H1970" t="str">
            <v>Cash</v>
          </cell>
          <cell r="I1970" t="str">
            <v>Cancelled</v>
          </cell>
          <cell r="J1970" t="str">
            <v>TRK28918815</v>
          </cell>
          <cell r="K1970">
            <v>9</v>
          </cell>
          <cell r="L1970" t="str">
            <v>WINTER15</v>
          </cell>
          <cell r="M1970" t="str">
            <v>Email</v>
          </cell>
          <cell r="N1970">
            <v>3267.3</v>
          </cell>
        </row>
        <row r="1971">
          <cell r="A1971" t="str">
            <v>ORD200769</v>
          </cell>
          <cell r="B1971">
            <v>45113</v>
          </cell>
          <cell r="C1971" t="str">
            <v>C13366</v>
          </cell>
          <cell r="D1971" t="str">
            <v>Printer</v>
          </cell>
          <cell r="E1971">
            <v>4</v>
          </cell>
          <cell r="F1971">
            <v>678.55</v>
          </cell>
          <cell r="G1971" t="str">
            <v>568 Main St</v>
          </cell>
          <cell r="H1971" t="str">
            <v>Cash</v>
          </cell>
          <cell r="I1971" t="str">
            <v>Delivered</v>
          </cell>
          <cell r="J1971" t="str">
            <v>TRK98691410</v>
          </cell>
          <cell r="K1971">
            <v>5</v>
          </cell>
          <cell r="L1971" t="str">
            <v>No Coupon</v>
          </cell>
          <cell r="M1971" t="str">
            <v>Email</v>
          </cell>
          <cell r="N1971">
            <v>2714.2</v>
          </cell>
        </row>
        <row r="1972">
          <cell r="A1972" t="str">
            <v>ORD200770</v>
          </cell>
          <cell r="B1972">
            <v>45333</v>
          </cell>
          <cell r="C1972" t="str">
            <v>C72166</v>
          </cell>
          <cell r="D1972" t="str">
            <v>Desk</v>
          </cell>
          <cell r="E1972">
            <v>1</v>
          </cell>
          <cell r="F1972">
            <v>314.38</v>
          </cell>
          <cell r="G1972" t="str">
            <v>227 Main St</v>
          </cell>
          <cell r="H1972" t="str">
            <v>Online</v>
          </cell>
          <cell r="I1972" t="str">
            <v>Returned</v>
          </cell>
          <cell r="J1972" t="str">
            <v>TRK67733444</v>
          </cell>
          <cell r="K1972">
            <v>6</v>
          </cell>
          <cell r="L1972" t="str">
            <v>No Coupon</v>
          </cell>
          <cell r="M1972" t="str">
            <v>Google</v>
          </cell>
          <cell r="N1972">
            <v>314.38</v>
          </cell>
        </row>
        <row r="1973">
          <cell r="A1973" t="str">
            <v>ORD200771</v>
          </cell>
          <cell r="B1973">
            <v>45455</v>
          </cell>
          <cell r="C1973" t="str">
            <v>C20357</v>
          </cell>
          <cell r="D1973" t="str">
            <v>Phone</v>
          </cell>
          <cell r="E1973">
            <v>3</v>
          </cell>
          <cell r="F1973">
            <v>692.44</v>
          </cell>
          <cell r="G1973" t="str">
            <v>272 Main St</v>
          </cell>
          <cell r="H1973" t="str">
            <v>Debit Card</v>
          </cell>
          <cell r="I1973" t="str">
            <v>Cancelled</v>
          </cell>
          <cell r="J1973" t="str">
            <v>TRK82236408</v>
          </cell>
          <cell r="K1973">
            <v>8</v>
          </cell>
          <cell r="L1973" t="str">
            <v>FREESHIP</v>
          </cell>
          <cell r="M1973" t="str">
            <v>Google</v>
          </cell>
          <cell r="N1973">
            <v>2077.3200000000002</v>
          </cell>
        </row>
        <row r="1974">
          <cell r="A1974" t="str">
            <v>ORD200772</v>
          </cell>
          <cell r="B1974">
            <v>45501</v>
          </cell>
          <cell r="C1974" t="str">
            <v>C33802</v>
          </cell>
          <cell r="D1974" t="str">
            <v>Monitor</v>
          </cell>
          <cell r="E1974">
            <v>1</v>
          </cell>
          <cell r="F1974">
            <v>604.87</v>
          </cell>
          <cell r="G1974" t="str">
            <v>461 Main St</v>
          </cell>
          <cell r="H1974" t="str">
            <v>Online</v>
          </cell>
          <cell r="I1974" t="str">
            <v>Delivered</v>
          </cell>
          <cell r="J1974" t="str">
            <v>TRK25799478</v>
          </cell>
          <cell r="K1974">
            <v>4</v>
          </cell>
          <cell r="L1974" t="str">
            <v>No Coupon</v>
          </cell>
          <cell r="M1974" t="str">
            <v>Instagram</v>
          </cell>
          <cell r="N1974">
            <v>604.87</v>
          </cell>
        </row>
        <row r="1975">
          <cell r="A1975" t="str">
            <v>ORD200773</v>
          </cell>
          <cell r="B1975">
            <v>45836</v>
          </cell>
          <cell r="C1975" t="str">
            <v>C99205</v>
          </cell>
          <cell r="D1975" t="str">
            <v>Phone</v>
          </cell>
          <cell r="E1975">
            <v>2</v>
          </cell>
          <cell r="F1975">
            <v>512.33000000000004</v>
          </cell>
          <cell r="G1975" t="str">
            <v>415 Main St</v>
          </cell>
          <cell r="H1975" t="str">
            <v>Cash</v>
          </cell>
          <cell r="I1975" t="str">
            <v>Cancelled</v>
          </cell>
          <cell r="J1975" t="str">
            <v>TRK48904015</v>
          </cell>
          <cell r="K1975">
            <v>7</v>
          </cell>
          <cell r="L1975" t="str">
            <v>No Coupon</v>
          </cell>
          <cell r="M1975" t="str">
            <v>Facebook</v>
          </cell>
          <cell r="N1975">
            <v>1024.6600000000001</v>
          </cell>
        </row>
        <row r="1976">
          <cell r="A1976" t="str">
            <v>ORD200774</v>
          </cell>
          <cell r="B1976">
            <v>45762</v>
          </cell>
          <cell r="C1976" t="str">
            <v>C29701</v>
          </cell>
          <cell r="D1976" t="str">
            <v>Chair</v>
          </cell>
          <cell r="E1976">
            <v>3</v>
          </cell>
          <cell r="F1976">
            <v>20.54</v>
          </cell>
          <cell r="G1976" t="str">
            <v>257 Main St</v>
          </cell>
          <cell r="H1976" t="str">
            <v>Credit Card</v>
          </cell>
          <cell r="I1976" t="str">
            <v>Cancelled</v>
          </cell>
          <cell r="J1976" t="str">
            <v>TRK42266846</v>
          </cell>
          <cell r="K1976">
            <v>3</v>
          </cell>
          <cell r="L1976" t="str">
            <v>FREESHIP</v>
          </cell>
          <cell r="M1976" t="str">
            <v>Instagram</v>
          </cell>
          <cell r="N1976">
            <v>61.62</v>
          </cell>
        </row>
        <row r="1977">
          <cell r="A1977" t="str">
            <v>ORD200775</v>
          </cell>
          <cell r="B1977">
            <v>44989</v>
          </cell>
          <cell r="C1977" t="str">
            <v>C73941</v>
          </cell>
          <cell r="D1977" t="str">
            <v>Phone</v>
          </cell>
          <cell r="E1977">
            <v>2</v>
          </cell>
          <cell r="F1977">
            <v>625.22</v>
          </cell>
          <cell r="G1977" t="str">
            <v>569 Main St</v>
          </cell>
          <cell r="H1977" t="str">
            <v>Online</v>
          </cell>
          <cell r="I1977" t="str">
            <v>Cancelled</v>
          </cell>
          <cell r="J1977" t="str">
            <v>TRK22051900</v>
          </cell>
          <cell r="K1977">
            <v>5</v>
          </cell>
          <cell r="L1977" t="str">
            <v>No Coupon</v>
          </cell>
          <cell r="M1977" t="str">
            <v>Google</v>
          </cell>
          <cell r="N1977">
            <v>1250.44</v>
          </cell>
        </row>
        <row r="1978">
          <cell r="A1978" t="str">
            <v>ORD200776</v>
          </cell>
          <cell r="B1978">
            <v>45159</v>
          </cell>
          <cell r="C1978" t="str">
            <v>C69168</v>
          </cell>
          <cell r="D1978" t="str">
            <v>Tablet</v>
          </cell>
          <cell r="E1978">
            <v>1</v>
          </cell>
          <cell r="F1978">
            <v>21.19</v>
          </cell>
          <cell r="G1978" t="str">
            <v>482 Main St</v>
          </cell>
          <cell r="H1978" t="str">
            <v>Cash</v>
          </cell>
          <cell r="I1978" t="str">
            <v>Returned</v>
          </cell>
          <cell r="J1978" t="str">
            <v>TRK10446197</v>
          </cell>
          <cell r="K1978">
            <v>5</v>
          </cell>
          <cell r="L1978" t="str">
            <v>WINTER15</v>
          </cell>
          <cell r="M1978" t="str">
            <v>Google</v>
          </cell>
          <cell r="N1978">
            <v>21.19</v>
          </cell>
        </row>
        <row r="1979">
          <cell r="A1979" t="str">
            <v>ORD200777</v>
          </cell>
          <cell r="B1979">
            <v>45737</v>
          </cell>
          <cell r="C1979" t="str">
            <v>C66116</v>
          </cell>
          <cell r="D1979" t="str">
            <v>Chair</v>
          </cell>
          <cell r="E1979">
            <v>5</v>
          </cell>
          <cell r="F1979">
            <v>64.489999999999995</v>
          </cell>
          <cell r="G1979" t="str">
            <v>633 Main St</v>
          </cell>
          <cell r="H1979" t="str">
            <v>Online</v>
          </cell>
          <cell r="I1979" t="str">
            <v>Cancelled</v>
          </cell>
          <cell r="J1979" t="str">
            <v>TRK41967983</v>
          </cell>
          <cell r="K1979">
            <v>7</v>
          </cell>
          <cell r="L1979" t="str">
            <v>No Coupon</v>
          </cell>
          <cell r="M1979" t="str">
            <v>Facebook</v>
          </cell>
          <cell r="N1979">
            <v>322.45</v>
          </cell>
        </row>
        <row r="1980">
          <cell r="A1980" t="str">
            <v>ORD200778</v>
          </cell>
          <cell r="B1980">
            <v>45044</v>
          </cell>
          <cell r="C1980" t="str">
            <v>C85059</v>
          </cell>
          <cell r="D1980" t="str">
            <v>Laptop</v>
          </cell>
          <cell r="E1980">
            <v>4</v>
          </cell>
          <cell r="F1980">
            <v>246.85</v>
          </cell>
          <cell r="G1980" t="str">
            <v>316 Main St</v>
          </cell>
          <cell r="H1980" t="str">
            <v>Credit Card</v>
          </cell>
          <cell r="I1980" t="str">
            <v>Shipped</v>
          </cell>
          <cell r="J1980" t="str">
            <v>TRK56503740</v>
          </cell>
          <cell r="K1980">
            <v>8</v>
          </cell>
          <cell r="L1980" t="str">
            <v>WINTER15</v>
          </cell>
          <cell r="M1980" t="str">
            <v>Google</v>
          </cell>
          <cell r="N1980">
            <v>987.4</v>
          </cell>
        </row>
        <row r="1981">
          <cell r="A1981" t="str">
            <v>ORD200779</v>
          </cell>
          <cell r="B1981">
            <v>45261</v>
          </cell>
          <cell r="C1981" t="str">
            <v>C18076</v>
          </cell>
          <cell r="D1981" t="str">
            <v>Phone</v>
          </cell>
          <cell r="E1981">
            <v>3</v>
          </cell>
          <cell r="F1981">
            <v>588.74</v>
          </cell>
          <cell r="G1981" t="str">
            <v>751 Main St</v>
          </cell>
          <cell r="H1981" t="str">
            <v>Debit Card</v>
          </cell>
          <cell r="I1981" t="str">
            <v>Pending</v>
          </cell>
          <cell r="J1981" t="str">
            <v>TRK26661705</v>
          </cell>
          <cell r="K1981">
            <v>8</v>
          </cell>
          <cell r="L1981" t="str">
            <v>FREESHIP</v>
          </cell>
          <cell r="M1981" t="str">
            <v>Email</v>
          </cell>
          <cell r="N1981">
            <v>1766.22</v>
          </cell>
        </row>
        <row r="1982">
          <cell r="A1982" t="str">
            <v>ORD200780</v>
          </cell>
          <cell r="B1982">
            <v>45382</v>
          </cell>
          <cell r="C1982" t="str">
            <v>C41284</v>
          </cell>
          <cell r="D1982" t="str">
            <v>Laptop</v>
          </cell>
          <cell r="E1982">
            <v>4</v>
          </cell>
          <cell r="F1982">
            <v>184.48</v>
          </cell>
          <cell r="G1982" t="str">
            <v>661 Main St</v>
          </cell>
          <cell r="H1982" t="str">
            <v>Online</v>
          </cell>
          <cell r="I1982" t="str">
            <v>Cancelled</v>
          </cell>
          <cell r="J1982" t="str">
            <v>TRK73613128</v>
          </cell>
          <cell r="K1982">
            <v>4</v>
          </cell>
          <cell r="L1982" t="str">
            <v>WINTER15</v>
          </cell>
          <cell r="M1982" t="str">
            <v>Google</v>
          </cell>
          <cell r="N1982">
            <v>737.92</v>
          </cell>
        </row>
        <row r="1983">
          <cell r="A1983" t="str">
            <v>ORD200781</v>
          </cell>
          <cell r="B1983">
            <v>45301</v>
          </cell>
          <cell r="C1983" t="str">
            <v>C43524</v>
          </cell>
          <cell r="D1983" t="str">
            <v>Phone</v>
          </cell>
          <cell r="E1983">
            <v>5</v>
          </cell>
          <cell r="F1983">
            <v>524.26</v>
          </cell>
          <cell r="G1983" t="str">
            <v>934 Main St</v>
          </cell>
          <cell r="H1983" t="str">
            <v>Gift Card</v>
          </cell>
          <cell r="I1983" t="str">
            <v>Delivered</v>
          </cell>
          <cell r="J1983" t="str">
            <v>TRK51479426</v>
          </cell>
          <cell r="K1983">
            <v>5</v>
          </cell>
          <cell r="L1983" t="str">
            <v>FREESHIP</v>
          </cell>
          <cell r="M1983" t="str">
            <v>Referral</v>
          </cell>
          <cell r="N1983">
            <v>2621.3000000000002</v>
          </cell>
        </row>
        <row r="1984">
          <cell r="A1984" t="str">
            <v>ORD200782</v>
          </cell>
          <cell r="B1984">
            <v>45515</v>
          </cell>
          <cell r="C1984" t="str">
            <v>C58063</v>
          </cell>
          <cell r="D1984" t="str">
            <v>Monitor</v>
          </cell>
          <cell r="E1984">
            <v>2</v>
          </cell>
          <cell r="F1984">
            <v>493.63</v>
          </cell>
          <cell r="G1984" t="str">
            <v>167 Main St</v>
          </cell>
          <cell r="H1984" t="str">
            <v>Online</v>
          </cell>
          <cell r="I1984" t="str">
            <v>Returned</v>
          </cell>
          <cell r="J1984" t="str">
            <v>TRK50548869</v>
          </cell>
          <cell r="K1984">
            <v>6</v>
          </cell>
          <cell r="L1984" t="str">
            <v>SAVE10</v>
          </cell>
          <cell r="M1984" t="str">
            <v>Referral</v>
          </cell>
          <cell r="N1984">
            <v>987.26</v>
          </cell>
        </row>
        <row r="1985">
          <cell r="A1985" t="str">
            <v>ORD200783</v>
          </cell>
          <cell r="B1985">
            <v>45803</v>
          </cell>
          <cell r="C1985" t="str">
            <v>C19937</v>
          </cell>
          <cell r="D1985" t="str">
            <v>Printer</v>
          </cell>
          <cell r="E1985">
            <v>1</v>
          </cell>
          <cell r="F1985">
            <v>438.34</v>
          </cell>
          <cell r="G1985" t="str">
            <v>281 Main St</v>
          </cell>
          <cell r="H1985" t="str">
            <v>Gift Card</v>
          </cell>
          <cell r="I1985" t="str">
            <v>Returned</v>
          </cell>
          <cell r="J1985" t="str">
            <v>TRK46990083</v>
          </cell>
          <cell r="K1985">
            <v>5</v>
          </cell>
          <cell r="L1985" t="str">
            <v>FREESHIP</v>
          </cell>
          <cell r="M1985" t="str">
            <v>Facebook</v>
          </cell>
          <cell r="N1985">
            <v>438.34</v>
          </cell>
        </row>
        <row r="1986">
          <cell r="A1986" t="str">
            <v>ORD200784</v>
          </cell>
          <cell r="B1986">
            <v>45793</v>
          </cell>
          <cell r="C1986" t="str">
            <v>C21191</v>
          </cell>
          <cell r="D1986" t="str">
            <v>Laptop</v>
          </cell>
          <cell r="E1986">
            <v>1</v>
          </cell>
          <cell r="F1986">
            <v>325.81</v>
          </cell>
          <cell r="G1986" t="str">
            <v>232 Main St</v>
          </cell>
          <cell r="H1986" t="str">
            <v>Credit Card</v>
          </cell>
          <cell r="I1986" t="str">
            <v>Pending</v>
          </cell>
          <cell r="J1986" t="str">
            <v>TRK85771230</v>
          </cell>
          <cell r="K1986">
            <v>1</v>
          </cell>
          <cell r="L1986" t="str">
            <v>WINTER15</v>
          </cell>
          <cell r="M1986" t="str">
            <v>Referral</v>
          </cell>
          <cell r="N1986">
            <v>325.81</v>
          </cell>
        </row>
        <row r="1987">
          <cell r="A1987" t="str">
            <v>ORD200785</v>
          </cell>
          <cell r="B1987">
            <v>45136</v>
          </cell>
          <cell r="C1987" t="str">
            <v>C45862</v>
          </cell>
          <cell r="D1987" t="str">
            <v>Chair</v>
          </cell>
          <cell r="E1987">
            <v>1</v>
          </cell>
          <cell r="F1987">
            <v>176.1</v>
          </cell>
          <cell r="G1987" t="str">
            <v>342 Main St</v>
          </cell>
          <cell r="H1987" t="str">
            <v>Credit Card</v>
          </cell>
          <cell r="I1987" t="str">
            <v>Pending</v>
          </cell>
          <cell r="J1987" t="str">
            <v>TRK53089983</v>
          </cell>
          <cell r="K1987">
            <v>1</v>
          </cell>
          <cell r="L1987" t="str">
            <v>SAVE10</v>
          </cell>
          <cell r="M1987" t="str">
            <v>Instagram</v>
          </cell>
          <cell r="N1987">
            <v>176.1</v>
          </cell>
        </row>
        <row r="1988">
          <cell r="A1988" t="str">
            <v>ORD200786</v>
          </cell>
          <cell r="B1988">
            <v>45161</v>
          </cell>
          <cell r="C1988" t="str">
            <v>C39130</v>
          </cell>
          <cell r="D1988" t="str">
            <v>Chair</v>
          </cell>
          <cell r="E1988">
            <v>5</v>
          </cell>
          <cell r="F1988">
            <v>45.31</v>
          </cell>
          <cell r="G1988" t="str">
            <v>774 Main St</v>
          </cell>
          <cell r="H1988" t="str">
            <v>Online</v>
          </cell>
          <cell r="I1988" t="str">
            <v>Cancelled</v>
          </cell>
          <cell r="J1988" t="str">
            <v>TRK99583414</v>
          </cell>
          <cell r="K1988">
            <v>8</v>
          </cell>
          <cell r="L1988" t="str">
            <v>No Coupon</v>
          </cell>
          <cell r="M1988" t="str">
            <v>Referral</v>
          </cell>
          <cell r="N1988">
            <v>226.55</v>
          </cell>
        </row>
        <row r="1989">
          <cell r="A1989" t="str">
            <v>ORD200787</v>
          </cell>
          <cell r="B1989">
            <v>45368</v>
          </cell>
          <cell r="C1989" t="str">
            <v>C18167</v>
          </cell>
          <cell r="D1989" t="str">
            <v>Desk</v>
          </cell>
          <cell r="E1989">
            <v>4</v>
          </cell>
          <cell r="F1989">
            <v>221.96</v>
          </cell>
          <cell r="G1989" t="str">
            <v>193 Main St</v>
          </cell>
          <cell r="H1989" t="str">
            <v>Cash</v>
          </cell>
          <cell r="I1989" t="str">
            <v>Delivered</v>
          </cell>
          <cell r="J1989" t="str">
            <v>TRK36841089</v>
          </cell>
          <cell r="K1989">
            <v>7</v>
          </cell>
          <cell r="L1989" t="str">
            <v>No Coupon</v>
          </cell>
          <cell r="M1989" t="str">
            <v>Google</v>
          </cell>
          <cell r="N1989">
            <v>887.84</v>
          </cell>
        </row>
        <row r="1990">
          <cell r="A1990" t="str">
            <v>ORD200788</v>
          </cell>
          <cell r="B1990">
            <v>45232</v>
          </cell>
          <cell r="C1990" t="str">
            <v>C47307</v>
          </cell>
          <cell r="D1990" t="str">
            <v>Chair</v>
          </cell>
          <cell r="E1990">
            <v>2</v>
          </cell>
          <cell r="F1990">
            <v>601.42999999999995</v>
          </cell>
          <cell r="G1990" t="str">
            <v>761 Main St</v>
          </cell>
          <cell r="H1990" t="str">
            <v>Online</v>
          </cell>
          <cell r="I1990" t="str">
            <v>Pending</v>
          </cell>
          <cell r="J1990" t="str">
            <v>TRK43516112</v>
          </cell>
          <cell r="K1990">
            <v>5</v>
          </cell>
          <cell r="L1990" t="str">
            <v>FREESHIP</v>
          </cell>
          <cell r="M1990" t="str">
            <v>Instagram</v>
          </cell>
          <cell r="N1990">
            <v>1202.8599999999999</v>
          </cell>
        </row>
        <row r="1991">
          <cell r="A1991" t="str">
            <v>ORD200789</v>
          </cell>
          <cell r="B1991">
            <v>45155</v>
          </cell>
          <cell r="C1991" t="str">
            <v>C57276</v>
          </cell>
          <cell r="D1991" t="str">
            <v>Tablet</v>
          </cell>
          <cell r="E1991">
            <v>5</v>
          </cell>
          <cell r="F1991">
            <v>691.28</v>
          </cell>
          <cell r="G1991" t="str">
            <v>183 Main St</v>
          </cell>
          <cell r="H1991" t="str">
            <v>Online</v>
          </cell>
          <cell r="I1991" t="str">
            <v>Delivered</v>
          </cell>
          <cell r="J1991" t="str">
            <v>TRK75899752</v>
          </cell>
          <cell r="K1991">
            <v>10</v>
          </cell>
          <cell r="L1991" t="str">
            <v>SAVE10</v>
          </cell>
          <cell r="M1991" t="str">
            <v>Email</v>
          </cell>
          <cell r="N1991">
            <v>3456.4</v>
          </cell>
        </row>
        <row r="1992">
          <cell r="A1992" t="str">
            <v>ORD200790</v>
          </cell>
          <cell r="B1992">
            <v>45549</v>
          </cell>
          <cell r="C1992" t="str">
            <v>C38928</v>
          </cell>
          <cell r="D1992" t="str">
            <v>Laptop</v>
          </cell>
          <cell r="E1992">
            <v>4</v>
          </cell>
          <cell r="F1992">
            <v>417.89</v>
          </cell>
          <cell r="G1992" t="str">
            <v>302 Main St</v>
          </cell>
          <cell r="H1992" t="str">
            <v>Gift Card</v>
          </cell>
          <cell r="I1992" t="str">
            <v>Pending</v>
          </cell>
          <cell r="J1992" t="str">
            <v>TRK96636009</v>
          </cell>
          <cell r="K1992">
            <v>4</v>
          </cell>
          <cell r="L1992" t="str">
            <v>No Coupon</v>
          </cell>
          <cell r="M1992" t="str">
            <v>Google</v>
          </cell>
          <cell r="N1992">
            <v>1671.56</v>
          </cell>
        </row>
        <row r="1993">
          <cell r="A1993" t="str">
            <v>ORD200791</v>
          </cell>
          <cell r="B1993">
            <v>45304</v>
          </cell>
          <cell r="C1993" t="str">
            <v>C49710</v>
          </cell>
          <cell r="D1993" t="str">
            <v>Chair</v>
          </cell>
          <cell r="E1993">
            <v>4</v>
          </cell>
          <cell r="F1993">
            <v>409.28</v>
          </cell>
          <cell r="G1993" t="str">
            <v>956 Main St</v>
          </cell>
          <cell r="H1993" t="str">
            <v>Cash</v>
          </cell>
          <cell r="I1993" t="str">
            <v>Pending</v>
          </cell>
          <cell r="J1993" t="str">
            <v>TRK92591237</v>
          </cell>
          <cell r="K1993">
            <v>8</v>
          </cell>
          <cell r="L1993" t="str">
            <v>No Coupon</v>
          </cell>
          <cell r="M1993" t="str">
            <v>Email</v>
          </cell>
          <cell r="N1993">
            <v>1637.12</v>
          </cell>
        </row>
        <row r="1994">
          <cell r="A1994" t="str">
            <v>ORD200792</v>
          </cell>
          <cell r="B1994">
            <v>45093</v>
          </cell>
          <cell r="C1994" t="str">
            <v>C41709</v>
          </cell>
          <cell r="D1994" t="str">
            <v>Desk</v>
          </cell>
          <cell r="E1994">
            <v>2</v>
          </cell>
          <cell r="F1994">
            <v>356.35</v>
          </cell>
          <cell r="G1994" t="str">
            <v>746 Main St</v>
          </cell>
          <cell r="H1994" t="str">
            <v>Debit Card</v>
          </cell>
          <cell r="I1994" t="str">
            <v>Returned</v>
          </cell>
          <cell r="J1994" t="str">
            <v>TRK90995294</v>
          </cell>
          <cell r="K1994">
            <v>6</v>
          </cell>
          <cell r="L1994" t="str">
            <v>WINTER15</v>
          </cell>
          <cell r="M1994" t="str">
            <v>Facebook</v>
          </cell>
          <cell r="N1994">
            <v>712.7</v>
          </cell>
        </row>
        <row r="1995">
          <cell r="A1995" t="str">
            <v>ORD200793</v>
          </cell>
          <cell r="B1995">
            <v>45397</v>
          </cell>
          <cell r="C1995" t="str">
            <v>C91255</v>
          </cell>
          <cell r="D1995" t="str">
            <v>Chair</v>
          </cell>
          <cell r="E1995">
            <v>5</v>
          </cell>
          <cell r="F1995">
            <v>170.22</v>
          </cell>
          <cell r="G1995" t="str">
            <v>769 Main St</v>
          </cell>
          <cell r="H1995" t="str">
            <v>Debit Card</v>
          </cell>
          <cell r="I1995" t="str">
            <v>Delivered</v>
          </cell>
          <cell r="J1995" t="str">
            <v>TRK69599961</v>
          </cell>
          <cell r="K1995">
            <v>8</v>
          </cell>
          <cell r="L1995" t="str">
            <v>No Coupon</v>
          </cell>
          <cell r="M1995" t="str">
            <v>Referral</v>
          </cell>
          <cell r="N1995">
            <v>851.1</v>
          </cell>
        </row>
        <row r="1996">
          <cell r="A1996" t="str">
            <v>ORD200794</v>
          </cell>
          <cell r="B1996">
            <v>44994</v>
          </cell>
          <cell r="C1996" t="str">
            <v>C76653</v>
          </cell>
          <cell r="D1996" t="str">
            <v>Printer</v>
          </cell>
          <cell r="E1996">
            <v>4</v>
          </cell>
          <cell r="F1996">
            <v>384.85</v>
          </cell>
          <cell r="G1996" t="str">
            <v>988 Main St</v>
          </cell>
          <cell r="H1996" t="str">
            <v>Online</v>
          </cell>
          <cell r="I1996" t="str">
            <v>Delivered</v>
          </cell>
          <cell r="J1996" t="str">
            <v>TRK77052196</v>
          </cell>
          <cell r="K1996">
            <v>9</v>
          </cell>
          <cell r="L1996" t="str">
            <v>FREESHIP</v>
          </cell>
          <cell r="M1996" t="str">
            <v>Instagram</v>
          </cell>
          <cell r="N1996">
            <v>1539.4</v>
          </cell>
        </row>
        <row r="1997">
          <cell r="A1997" t="str">
            <v>ORD200795</v>
          </cell>
          <cell r="B1997">
            <v>45616</v>
          </cell>
          <cell r="C1997" t="str">
            <v>C95667</v>
          </cell>
          <cell r="D1997" t="str">
            <v>Laptop</v>
          </cell>
          <cell r="E1997">
            <v>4</v>
          </cell>
          <cell r="F1997">
            <v>115.77</v>
          </cell>
          <cell r="G1997" t="str">
            <v>586 Main St</v>
          </cell>
          <cell r="H1997" t="str">
            <v>Online</v>
          </cell>
          <cell r="I1997" t="str">
            <v>Pending</v>
          </cell>
          <cell r="J1997" t="str">
            <v>TRK41266666</v>
          </cell>
          <cell r="K1997">
            <v>7</v>
          </cell>
          <cell r="L1997" t="str">
            <v>SAVE10</v>
          </cell>
          <cell r="M1997" t="str">
            <v>Instagram</v>
          </cell>
          <cell r="N1997">
            <v>463.08</v>
          </cell>
        </row>
        <row r="1998">
          <cell r="A1998" t="str">
            <v>ORD200796</v>
          </cell>
          <cell r="B1998">
            <v>45776</v>
          </cell>
          <cell r="C1998" t="str">
            <v>C33313</v>
          </cell>
          <cell r="D1998" t="str">
            <v>Phone</v>
          </cell>
          <cell r="E1998">
            <v>3</v>
          </cell>
          <cell r="F1998">
            <v>579.54999999999995</v>
          </cell>
          <cell r="G1998" t="str">
            <v>882 Main St</v>
          </cell>
          <cell r="H1998" t="str">
            <v>Gift Card</v>
          </cell>
          <cell r="I1998" t="str">
            <v>Returned</v>
          </cell>
          <cell r="J1998" t="str">
            <v>TRK13349970</v>
          </cell>
          <cell r="K1998">
            <v>8</v>
          </cell>
          <cell r="L1998" t="str">
            <v>WINTER15</v>
          </cell>
          <cell r="M1998" t="str">
            <v>Facebook</v>
          </cell>
          <cell r="N1998">
            <v>1738.65</v>
          </cell>
        </row>
        <row r="1999">
          <cell r="A1999" t="str">
            <v>ORD200797</v>
          </cell>
          <cell r="B1999">
            <v>44984</v>
          </cell>
          <cell r="C1999" t="str">
            <v>C36825</v>
          </cell>
          <cell r="D1999" t="str">
            <v>Laptop</v>
          </cell>
          <cell r="E1999">
            <v>2</v>
          </cell>
          <cell r="F1999">
            <v>438.76</v>
          </cell>
          <cell r="G1999" t="str">
            <v>426 Main St</v>
          </cell>
          <cell r="H1999" t="str">
            <v>Debit Card</v>
          </cell>
          <cell r="I1999" t="str">
            <v>Returned</v>
          </cell>
          <cell r="J1999" t="str">
            <v>TRK72557318</v>
          </cell>
          <cell r="K1999">
            <v>2</v>
          </cell>
          <cell r="L1999" t="str">
            <v>No Coupon</v>
          </cell>
          <cell r="M1999" t="str">
            <v>Facebook</v>
          </cell>
          <cell r="N1999">
            <v>877.52</v>
          </cell>
        </row>
        <row r="2000">
          <cell r="A2000" t="str">
            <v>ORD200798</v>
          </cell>
          <cell r="B2000">
            <v>45796</v>
          </cell>
          <cell r="C2000" t="str">
            <v>C20861</v>
          </cell>
          <cell r="D2000" t="str">
            <v>Phone</v>
          </cell>
          <cell r="E2000">
            <v>5</v>
          </cell>
          <cell r="F2000">
            <v>488.35</v>
          </cell>
          <cell r="G2000" t="str">
            <v>968 Main St</v>
          </cell>
          <cell r="H2000" t="str">
            <v>Debit Card</v>
          </cell>
          <cell r="I2000" t="str">
            <v>Returned</v>
          </cell>
          <cell r="J2000" t="str">
            <v>TRK89372013</v>
          </cell>
          <cell r="K2000">
            <v>9</v>
          </cell>
          <cell r="L2000" t="str">
            <v>FREESHIP</v>
          </cell>
          <cell r="M2000" t="str">
            <v>Email</v>
          </cell>
          <cell r="N2000">
            <v>2441.75</v>
          </cell>
        </row>
        <row r="2001">
          <cell r="A2001" t="str">
            <v>ORD200799</v>
          </cell>
          <cell r="B2001">
            <v>45032</v>
          </cell>
          <cell r="C2001" t="str">
            <v>C26364</v>
          </cell>
          <cell r="D2001" t="str">
            <v>Laptop</v>
          </cell>
          <cell r="E2001">
            <v>4</v>
          </cell>
          <cell r="F2001">
            <v>328.56</v>
          </cell>
          <cell r="G2001" t="str">
            <v>803 Main St</v>
          </cell>
          <cell r="H2001" t="str">
            <v>Debit Card</v>
          </cell>
          <cell r="I2001" t="str">
            <v>Returned</v>
          </cell>
          <cell r="J2001" t="str">
            <v>TRK78924436</v>
          </cell>
          <cell r="K2001">
            <v>4</v>
          </cell>
          <cell r="L2001" t="str">
            <v>FREESHIP</v>
          </cell>
          <cell r="M2001" t="str">
            <v>Email</v>
          </cell>
          <cell r="N2001">
            <v>1314.24</v>
          </cell>
        </row>
        <row r="2002">
          <cell r="A2002" t="str">
            <v>ORD200800</v>
          </cell>
          <cell r="B2002">
            <v>45744</v>
          </cell>
          <cell r="C2002" t="str">
            <v>C34686</v>
          </cell>
          <cell r="D2002" t="str">
            <v>Tablet</v>
          </cell>
          <cell r="E2002">
            <v>1</v>
          </cell>
          <cell r="F2002">
            <v>68.39</v>
          </cell>
          <cell r="G2002" t="str">
            <v>412 Main St</v>
          </cell>
          <cell r="H2002" t="str">
            <v>Online</v>
          </cell>
          <cell r="I2002" t="str">
            <v>Returned</v>
          </cell>
          <cell r="J2002" t="str">
            <v>TRK99468332</v>
          </cell>
          <cell r="K2002">
            <v>3</v>
          </cell>
          <cell r="L2002" t="str">
            <v>WINTER15</v>
          </cell>
          <cell r="M2002" t="str">
            <v>Facebook</v>
          </cell>
          <cell r="N2002">
            <v>68.39</v>
          </cell>
        </row>
        <row r="2003">
          <cell r="A2003" t="str">
            <v>ORD200801</v>
          </cell>
          <cell r="B2003">
            <v>45049</v>
          </cell>
          <cell r="C2003" t="str">
            <v>C97593</v>
          </cell>
          <cell r="D2003" t="str">
            <v>Printer</v>
          </cell>
          <cell r="E2003">
            <v>4</v>
          </cell>
          <cell r="F2003">
            <v>595.62</v>
          </cell>
          <cell r="G2003" t="str">
            <v>738 Main St</v>
          </cell>
          <cell r="H2003" t="str">
            <v>Debit Card</v>
          </cell>
          <cell r="I2003" t="str">
            <v>Pending</v>
          </cell>
          <cell r="J2003" t="str">
            <v>TRK58443593</v>
          </cell>
          <cell r="K2003">
            <v>8</v>
          </cell>
          <cell r="L2003" t="str">
            <v>FREESHIP</v>
          </cell>
          <cell r="M2003" t="str">
            <v>Facebook</v>
          </cell>
          <cell r="N2003">
            <v>2382.48</v>
          </cell>
        </row>
        <row r="2004">
          <cell r="A2004" t="str">
            <v>ORD200802</v>
          </cell>
          <cell r="B2004">
            <v>45339</v>
          </cell>
          <cell r="C2004" t="str">
            <v>C84331</v>
          </cell>
          <cell r="D2004" t="str">
            <v>Chair</v>
          </cell>
          <cell r="E2004">
            <v>5</v>
          </cell>
          <cell r="F2004">
            <v>644.64</v>
          </cell>
          <cell r="G2004" t="str">
            <v>205 Main St</v>
          </cell>
          <cell r="H2004" t="str">
            <v>Gift Card</v>
          </cell>
          <cell r="I2004" t="str">
            <v>Cancelled</v>
          </cell>
          <cell r="J2004" t="str">
            <v>TRK34440714</v>
          </cell>
          <cell r="K2004">
            <v>6</v>
          </cell>
          <cell r="L2004" t="str">
            <v>FREESHIP</v>
          </cell>
          <cell r="M2004" t="str">
            <v>Email</v>
          </cell>
          <cell r="N2004">
            <v>3223.2</v>
          </cell>
        </row>
        <row r="2005">
          <cell r="A2005" t="str">
            <v>ORD200803</v>
          </cell>
          <cell r="B2005">
            <v>45158</v>
          </cell>
          <cell r="C2005" t="str">
            <v>C88775</v>
          </cell>
          <cell r="D2005" t="str">
            <v>Monitor</v>
          </cell>
          <cell r="E2005">
            <v>5</v>
          </cell>
          <cell r="F2005">
            <v>397.81</v>
          </cell>
          <cell r="G2005" t="str">
            <v>223 Main St</v>
          </cell>
          <cell r="H2005" t="str">
            <v>Debit Card</v>
          </cell>
          <cell r="I2005" t="str">
            <v>Returned</v>
          </cell>
          <cell r="J2005" t="str">
            <v>TRK45098068</v>
          </cell>
          <cell r="K2005">
            <v>5</v>
          </cell>
          <cell r="L2005" t="str">
            <v>SAVE10</v>
          </cell>
          <cell r="M2005" t="str">
            <v>Referral</v>
          </cell>
          <cell r="N2005">
            <v>1989.05</v>
          </cell>
        </row>
        <row r="2006">
          <cell r="A2006" t="str">
            <v>ORD200804</v>
          </cell>
          <cell r="B2006">
            <v>45292</v>
          </cell>
          <cell r="C2006" t="str">
            <v>C76362</v>
          </cell>
          <cell r="D2006" t="str">
            <v>Chair</v>
          </cell>
          <cell r="E2006">
            <v>3</v>
          </cell>
          <cell r="F2006">
            <v>236.5</v>
          </cell>
          <cell r="G2006" t="str">
            <v>916 Main St</v>
          </cell>
          <cell r="H2006" t="str">
            <v>Online</v>
          </cell>
          <cell r="I2006" t="str">
            <v>Delivered</v>
          </cell>
          <cell r="J2006" t="str">
            <v>TRK11868618</v>
          </cell>
          <cell r="K2006">
            <v>8</v>
          </cell>
          <cell r="L2006" t="str">
            <v>FREESHIP</v>
          </cell>
          <cell r="M2006" t="str">
            <v>Email</v>
          </cell>
          <cell r="N2006">
            <v>709.5</v>
          </cell>
        </row>
        <row r="2007">
          <cell r="A2007" t="str">
            <v>ORD200805</v>
          </cell>
          <cell r="B2007">
            <v>45580</v>
          </cell>
          <cell r="C2007" t="str">
            <v>C59278</v>
          </cell>
          <cell r="D2007" t="str">
            <v>Laptop</v>
          </cell>
          <cell r="E2007">
            <v>5</v>
          </cell>
          <cell r="F2007">
            <v>472.01</v>
          </cell>
          <cell r="G2007" t="str">
            <v>178 Main St</v>
          </cell>
          <cell r="H2007" t="str">
            <v>Gift Card</v>
          </cell>
          <cell r="I2007" t="str">
            <v>Cancelled</v>
          </cell>
          <cell r="J2007" t="str">
            <v>TRK14590037</v>
          </cell>
          <cell r="K2007">
            <v>10</v>
          </cell>
          <cell r="L2007" t="str">
            <v>SAVE10</v>
          </cell>
          <cell r="M2007" t="str">
            <v>Email</v>
          </cell>
          <cell r="N2007">
            <v>2360.0500000000002</v>
          </cell>
        </row>
        <row r="2008">
          <cell r="A2008" t="str">
            <v>ORD200806</v>
          </cell>
          <cell r="B2008">
            <v>45170</v>
          </cell>
          <cell r="C2008" t="str">
            <v>C55819</v>
          </cell>
          <cell r="D2008" t="str">
            <v>Chair</v>
          </cell>
          <cell r="E2008">
            <v>5</v>
          </cell>
          <cell r="F2008">
            <v>253.75</v>
          </cell>
          <cell r="G2008" t="str">
            <v>740 Main St</v>
          </cell>
          <cell r="H2008" t="str">
            <v>Online</v>
          </cell>
          <cell r="I2008" t="str">
            <v>Pending</v>
          </cell>
          <cell r="J2008" t="str">
            <v>TRK13775054</v>
          </cell>
          <cell r="K2008">
            <v>9</v>
          </cell>
          <cell r="L2008" t="str">
            <v>WINTER15</v>
          </cell>
          <cell r="M2008" t="str">
            <v>Instagram</v>
          </cell>
          <cell r="N2008">
            <v>1268.75</v>
          </cell>
        </row>
        <row r="2009">
          <cell r="A2009" t="str">
            <v>ORD200807</v>
          </cell>
          <cell r="B2009">
            <v>45606</v>
          </cell>
          <cell r="C2009" t="str">
            <v>C82344</v>
          </cell>
          <cell r="D2009" t="str">
            <v>Monitor</v>
          </cell>
          <cell r="E2009">
            <v>3</v>
          </cell>
          <cell r="F2009">
            <v>676.21</v>
          </cell>
          <cell r="G2009" t="str">
            <v>260 Main St</v>
          </cell>
          <cell r="H2009" t="str">
            <v>Online</v>
          </cell>
          <cell r="I2009" t="str">
            <v>Delivered</v>
          </cell>
          <cell r="J2009" t="str">
            <v>TRK70957219</v>
          </cell>
          <cell r="K2009">
            <v>5</v>
          </cell>
          <cell r="L2009" t="str">
            <v>SAVE10</v>
          </cell>
          <cell r="M2009" t="str">
            <v>Google</v>
          </cell>
          <cell r="N2009">
            <v>2028.63</v>
          </cell>
        </row>
        <row r="2010">
          <cell r="A2010" t="str">
            <v>ORD200808</v>
          </cell>
          <cell r="B2010">
            <v>45335</v>
          </cell>
          <cell r="C2010" t="str">
            <v>C65565</v>
          </cell>
          <cell r="D2010" t="str">
            <v>Desk</v>
          </cell>
          <cell r="E2010">
            <v>3</v>
          </cell>
          <cell r="F2010">
            <v>134.05000000000001</v>
          </cell>
          <cell r="G2010" t="str">
            <v>192 Main St</v>
          </cell>
          <cell r="H2010" t="str">
            <v>Credit Card</v>
          </cell>
          <cell r="I2010" t="str">
            <v>Shipped</v>
          </cell>
          <cell r="J2010" t="str">
            <v>TRK80383756</v>
          </cell>
          <cell r="K2010">
            <v>3</v>
          </cell>
          <cell r="L2010" t="str">
            <v>No Coupon</v>
          </cell>
          <cell r="M2010" t="str">
            <v>Google</v>
          </cell>
          <cell r="N2010">
            <v>402.15</v>
          </cell>
        </row>
        <row r="2011">
          <cell r="A2011" t="str">
            <v>ORD200809</v>
          </cell>
          <cell r="B2011">
            <v>45391</v>
          </cell>
          <cell r="C2011" t="str">
            <v>C80416</v>
          </cell>
          <cell r="D2011" t="str">
            <v>Desk</v>
          </cell>
          <cell r="E2011">
            <v>5</v>
          </cell>
          <cell r="F2011">
            <v>217.43</v>
          </cell>
          <cell r="G2011" t="str">
            <v>752 Main St</v>
          </cell>
          <cell r="H2011" t="str">
            <v>Debit Card</v>
          </cell>
          <cell r="I2011" t="str">
            <v>Shipped</v>
          </cell>
          <cell r="J2011" t="str">
            <v>TRK54385892</v>
          </cell>
          <cell r="K2011">
            <v>10</v>
          </cell>
          <cell r="L2011" t="str">
            <v>SAVE10</v>
          </cell>
          <cell r="M2011" t="str">
            <v>Instagram</v>
          </cell>
          <cell r="N2011">
            <v>1087.1500000000001</v>
          </cell>
        </row>
        <row r="2012">
          <cell r="A2012" t="str">
            <v>ORD200810</v>
          </cell>
          <cell r="B2012">
            <v>45077</v>
          </cell>
          <cell r="C2012" t="str">
            <v>C23637</v>
          </cell>
          <cell r="D2012" t="str">
            <v>Tablet</v>
          </cell>
          <cell r="E2012">
            <v>1</v>
          </cell>
          <cell r="F2012">
            <v>553.55999999999995</v>
          </cell>
          <cell r="G2012" t="str">
            <v>644 Main St</v>
          </cell>
          <cell r="H2012" t="str">
            <v>Credit Card</v>
          </cell>
          <cell r="I2012" t="str">
            <v>Cancelled</v>
          </cell>
          <cell r="J2012" t="str">
            <v>TRK16749863</v>
          </cell>
          <cell r="K2012">
            <v>5</v>
          </cell>
          <cell r="L2012" t="str">
            <v>No Coupon</v>
          </cell>
          <cell r="M2012" t="str">
            <v>Referral</v>
          </cell>
          <cell r="N2012">
            <v>553.55999999999995</v>
          </cell>
        </row>
        <row r="2013">
          <cell r="A2013" t="str">
            <v>ORD200811</v>
          </cell>
          <cell r="B2013">
            <v>45235</v>
          </cell>
          <cell r="C2013" t="str">
            <v>C24769</v>
          </cell>
          <cell r="D2013" t="str">
            <v>Laptop</v>
          </cell>
          <cell r="E2013">
            <v>2</v>
          </cell>
          <cell r="F2013">
            <v>28.55</v>
          </cell>
          <cell r="G2013" t="str">
            <v>864 Main St</v>
          </cell>
          <cell r="H2013" t="str">
            <v>Gift Card</v>
          </cell>
          <cell r="I2013" t="str">
            <v>Shipped</v>
          </cell>
          <cell r="J2013" t="str">
            <v>TRK44538305</v>
          </cell>
          <cell r="K2013">
            <v>7</v>
          </cell>
          <cell r="L2013" t="str">
            <v>SAVE10</v>
          </cell>
          <cell r="M2013" t="str">
            <v>Email</v>
          </cell>
          <cell r="N2013">
            <v>57.1</v>
          </cell>
        </row>
        <row r="2014">
          <cell r="A2014" t="str">
            <v>ORD200812</v>
          </cell>
          <cell r="B2014">
            <v>45317</v>
          </cell>
          <cell r="C2014" t="str">
            <v>C81547</v>
          </cell>
          <cell r="D2014" t="str">
            <v>Phone</v>
          </cell>
          <cell r="E2014">
            <v>2</v>
          </cell>
          <cell r="F2014">
            <v>255.26</v>
          </cell>
          <cell r="G2014" t="str">
            <v>803 Main St</v>
          </cell>
          <cell r="H2014" t="str">
            <v>Credit Card</v>
          </cell>
          <cell r="I2014" t="str">
            <v>Cancelled</v>
          </cell>
          <cell r="J2014" t="str">
            <v>TRK88437123</v>
          </cell>
          <cell r="K2014">
            <v>6</v>
          </cell>
          <cell r="L2014" t="str">
            <v>FREESHIP</v>
          </cell>
          <cell r="M2014" t="str">
            <v>Google</v>
          </cell>
          <cell r="N2014">
            <v>510.52</v>
          </cell>
        </row>
        <row r="2015">
          <cell r="A2015" t="str">
            <v>ORD200813</v>
          </cell>
          <cell r="B2015">
            <v>45731</v>
          </cell>
          <cell r="C2015" t="str">
            <v>C12813</v>
          </cell>
          <cell r="D2015" t="str">
            <v>Laptop</v>
          </cell>
          <cell r="E2015">
            <v>5</v>
          </cell>
          <cell r="F2015">
            <v>292.54000000000002</v>
          </cell>
          <cell r="G2015" t="str">
            <v>263 Main St</v>
          </cell>
          <cell r="H2015" t="str">
            <v>Debit Card</v>
          </cell>
          <cell r="I2015" t="str">
            <v>Cancelled</v>
          </cell>
          <cell r="J2015" t="str">
            <v>TRK36131660</v>
          </cell>
          <cell r="K2015">
            <v>8</v>
          </cell>
          <cell r="L2015" t="str">
            <v>FREESHIP</v>
          </cell>
          <cell r="M2015" t="str">
            <v>Email</v>
          </cell>
          <cell r="N2015">
            <v>1462.7</v>
          </cell>
        </row>
        <row r="2016">
          <cell r="A2016" t="str">
            <v>ORD200814</v>
          </cell>
          <cell r="B2016">
            <v>45637</v>
          </cell>
          <cell r="C2016" t="str">
            <v>C50732</v>
          </cell>
          <cell r="D2016" t="str">
            <v>Chair</v>
          </cell>
          <cell r="E2016">
            <v>4</v>
          </cell>
          <cell r="F2016">
            <v>147.51</v>
          </cell>
          <cell r="G2016" t="str">
            <v>979 Main St</v>
          </cell>
          <cell r="H2016" t="str">
            <v>Debit Card</v>
          </cell>
          <cell r="I2016" t="str">
            <v>Pending</v>
          </cell>
          <cell r="J2016" t="str">
            <v>TRK21082461</v>
          </cell>
          <cell r="K2016">
            <v>4</v>
          </cell>
          <cell r="L2016" t="str">
            <v>WINTER15</v>
          </cell>
          <cell r="M2016" t="str">
            <v>Instagram</v>
          </cell>
          <cell r="N2016">
            <v>590.04</v>
          </cell>
        </row>
        <row r="2017">
          <cell r="A2017" t="str">
            <v>ORD200815</v>
          </cell>
          <cell r="B2017">
            <v>45508</v>
          </cell>
          <cell r="C2017" t="str">
            <v>C41320</v>
          </cell>
          <cell r="D2017" t="str">
            <v>Printer</v>
          </cell>
          <cell r="E2017">
            <v>3</v>
          </cell>
          <cell r="F2017">
            <v>569.84</v>
          </cell>
          <cell r="G2017" t="str">
            <v>920 Main St</v>
          </cell>
          <cell r="H2017" t="str">
            <v>Gift Card</v>
          </cell>
          <cell r="I2017" t="str">
            <v>Cancelled</v>
          </cell>
          <cell r="J2017" t="str">
            <v>TRK77539180</v>
          </cell>
          <cell r="K2017">
            <v>8</v>
          </cell>
          <cell r="L2017" t="str">
            <v>WINTER15</v>
          </cell>
          <cell r="M2017" t="str">
            <v>Instagram</v>
          </cell>
          <cell r="N2017">
            <v>1709.52</v>
          </cell>
        </row>
        <row r="2018">
          <cell r="A2018" t="str">
            <v>ORD200816</v>
          </cell>
          <cell r="B2018">
            <v>45343</v>
          </cell>
          <cell r="C2018" t="str">
            <v>C55286</v>
          </cell>
          <cell r="D2018" t="str">
            <v>Tablet</v>
          </cell>
          <cell r="E2018">
            <v>5</v>
          </cell>
          <cell r="F2018">
            <v>574.79</v>
          </cell>
          <cell r="G2018" t="str">
            <v>497 Main St</v>
          </cell>
          <cell r="H2018" t="str">
            <v>Credit Card</v>
          </cell>
          <cell r="I2018" t="str">
            <v>Pending</v>
          </cell>
          <cell r="J2018" t="str">
            <v>TRK39058734</v>
          </cell>
          <cell r="K2018">
            <v>8</v>
          </cell>
          <cell r="L2018" t="str">
            <v>WINTER15</v>
          </cell>
          <cell r="M2018" t="str">
            <v>Referral</v>
          </cell>
          <cell r="N2018">
            <v>2873.95</v>
          </cell>
        </row>
        <row r="2019">
          <cell r="A2019" t="str">
            <v>ORD200817</v>
          </cell>
          <cell r="B2019">
            <v>45204</v>
          </cell>
          <cell r="C2019" t="str">
            <v>C87994</v>
          </cell>
          <cell r="D2019" t="str">
            <v>Chair</v>
          </cell>
          <cell r="E2019">
            <v>4</v>
          </cell>
          <cell r="F2019">
            <v>598.19000000000005</v>
          </cell>
          <cell r="G2019" t="str">
            <v>430 Main St</v>
          </cell>
          <cell r="H2019" t="str">
            <v>Credit Card</v>
          </cell>
          <cell r="I2019" t="str">
            <v>Delivered</v>
          </cell>
          <cell r="J2019" t="str">
            <v>TRK98883971</v>
          </cell>
          <cell r="K2019">
            <v>7</v>
          </cell>
          <cell r="L2019" t="str">
            <v>WINTER15</v>
          </cell>
          <cell r="M2019" t="str">
            <v>Email</v>
          </cell>
          <cell r="N2019">
            <v>2392.7600000000002</v>
          </cell>
        </row>
        <row r="2020">
          <cell r="A2020" t="str">
            <v>ORD200818</v>
          </cell>
          <cell r="B2020">
            <v>44987</v>
          </cell>
          <cell r="C2020" t="str">
            <v>C25580</v>
          </cell>
          <cell r="D2020" t="str">
            <v>Phone</v>
          </cell>
          <cell r="E2020">
            <v>4</v>
          </cell>
          <cell r="F2020">
            <v>390.84</v>
          </cell>
          <cell r="G2020" t="str">
            <v>860 Main St</v>
          </cell>
          <cell r="H2020" t="str">
            <v>Credit Card</v>
          </cell>
          <cell r="I2020" t="str">
            <v>Cancelled</v>
          </cell>
          <cell r="J2020" t="str">
            <v>TRK58781638</v>
          </cell>
          <cell r="K2020">
            <v>9</v>
          </cell>
          <cell r="L2020" t="str">
            <v>WINTER15</v>
          </cell>
          <cell r="M2020" t="str">
            <v>Referral</v>
          </cell>
          <cell r="N2020">
            <v>1563.36</v>
          </cell>
        </row>
        <row r="2021">
          <cell r="A2021" t="str">
            <v>ORD200819</v>
          </cell>
          <cell r="B2021">
            <v>45563</v>
          </cell>
          <cell r="C2021" t="str">
            <v>C66196</v>
          </cell>
          <cell r="D2021" t="str">
            <v>Phone</v>
          </cell>
          <cell r="E2021">
            <v>2</v>
          </cell>
          <cell r="F2021">
            <v>398.45</v>
          </cell>
          <cell r="G2021" t="str">
            <v>650 Main St</v>
          </cell>
          <cell r="H2021" t="str">
            <v>Debit Card</v>
          </cell>
          <cell r="I2021" t="str">
            <v>Cancelled</v>
          </cell>
          <cell r="J2021" t="str">
            <v>TRK38104650</v>
          </cell>
          <cell r="K2021">
            <v>7</v>
          </cell>
          <cell r="L2021" t="str">
            <v>SAVE10</v>
          </cell>
          <cell r="M2021" t="str">
            <v>Google</v>
          </cell>
          <cell r="N2021">
            <v>796.9</v>
          </cell>
        </row>
        <row r="2022">
          <cell r="A2022" t="str">
            <v>ORD200820</v>
          </cell>
          <cell r="B2022">
            <v>45073</v>
          </cell>
          <cell r="C2022" t="str">
            <v>C35377</v>
          </cell>
          <cell r="D2022" t="str">
            <v>Phone</v>
          </cell>
          <cell r="E2022">
            <v>5</v>
          </cell>
          <cell r="F2022">
            <v>623.80999999999995</v>
          </cell>
          <cell r="G2022" t="str">
            <v>171 Main St</v>
          </cell>
          <cell r="H2022" t="str">
            <v>Cash</v>
          </cell>
          <cell r="I2022" t="str">
            <v>Returned</v>
          </cell>
          <cell r="J2022" t="str">
            <v>TRK17342157</v>
          </cell>
          <cell r="K2022">
            <v>6</v>
          </cell>
          <cell r="L2022" t="str">
            <v>FREESHIP</v>
          </cell>
          <cell r="M2022" t="str">
            <v>Email</v>
          </cell>
          <cell r="N2022">
            <v>3119.05</v>
          </cell>
        </row>
        <row r="2023">
          <cell r="A2023" t="str">
            <v>ORD200821</v>
          </cell>
          <cell r="B2023">
            <v>45640</v>
          </cell>
          <cell r="C2023" t="str">
            <v>C40771</v>
          </cell>
          <cell r="D2023" t="str">
            <v>Laptop</v>
          </cell>
          <cell r="E2023">
            <v>4</v>
          </cell>
          <cell r="F2023">
            <v>174.49</v>
          </cell>
          <cell r="G2023" t="str">
            <v>259 Main St</v>
          </cell>
          <cell r="H2023" t="str">
            <v>Credit Card</v>
          </cell>
          <cell r="I2023" t="str">
            <v>Delivered</v>
          </cell>
          <cell r="J2023" t="str">
            <v>TRK56310345</v>
          </cell>
          <cell r="K2023">
            <v>5</v>
          </cell>
          <cell r="L2023" t="str">
            <v>SAVE10</v>
          </cell>
          <cell r="M2023" t="str">
            <v>Facebook</v>
          </cell>
          <cell r="N2023">
            <v>697.96</v>
          </cell>
        </row>
        <row r="2024">
          <cell r="A2024" t="str">
            <v>ORD200822</v>
          </cell>
          <cell r="B2024">
            <v>45731</v>
          </cell>
          <cell r="C2024" t="str">
            <v>C20624</v>
          </cell>
          <cell r="D2024" t="str">
            <v>Phone</v>
          </cell>
          <cell r="E2024">
            <v>1</v>
          </cell>
          <cell r="F2024">
            <v>479.56</v>
          </cell>
          <cell r="G2024" t="str">
            <v>923 Main St</v>
          </cell>
          <cell r="H2024" t="str">
            <v>Gift Card</v>
          </cell>
          <cell r="I2024" t="str">
            <v>Returned</v>
          </cell>
          <cell r="J2024" t="str">
            <v>TRK45123395</v>
          </cell>
          <cell r="K2024">
            <v>1</v>
          </cell>
          <cell r="L2024" t="str">
            <v>SAVE10</v>
          </cell>
          <cell r="M2024" t="str">
            <v>Google</v>
          </cell>
          <cell r="N2024">
            <v>479.56</v>
          </cell>
        </row>
        <row r="2025">
          <cell r="A2025" t="str">
            <v>ORD200823</v>
          </cell>
          <cell r="B2025">
            <v>45572</v>
          </cell>
          <cell r="C2025" t="str">
            <v>C27070</v>
          </cell>
          <cell r="D2025" t="str">
            <v>Laptop</v>
          </cell>
          <cell r="E2025">
            <v>4</v>
          </cell>
          <cell r="F2025">
            <v>653.13</v>
          </cell>
          <cell r="G2025" t="str">
            <v>973 Main St</v>
          </cell>
          <cell r="H2025" t="str">
            <v>Credit Card</v>
          </cell>
          <cell r="I2025" t="str">
            <v>Shipped</v>
          </cell>
          <cell r="J2025" t="str">
            <v>TRK83842481</v>
          </cell>
          <cell r="K2025">
            <v>8</v>
          </cell>
          <cell r="L2025" t="str">
            <v>WINTER15</v>
          </cell>
          <cell r="M2025" t="str">
            <v>Instagram</v>
          </cell>
          <cell r="N2025">
            <v>2612.52</v>
          </cell>
        </row>
        <row r="2026">
          <cell r="A2026" t="str">
            <v>ORD200824</v>
          </cell>
          <cell r="B2026">
            <v>45167</v>
          </cell>
          <cell r="C2026" t="str">
            <v>C18826</v>
          </cell>
          <cell r="D2026" t="str">
            <v>Monitor</v>
          </cell>
          <cell r="E2026">
            <v>3</v>
          </cell>
          <cell r="F2026">
            <v>481.1</v>
          </cell>
          <cell r="G2026" t="str">
            <v>664 Main St</v>
          </cell>
          <cell r="H2026" t="str">
            <v>Credit Card</v>
          </cell>
          <cell r="I2026" t="str">
            <v>Returned</v>
          </cell>
          <cell r="J2026" t="str">
            <v>TRK12530495</v>
          </cell>
          <cell r="K2026">
            <v>3</v>
          </cell>
          <cell r="L2026" t="str">
            <v>FREESHIP</v>
          </cell>
          <cell r="M2026" t="str">
            <v>Facebook</v>
          </cell>
          <cell r="N2026">
            <v>1443.3</v>
          </cell>
        </row>
        <row r="2027">
          <cell r="A2027" t="str">
            <v>ORD200825</v>
          </cell>
          <cell r="B2027">
            <v>45742</v>
          </cell>
          <cell r="C2027" t="str">
            <v>C23899</v>
          </cell>
          <cell r="D2027" t="str">
            <v>Desk</v>
          </cell>
          <cell r="E2027">
            <v>5</v>
          </cell>
          <cell r="F2027">
            <v>271.69</v>
          </cell>
          <cell r="G2027" t="str">
            <v>543 Main St</v>
          </cell>
          <cell r="H2027" t="str">
            <v>Online</v>
          </cell>
          <cell r="I2027" t="str">
            <v>Returned</v>
          </cell>
          <cell r="J2027" t="str">
            <v>TRK88914760</v>
          </cell>
          <cell r="K2027">
            <v>7</v>
          </cell>
          <cell r="L2027" t="str">
            <v>FREESHIP</v>
          </cell>
          <cell r="M2027" t="str">
            <v>Instagram</v>
          </cell>
          <cell r="N2027">
            <v>1358.45</v>
          </cell>
        </row>
        <row r="2028">
          <cell r="A2028" t="str">
            <v>ORD200826</v>
          </cell>
          <cell r="B2028">
            <v>45724</v>
          </cell>
          <cell r="C2028" t="str">
            <v>C43249</v>
          </cell>
          <cell r="D2028" t="str">
            <v>Printer</v>
          </cell>
          <cell r="E2028">
            <v>3</v>
          </cell>
          <cell r="F2028">
            <v>463.81</v>
          </cell>
          <cell r="G2028" t="str">
            <v>283 Main St</v>
          </cell>
          <cell r="H2028" t="str">
            <v>Online</v>
          </cell>
          <cell r="I2028" t="str">
            <v>Returned</v>
          </cell>
          <cell r="J2028" t="str">
            <v>TRK32469820</v>
          </cell>
          <cell r="K2028">
            <v>8</v>
          </cell>
          <cell r="L2028" t="str">
            <v>WINTER15</v>
          </cell>
          <cell r="M2028" t="str">
            <v>Email</v>
          </cell>
          <cell r="N2028">
            <v>1391.43</v>
          </cell>
        </row>
        <row r="2029">
          <cell r="A2029" t="str">
            <v>ORD200827</v>
          </cell>
          <cell r="B2029">
            <v>45071</v>
          </cell>
          <cell r="C2029" t="str">
            <v>C95856</v>
          </cell>
          <cell r="D2029" t="str">
            <v>Tablet</v>
          </cell>
          <cell r="E2029">
            <v>2</v>
          </cell>
          <cell r="F2029">
            <v>639.88</v>
          </cell>
          <cell r="G2029" t="str">
            <v>432 Main St</v>
          </cell>
          <cell r="H2029" t="str">
            <v>Cash</v>
          </cell>
          <cell r="I2029" t="str">
            <v>Delivered</v>
          </cell>
          <cell r="J2029" t="str">
            <v>TRK58829625</v>
          </cell>
          <cell r="K2029">
            <v>5</v>
          </cell>
          <cell r="L2029" t="str">
            <v>WINTER15</v>
          </cell>
          <cell r="M2029" t="str">
            <v>Instagram</v>
          </cell>
          <cell r="N2029">
            <v>1279.76</v>
          </cell>
        </row>
        <row r="2030">
          <cell r="A2030" t="str">
            <v>ORD200828</v>
          </cell>
          <cell r="B2030">
            <v>45497</v>
          </cell>
          <cell r="C2030" t="str">
            <v>C86266</v>
          </cell>
          <cell r="D2030" t="str">
            <v>Chair</v>
          </cell>
          <cell r="E2030">
            <v>4</v>
          </cell>
          <cell r="F2030">
            <v>404.58</v>
          </cell>
          <cell r="G2030" t="str">
            <v>510 Main St</v>
          </cell>
          <cell r="H2030" t="str">
            <v>Cash</v>
          </cell>
          <cell r="I2030" t="str">
            <v>Shipped</v>
          </cell>
          <cell r="J2030" t="str">
            <v>TRK64576020</v>
          </cell>
          <cell r="K2030">
            <v>5</v>
          </cell>
          <cell r="L2030" t="str">
            <v>FREESHIP</v>
          </cell>
          <cell r="M2030" t="str">
            <v>Instagram</v>
          </cell>
          <cell r="N2030">
            <v>1618.32</v>
          </cell>
        </row>
        <row r="2031">
          <cell r="A2031" t="str">
            <v>ORD200829</v>
          </cell>
          <cell r="B2031">
            <v>44962</v>
          </cell>
          <cell r="C2031" t="str">
            <v>C39551</v>
          </cell>
          <cell r="D2031" t="str">
            <v>Monitor</v>
          </cell>
          <cell r="E2031">
            <v>1</v>
          </cell>
          <cell r="F2031">
            <v>76.930000000000007</v>
          </cell>
          <cell r="G2031" t="str">
            <v>685 Main St</v>
          </cell>
          <cell r="H2031" t="str">
            <v>Debit Card</v>
          </cell>
          <cell r="I2031" t="str">
            <v>Delivered</v>
          </cell>
          <cell r="J2031" t="str">
            <v>TRK68358007</v>
          </cell>
          <cell r="K2031">
            <v>6</v>
          </cell>
          <cell r="L2031" t="str">
            <v>WINTER15</v>
          </cell>
          <cell r="M2031" t="str">
            <v>Instagram</v>
          </cell>
          <cell r="N2031">
            <v>76.930000000000007</v>
          </cell>
        </row>
        <row r="2032">
          <cell r="A2032" t="str">
            <v>ORD200830</v>
          </cell>
          <cell r="B2032">
            <v>45637</v>
          </cell>
          <cell r="C2032" t="str">
            <v>C90310</v>
          </cell>
          <cell r="D2032" t="str">
            <v>Tablet</v>
          </cell>
          <cell r="E2032">
            <v>4</v>
          </cell>
          <cell r="F2032">
            <v>190.64</v>
          </cell>
          <cell r="G2032" t="str">
            <v>853 Main St</v>
          </cell>
          <cell r="H2032" t="str">
            <v>Cash</v>
          </cell>
          <cell r="I2032" t="str">
            <v>Delivered</v>
          </cell>
          <cell r="J2032" t="str">
            <v>TRK70028457</v>
          </cell>
          <cell r="K2032">
            <v>5</v>
          </cell>
          <cell r="L2032" t="str">
            <v>SAVE10</v>
          </cell>
          <cell r="M2032" t="str">
            <v>Email</v>
          </cell>
          <cell r="N2032">
            <v>762.56</v>
          </cell>
        </row>
        <row r="2033">
          <cell r="A2033" t="str">
            <v>ORD200831</v>
          </cell>
          <cell r="B2033">
            <v>45278</v>
          </cell>
          <cell r="C2033" t="str">
            <v>C20124</v>
          </cell>
          <cell r="D2033" t="str">
            <v>Printer</v>
          </cell>
          <cell r="E2033">
            <v>2</v>
          </cell>
          <cell r="F2033">
            <v>88.73</v>
          </cell>
          <cell r="G2033" t="str">
            <v>140 Main St</v>
          </cell>
          <cell r="H2033" t="str">
            <v>Online</v>
          </cell>
          <cell r="I2033" t="str">
            <v>Pending</v>
          </cell>
          <cell r="J2033" t="str">
            <v>TRK61346824</v>
          </cell>
          <cell r="K2033">
            <v>5</v>
          </cell>
          <cell r="L2033" t="str">
            <v>No Coupon</v>
          </cell>
          <cell r="M2033" t="str">
            <v>Google</v>
          </cell>
          <cell r="N2033">
            <v>177.46</v>
          </cell>
        </row>
        <row r="2034">
          <cell r="A2034" t="str">
            <v>ORD200832</v>
          </cell>
          <cell r="B2034">
            <v>45363</v>
          </cell>
          <cell r="C2034" t="str">
            <v>C63372</v>
          </cell>
          <cell r="D2034" t="str">
            <v>Chair</v>
          </cell>
          <cell r="E2034">
            <v>5</v>
          </cell>
          <cell r="F2034">
            <v>485.71</v>
          </cell>
          <cell r="G2034" t="str">
            <v>903 Main St</v>
          </cell>
          <cell r="H2034" t="str">
            <v>Online</v>
          </cell>
          <cell r="I2034" t="str">
            <v>Pending</v>
          </cell>
          <cell r="J2034" t="str">
            <v>TRK14661811</v>
          </cell>
          <cell r="K2034">
            <v>10</v>
          </cell>
          <cell r="L2034" t="str">
            <v>SAVE10</v>
          </cell>
          <cell r="M2034" t="str">
            <v>Referral</v>
          </cell>
          <cell r="N2034">
            <v>2428.5500000000002</v>
          </cell>
        </row>
        <row r="2035">
          <cell r="A2035" t="str">
            <v>ORD200833</v>
          </cell>
          <cell r="B2035">
            <v>45730</v>
          </cell>
          <cell r="C2035" t="str">
            <v>C90595</v>
          </cell>
          <cell r="D2035" t="str">
            <v>Phone</v>
          </cell>
          <cell r="E2035">
            <v>5</v>
          </cell>
          <cell r="F2035">
            <v>78.290000000000006</v>
          </cell>
          <cell r="G2035" t="str">
            <v>508 Main St</v>
          </cell>
          <cell r="H2035" t="str">
            <v>Credit Card</v>
          </cell>
          <cell r="I2035" t="str">
            <v>Shipped</v>
          </cell>
          <cell r="J2035" t="str">
            <v>TRK96573803</v>
          </cell>
          <cell r="K2035">
            <v>5</v>
          </cell>
          <cell r="L2035" t="str">
            <v>WINTER15</v>
          </cell>
          <cell r="M2035" t="str">
            <v>Referral</v>
          </cell>
          <cell r="N2035">
            <v>391.45</v>
          </cell>
        </row>
        <row r="2036">
          <cell r="A2036" t="str">
            <v>ORD200834</v>
          </cell>
          <cell r="B2036">
            <v>45393</v>
          </cell>
          <cell r="C2036" t="str">
            <v>C98483</v>
          </cell>
          <cell r="D2036" t="str">
            <v>Printer</v>
          </cell>
          <cell r="E2036">
            <v>5</v>
          </cell>
          <cell r="F2036">
            <v>22.14</v>
          </cell>
          <cell r="G2036" t="str">
            <v>456 Main St</v>
          </cell>
          <cell r="H2036" t="str">
            <v>Cash</v>
          </cell>
          <cell r="I2036" t="str">
            <v>Returned</v>
          </cell>
          <cell r="J2036" t="str">
            <v>TRK22084320</v>
          </cell>
          <cell r="K2036">
            <v>10</v>
          </cell>
          <cell r="L2036" t="str">
            <v>No Coupon</v>
          </cell>
          <cell r="M2036" t="str">
            <v>Instagram</v>
          </cell>
          <cell r="N2036">
            <v>110.7</v>
          </cell>
        </row>
        <row r="2037">
          <cell r="A2037" t="str">
            <v>ORD200835</v>
          </cell>
          <cell r="B2037">
            <v>45377</v>
          </cell>
          <cell r="C2037" t="str">
            <v>C16429</v>
          </cell>
          <cell r="D2037" t="str">
            <v>Desk</v>
          </cell>
          <cell r="E2037">
            <v>1</v>
          </cell>
          <cell r="F2037">
            <v>679.65</v>
          </cell>
          <cell r="G2037" t="str">
            <v>390 Main St</v>
          </cell>
          <cell r="H2037" t="str">
            <v>Debit Card</v>
          </cell>
          <cell r="I2037" t="str">
            <v>Shipped</v>
          </cell>
          <cell r="J2037" t="str">
            <v>TRK73888013</v>
          </cell>
          <cell r="K2037">
            <v>6</v>
          </cell>
          <cell r="L2037" t="str">
            <v>FREESHIP</v>
          </cell>
          <cell r="M2037" t="str">
            <v>Google</v>
          </cell>
          <cell r="N2037">
            <v>679.65</v>
          </cell>
        </row>
        <row r="2038">
          <cell r="A2038" t="str">
            <v>ORD200836</v>
          </cell>
          <cell r="B2038">
            <v>44959</v>
          </cell>
          <cell r="C2038" t="str">
            <v>C31810</v>
          </cell>
          <cell r="D2038" t="str">
            <v>Phone</v>
          </cell>
          <cell r="E2038">
            <v>1</v>
          </cell>
          <cell r="F2038">
            <v>178.44</v>
          </cell>
          <cell r="G2038" t="str">
            <v>328 Main St</v>
          </cell>
          <cell r="H2038" t="str">
            <v>Credit Card</v>
          </cell>
          <cell r="I2038" t="str">
            <v>Cancelled</v>
          </cell>
          <cell r="J2038" t="str">
            <v>TRK58725886</v>
          </cell>
          <cell r="K2038">
            <v>2</v>
          </cell>
          <cell r="L2038" t="str">
            <v>FREESHIP</v>
          </cell>
          <cell r="M2038" t="str">
            <v>Google</v>
          </cell>
          <cell r="N2038">
            <v>178.44</v>
          </cell>
        </row>
        <row r="2039">
          <cell r="A2039" t="str">
            <v>ORD200837</v>
          </cell>
          <cell r="B2039">
            <v>45822</v>
          </cell>
          <cell r="C2039" t="str">
            <v>C88029</v>
          </cell>
          <cell r="D2039" t="str">
            <v>Chair</v>
          </cell>
          <cell r="E2039">
            <v>5</v>
          </cell>
          <cell r="F2039">
            <v>655.55</v>
          </cell>
          <cell r="G2039" t="str">
            <v>282 Main St</v>
          </cell>
          <cell r="H2039" t="str">
            <v>Online</v>
          </cell>
          <cell r="I2039" t="str">
            <v>Delivered</v>
          </cell>
          <cell r="J2039" t="str">
            <v>TRK59701278</v>
          </cell>
          <cell r="K2039">
            <v>5</v>
          </cell>
          <cell r="L2039" t="str">
            <v>No Coupon</v>
          </cell>
          <cell r="M2039" t="str">
            <v>Email</v>
          </cell>
          <cell r="N2039">
            <v>3277.75</v>
          </cell>
        </row>
        <row r="2040">
          <cell r="A2040" t="str">
            <v>ORD200838</v>
          </cell>
          <cell r="B2040">
            <v>45393</v>
          </cell>
          <cell r="C2040" t="str">
            <v>C57798</v>
          </cell>
          <cell r="D2040" t="str">
            <v>Desk</v>
          </cell>
          <cell r="E2040">
            <v>4</v>
          </cell>
          <cell r="F2040">
            <v>577.08000000000004</v>
          </cell>
          <cell r="G2040" t="str">
            <v>384 Main St</v>
          </cell>
          <cell r="H2040" t="str">
            <v>Online</v>
          </cell>
          <cell r="I2040" t="str">
            <v>Pending</v>
          </cell>
          <cell r="J2040" t="str">
            <v>TRK68797566</v>
          </cell>
          <cell r="K2040">
            <v>8</v>
          </cell>
          <cell r="L2040" t="str">
            <v>No Coupon</v>
          </cell>
          <cell r="M2040" t="str">
            <v>Facebook</v>
          </cell>
          <cell r="N2040">
            <v>2308.3200000000002</v>
          </cell>
        </row>
        <row r="2041">
          <cell r="A2041" t="str">
            <v>ORD200839</v>
          </cell>
          <cell r="B2041">
            <v>45162</v>
          </cell>
          <cell r="C2041" t="str">
            <v>C82858</v>
          </cell>
          <cell r="D2041" t="str">
            <v>Chair</v>
          </cell>
          <cell r="E2041">
            <v>3</v>
          </cell>
          <cell r="F2041">
            <v>197.97</v>
          </cell>
          <cell r="G2041" t="str">
            <v>551 Main St</v>
          </cell>
          <cell r="H2041" t="str">
            <v>Online</v>
          </cell>
          <cell r="I2041" t="str">
            <v>Cancelled</v>
          </cell>
          <cell r="J2041" t="str">
            <v>TRK90618490</v>
          </cell>
          <cell r="K2041">
            <v>5</v>
          </cell>
          <cell r="L2041" t="str">
            <v>No Coupon</v>
          </cell>
          <cell r="M2041" t="str">
            <v>Google</v>
          </cell>
          <cell r="N2041">
            <v>593.91</v>
          </cell>
        </row>
        <row r="2042">
          <cell r="A2042" t="str">
            <v>ORD200840</v>
          </cell>
          <cell r="B2042">
            <v>45305</v>
          </cell>
          <cell r="C2042" t="str">
            <v>C60699</v>
          </cell>
          <cell r="D2042" t="str">
            <v>Chair</v>
          </cell>
          <cell r="E2042">
            <v>3</v>
          </cell>
          <cell r="F2042">
            <v>411.95</v>
          </cell>
          <cell r="G2042" t="str">
            <v>672 Main St</v>
          </cell>
          <cell r="H2042" t="str">
            <v>Credit Card</v>
          </cell>
          <cell r="I2042" t="str">
            <v>Delivered</v>
          </cell>
          <cell r="J2042" t="str">
            <v>TRK88660574</v>
          </cell>
          <cell r="K2042">
            <v>7</v>
          </cell>
          <cell r="L2042" t="str">
            <v>FREESHIP</v>
          </cell>
          <cell r="M2042" t="str">
            <v>Referral</v>
          </cell>
          <cell r="N2042">
            <v>1235.8499999999999</v>
          </cell>
        </row>
        <row r="2043">
          <cell r="A2043" t="str">
            <v>ORD200841</v>
          </cell>
          <cell r="B2043">
            <v>45554</v>
          </cell>
          <cell r="C2043" t="str">
            <v>C94658</v>
          </cell>
          <cell r="D2043" t="str">
            <v>Printer</v>
          </cell>
          <cell r="E2043">
            <v>2</v>
          </cell>
          <cell r="F2043">
            <v>443.22</v>
          </cell>
          <cell r="G2043" t="str">
            <v>742 Main St</v>
          </cell>
          <cell r="H2043" t="str">
            <v>Credit Card</v>
          </cell>
          <cell r="I2043" t="str">
            <v>Delivered</v>
          </cell>
          <cell r="J2043" t="str">
            <v>TRK51732528</v>
          </cell>
          <cell r="K2043">
            <v>5</v>
          </cell>
          <cell r="L2043" t="str">
            <v>No Coupon</v>
          </cell>
          <cell r="M2043" t="str">
            <v>Facebook</v>
          </cell>
          <cell r="N2043">
            <v>886.44</v>
          </cell>
        </row>
        <row r="2044">
          <cell r="A2044" t="str">
            <v>ORD200842</v>
          </cell>
          <cell r="B2044">
            <v>45784</v>
          </cell>
          <cell r="C2044" t="str">
            <v>C78305</v>
          </cell>
          <cell r="D2044" t="str">
            <v>Laptop</v>
          </cell>
          <cell r="E2044">
            <v>3</v>
          </cell>
          <cell r="F2044">
            <v>364.14</v>
          </cell>
          <cell r="G2044" t="str">
            <v>396 Main St</v>
          </cell>
          <cell r="H2044" t="str">
            <v>Online</v>
          </cell>
          <cell r="I2044" t="str">
            <v>Pending</v>
          </cell>
          <cell r="J2044" t="str">
            <v>TRK88312618</v>
          </cell>
          <cell r="K2044">
            <v>7</v>
          </cell>
          <cell r="L2044" t="str">
            <v>WINTER15</v>
          </cell>
          <cell r="M2044" t="str">
            <v>Referral</v>
          </cell>
          <cell r="N2044">
            <v>1092.42</v>
          </cell>
        </row>
        <row r="2045">
          <cell r="A2045" t="str">
            <v>ORD200843</v>
          </cell>
          <cell r="B2045">
            <v>45790</v>
          </cell>
          <cell r="C2045" t="str">
            <v>C43538</v>
          </cell>
          <cell r="D2045" t="str">
            <v>Desk</v>
          </cell>
          <cell r="E2045">
            <v>3</v>
          </cell>
          <cell r="F2045">
            <v>430.06</v>
          </cell>
          <cell r="G2045" t="str">
            <v>534 Main St</v>
          </cell>
          <cell r="H2045" t="str">
            <v>Gift Card</v>
          </cell>
          <cell r="I2045" t="str">
            <v>Cancelled</v>
          </cell>
          <cell r="J2045" t="str">
            <v>TRK20961563</v>
          </cell>
          <cell r="K2045">
            <v>8</v>
          </cell>
          <cell r="L2045" t="str">
            <v>FREESHIP</v>
          </cell>
          <cell r="M2045" t="str">
            <v>Instagram</v>
          </cell>
          <cell r="N2045">
            <v>1290.18</v>
          </cell>
        </row>
        <row r="2046">
          <cell r="A2046" t="str">
            <v>ORD200844</v>
          </cell>
          <cell r="B2046">
            <v>45630</v>
          </cell>
          <cell r="C2046" t="str">
            <v>C47486</v>
          </cell>
          <cell r="D2046" t="str">
            <v>Chair</v>
          </cell>
          <cell r="E2046">
            <v>1</v>
          </cell>
          <cell r="F2046">
            <v>320.92</v>
          </cell>
          <cell r="G2046" t="str">
            <v>883 Main St</v>
          </cell>
          <cell r="H2046" t="str">
            <v>Online</v>
          </cell>
          <cell r="I2046" t="str">
            <v>Returned</v>
          </cell>
          <cell r="J2046" t="str">
            <v>TRK75984759</v>
          </cell>
          <cell r="K2046">
            <v>5</v>
          </cell>
          <cell r="L2046" t="str">
            <v>FREESHIP</v>
          </cell>
          <cell r="M2046" t="str">
            <v>Facebook</v>
          </cell>
          <cell r="N2046">
            <v>320.92</v>
          </cell>
        </row>
        <row r="2047">
          <cell r="A2047" t="str">
            <v>ORD200845</v>
          </cell>
          <cell r="B2047">
            <v>45207</v>
          </cell>
          <cell r="C2047" t="str">
            <v>C24212</v>
          </cell>
          <cell r="D2047" t="str">
            <v>Phone</v>
          </cell>
          <cell r="E2047">
            <v>3</v>
          </cell>
          <cell r="F2047">
            <v>107.36</v>
          </cell>
          <cell r="G2047" t="str">
            <v>808 Main St</v>
          </cell>
          <cell r="H2047" t="str">
            <v>Gift Card</v>
          </cell>
          <cell r="I2047" t="str">
            <v>Delivered</v>
          </cell>
          <cell r="J2047" t="str">
            <v>TRK68894675</v>
          </cell>
          <cell r="K2047">
            <v>5</v>
          </cell>
          <cell r="L2047" t="str">
            <v>FREESHIP</v>
          </cell>
          <cell r="M2047" t="str">
            <v>Google</v>
          </cell>
          <cell r="N2047">
            <v>322.08</v>
          </cell>
        </row>
        <row r="2048">
          <cell r="A2048" t="str">
            <v>ORD200846</v>
          </cell>
          <cell r="B2048">
            <v>45477</v>
          </cell>
          <cell r="C2048" t="str">
            <v>C24765</v>
          </cell>
          <cell r="D2048" t="str">
            <v>Desk</v>
          </cell>
          <cell r="E2048">
            <v>2</v>
          </cell>
          <cell r="F2048">
            <v>359.86</v>
          </cell>
          <cell r="G2048" t="str">
            <v>646 Main St</v>
          </cell>
          <cell r="H2048" t="str">
            <v>Debit Card</v>
          </cell>
          <cell r="I2048" t="str">
            <v>Cancelled</v>
          </cell>
          <cell r="J2048" t="str">
            <v>TRK43977698</v>
          </cell>
          <cell r="K2048">
            <v>4</v>
          </cell>
          <cell r="L2048" t="str">
            <v>No Coupon</v>
          </cell>
          <cell r="M2048" t="str">
            <v>Referral</v>
          </cell>
          <cell r="N2048">
            <v>719.72</v>
          </cell>
        </row>
        <row r="2049">
          <cell r="A2049" t="str">
            <v>ORD200847</v>
          </cell>
          <cell r="B2049">
            <v>45614</v>
          </cell>
          <cell r="C2049" t="str">
            <v>C48176</v>
          </cell>
          <cell r="D2049" t="str">
            <v>Printer</v>
          </cell>
          <cell r="E2049">
            <v>4</v>
          </cell>
          <cell r="F2049">
            <v>434.23</v>
          </cell>
          <cell r="G2049" t="str">
            <v>670 Main St</v>
          </cell>
          <cell r="H2049" t="str">
            <v>Online</v>
          </cell>
          <cell r="I2049" t="str">
            <v>Shipped</v>
          </cell>
          <cell r="J2049" t="str">
            <v>TRK90560300</v>
          </cell>
          <cell r="K2049">
            <v>8</v>
          </cell>
          <cell r="L2049" t="str">
            <v>FREESHIP</v>
          </cell>
          <cell r="M2049" t="str">
            <v>Email</v>
          </cell>
          <cell r="N2049">
            <v>1736.92</v>
          </cell>
        </row>
        <row r="2050">
          <cell r="A2050" t="str">
            <v>ORD200848</v>
          </cell>
          <cell r="B2050">
            <v>44927</v>
          </cell>
          <cell r="C2050" t="str">
            <v>C54675</v>
          </cell>
          <cell r="D2050" t="str">
            <v>Chair</v>
          </cell>
          <cell r="E2050">
            <v>2</v>
          </cell>
          <cell r="F2050">
            <v>645.85</v>
          </cell>
          <cell r="G2050" t="str">
            <v>634 Main St</v>
          </cell>
          <cell r="H2050" t="str">
            <v>Online</v>
          </cell>
          <cell r="I2050" t="str">
            <v>Shipped</v>
          </cell>
          <cell r="J2050" t="str">
            <v>TRK18049633</v>
          </cell>
          <cell r="K2050">
            <v>5</v>
          </cell>
          <cell r="L2050" t="str">
            <v>No Coupon</v>
          </cell>
          <cell r="M2050" t="str">
            <v>Referral</v>
          </cell>
          <cell r="N2050">
            <v>1291.7</v>
          </cell>
        </row>
        <row r="2051">
          <cell r="A2051" t="str">
            <v>ORD200849</v>
          </cell>
          <cell r="B2051">
            <v>45817</v>
          </cell>
          <cell r="C2051" t="str">
            <v>C16675</v>
          </cell>
          <cell r="D2051" t="str">
            <v>Printer</v>
          </cell>
          <cell r="E2051">
            <v>4</v>
          </cell>
          <cell r="F2051">
            <v>214.35</v>
          </cell>
          <cell r="G2051" t="str">
            <v>664 Main St</v>
          </cell>
          <cell r="H2051" t="str">
            <v>Debit Card</v>
          </cell>
          <cell r="I2051" t="str">
            <v>Cancelled</v>
          </cell>
          <cell r="J2051" t="str">
            <v>TRK12756945</v>
          </cell>
          <cell r="K2051">
            <v>7</v>
          </cell>
          <cell r="L2051" t="str">
            <v>WINTER15</v>
          </cell>
          <cell r="M2051" t="str">
            <v>Referral</v>
          </cell>
          <cell r="N2051">
            <v>857.4</v>
          </cell>
        </row>
        <row r="2052">
          <cell r="A2052" t="str">
            <v>ORD200850</v>
          </cell>
          <cell r="B2052">
            <v>45774</v>
          </cell>
          <cell r="C2052" t="str">
            <v>C38557</v>
          </cell>
          <cell r="D2052" t="str">
            <v>Monitor</v>
          </cell>
          <cell r="E2052">
            <v>3</v>
          </cell>
          <cell r="F2052">
            <v>638.5</v>
          </cell>
          <cell r="G2052" t="str">
            <v>890 Main St</v>
          </cell>
          <cell r="H2052" t="str">
            <v>Debit Card</v>
          </cell>
          <cell r="I2052" t="str">
            <v>Cancelled</v>
          </cell>
          <cell r="J2052" t="str">
            <v>TRK14832238</v>
          </cell>
          <cell r="K2052">
            <v>4</v>
          </cell>
          <cell r="L2052" t="str">
            <v>FREESHIP</v>
          </cell>
          <cell r="M2052" t="str">
            <v>Instagram</v>
          </cell>
          <cell r="N2052">
            <v>1915.5</v>
          </cell>
        </row>
        <row r="2053">
          <cell r="A2053" t="str">
            <v>ORD200851</v>
          </cell>
          <cell r="B2053">
            <v>45272</v>
          </cell>
          <cell r="C2053" t="str">
            <v>C80183</v>
          </cell>
          <cell r="D2053" t="str">
            <v>Laptop</v>
          </cell>
          <cell r="E2053">
            <v>1</v>
          </cell>
          <cell r="F2053">
            <v>365.57</v>
          </cell>
          <cell r="G2053" t="str">
            <v>146 Main St</v>
          </cell>
          <cell r="H2053" t="str">
            <v>Online</v>
          </cell>
          <cell r="I2053" t="str">
            <v>Cancelled</v>
          </cell>
          <cell r="J2053" t="str">
            <v>TRK20814598</v>
          </cell>
          <cell r="K2053">
            <v>5</v>
          </cell>
          <cell r="L2053" t="str">
            <v>SAVE10</v>
          </cell>
          <cell r="M2053" t="str">
            <v>Email</v>
          </cell>
          <cell r="N2053">
            <v>365.57</v>
          </cell>
        </row>
        <row r="2054">
          <cell r="A2054" t="str">
            <v>ORD200852</v>
          </cell>
          <cell r="B2054">
            <v>45589</v>
          </cell>
          <cell r="C2054" t="str">
            <v>C39530</v>
          </cell>
          <cell r="D2054" t="str">
            <v>Desk</v>
          </cell>
          <cell r="E2054">
            <v>3</v>
          </cell>
          <cell r="F2054">
            <v>568.04999999999995</v>
          </cell>
          <cell r="G2054" t="str">
            <v>618 Main St</v>
          </cell>
          <cell r="H2054" t="str">
            <v>Gift Card</v>
          </cell>
          <cell r="I2054" t="str">
            <v>Pending</v>
          </cell>
          <cell r="J2054" t="str">
            <v>TRK69000497</v>
          </cell>
          <cell r="K2054">
            <v>6</v>
          </cell>
          <cell r="L2054" t="str">
            <v>SAVE10</v>
          </cell>
          <cell r="M2054" t="str">
            <v>Google</v>
          </cell>
          <cell r="N2054">
            <v>1704.15</v>
          </cell>
        </row>
        <row r="2055">
          <cell r="A2055" t="str">
            <v>ORD200853</v>
          </cell>
          <cell r="B2055">
            <v>45215</v>
          </cell>
          <cell r="C2055" t="str">
            <v>C10002</v>
          </cell>
          <cell r="D2055" t="str">
            <v>Printer</v>
          </cell>
          <cell r="E2055">
            <v>3</v>
          </cell>
          <cell r="F2055">
            <v>490.01</v>
          </cell>
          <cell r="G2055" t="str">
            <v>894 Main St</v>
          </cell>
          <cell r="H2055" t="str">
            <v>Cash</v>
          </cell>
          <cell r="I2055" t="str">
            <v>Returned</v>
          </cell>
          <cell r="J2055" t="str">
            <v>TRK94641152</v>
          </cell>
          <cell r="K2055">
            <v>4</v>
          </cell>
          <cell r="L2055" t="str">
            <v>SAVE10</v>
          </cell>
          <cell r="M2055" t="str">
            <v>Facebook</v>
          </cell>
          <cell r="N2055">
            <v>1470.03</v>
          </cell>
        </row>
        <row r="2056">
          <cell r="A2056" t="str">
            <v>ORD200854</v>
          </cell>
          <cell r="B2056">
            <v>45821</v>
          </cell>
          <cell r="C2056" t="str">
            <v>C56938</v>
          </cell>
          <cell r="D2056" t="str">
            <v>Laptop</v>
          </cell>
          <cell r="E2056">
            <v>3</v>
          </cell>
          <cell r="F2056">
            <v>372.6</v>
          </cell>
          <cell r="G2056" t="str">
            <v>356 Main St</v>
          </cell>
          <cell r="H2056" t="str">
            <v>Credit Card</v>
          </cell>
          <cell r="I2056" t="str">
            <v>Delivered</v>
          </cell>
          <cell r="J2056" t="str">
            <v>TRK67735987</v>
          </cell>
          <cell r="K2056">
            <v>7</v>
          </cell>
          <cell r="L2056" t="str">
            <v>WINTER15</v>
          </cell>
          <cell r="M2056" t="str">
            <v>Referral</v>
          </cell>
          <cell r="N2056">
            <v>1117.8</v>
          </cell>
        </row>
        <row r="2057">
          <cell r="A2057" t="str">
            <v>ORD200855</v>
          </cell>
          <cell r="B2057">
            <v>45071</v>
          </cell>
          <cell r="C2057" t="str">
            <v>C41331</v>
          </cell>
          <cell r="D2057" t="str">
            <v>Monitor</v>
          </cell>
          <cell r="E2057">
            <v>5</v>
          </cell>
          <cell r="F2057">
            <v>240.61</v>
          </cell>
          <cell r="G2057" t="str">
            <v>785 Main St</v>
          </cell>
          <cell r="H2057" t="str">
            <v>Credit Card</v>
          </cell>
          <cell r="I2057" t="str">
            <v>Shipped</v>
          </cell>
          <cell r="J2057" t="str">
            <v>TRK94198179</v>
          </cell>
          <cell r="K2057">
            <v>10</v>
          </cell>
          <cell r="L2057" t="str">
            <v>FREESHIP</v>
          </cell>
          <cell r="M2057" t="str">
            <v>Email</v>
          </cell>
          <cell r="N2057">
            <v>1203.05</v>
          </cell>
        </row>
        <row r="2058">
          <cell r="A2058" t="str">
            <v>ORD200856</v>
          </cell>
          <cell r="B2058">
            <v>45446</v>
          </cell>
          <cell r="C2058" t="str">
            <v>C94698</v>
          </cell>
          <cell r="D2058" t="str">
            <v>Phone</v>
          </cell>
          <cell r="E2058">
            <v>1</v>
          </cell>
          <cell r="F2058">
            <v>586.62</v>
          </cell>
          <cell r="G2058" t="str">
            <v>871 Main St</v>
          </cell>
          <cell r="H2058" t="str">
            <v>Debit Card</v>
          </cell>
          <cell r="I2058" t="str">
            <v>Shipped</v>
          </cell>
          <cell r="J2058" t="str">
            <v>TRK95768773</v>
          </cell>
          <cell r="K2058">
            <v>5</v>
          </cell>
          <cell r="L2058" t="str">
            <v>No Coupon</v>
          </cell>
          <cell r="M2058" t="str">
            <v>Facebook</v>
          </cell>
          <cell r="N2058">
            <v>586.62</v>
          </cell>
        </row>
        <row r="2059">
          <cell r="A2059" t="str">
            <v>ORD200857</v>
          </cell>
          <cell r="B2059">
            <v>45361</v>
          </cell>
          <cell r="C2059" t="str">
            <v>C56506</v>
          </cell>
          <cell r="D2059" t="str">
            <v>Phone</v>
          </cell>
          <cell r="E2059">
            <v>3</v>
          </cell>
          <cell r="F2059">
            <v>257.83999999999997</v>
          </cell>
          <cell r="G2059" t="str">
            <v>185 Main St</v>
          </cell>
          <cell r="H2059" t="str">
            <v>Online</v>
          </cell>
          <cell r="I2059" t="str">
            <v>Delivered</v>
          </cell>
          <cell r="J2059" t="str">
            <v>TRK86808324</v>
          </cell>
          <cell r="K2059">
            <v>4</v>
          </cell>
          <cell r="L2059" t="str">
            <v>No Coupon</v>
          </cell>
          <cell r="M2059" t="str">
            <v>Instagram</v>
          </cell>
          <cell r="N2059">
            <v>773.52</v>
          </cell>
        </row>
        <row r="2060">
          <cell r="A2060" t="str">
            <v>ORD200858</v>
          </cell>
          <cell r="B2060">
            <v>45158</v>
          </cell>
          <cell r="C2060" t="str">
            <v>C22167</v>
          </cell>
          <cell r="D2060" t="str">
            <v>Tablet</v>
          </cell>
          <cell r="E2060">
            <v>5</v>
          </cell>
          <cell r="F2060">
            <v>435.66</v>
          </cell>
          <cell r="G2060" t="str">
            <v>891 Main St</v>
          </cell>
          <cell r="H2060" t="str">
            <v>Online</v>
          </cell>
          <cell r="I2060" t="str">
            <v>Pending</v>
          </cell>
          <cell r="J2060" t="str">
            <v>TRK70269748</v>
          </cell>
          <cell r="K2060">
            <v>9</v>
          </cell>
          <cell r="L2060" t="str">
            <v>No Coupon</v>
          </cell>
          <cell r="M2060" t="str">
            <v>Facebook</v>
          </cell>
          <cell r="N2060">
            <v>2178.3000000000002</v>
          </cell>
        </row>
        <row r="2061">
          <cell r="A2061" t="str">
            <v>ORD200859</v>
          </cell>
          <cell r="B2061">
            <v>45532</v>
          </cell>
          <cell r="C2061" t="str">
            <v>C11127</v>
          </cell>
          <cell r="D2061" t="str">
            <v>Chair</v>
          </cell>
          <cell r="E2061">
            <v>5</v>
          </cell>
          <cell r="F2061">
            <v>261.33</v>
          </cell>
          <cell r="G2061" t="str">
            <v>154 Main St</v>
          </cell>
          <cell r="H2061" t="str">
            <v>Credit Card</v>
          </cell>
          <cell r="I2061" t="str">
            <v>Returned</v>
          </cell>
          <cell r="J2061" t="str">
            <v>TRK73285507</v>
          </cell>
          <cell r="K2061">
            <v>5</v>
          </cell>
          <cell r="L2061" t="str">
            <v>SAVE10</v>
          </cell>
          <cell r="M2061" t="str">
            <v>Referral</v>
          </cell>
          <cell r="N2061">
            <v>1306.6500000000001</v>
          </cell>
        </row>
        <row r="2062">
          <cell r="A2062" t="str">
            <v>ORD200860</v>
          </cell>
          <cell r="B2062">
            <v>45314</v>
          </cell>
          <cell r="C2062" t="str">
            <v>C69542</v>
          </cell>
          <cell r="D2062" t="str">
            <v>Printer</v>
          </cell>
          <cell r="E2062">
            <v>1</v>
          </cell>
          <cell r="F2062">
            <v>422.54</v>
          </cell>
          <cell r="G2062" t="str">
            <v>876 Main St</v>
          </cell>
          <cell r="H2062" t="str">
            <v>Cash</v>
          </cell>
          <cell r="I2062" t="str">
            <v>Delivered</v>
          </cell>
          <cell r="J2062" t="str">
            <v>TRK20746505</v>
          </cell>
          <cell r="K2062">
            <v>1</v>
          </cell>
          <cell r="L2062" t="str">
            <v>SAVE10</v>
          </cell>
          <cell r="M2062" t="str">
            <v>Google</v>
          </cell>
          <cell r="N2062">
            <v>422.54</v>
          </cell>
        </row>
        <row r="2063">
          <cell r="A2063" t="str">
            <v>ORD200861</v>
          </cell>
          <cell r="B2063">
            <v>45004</v>
          </cell>
          <cell r="C2063" t="str">
            <v>C93276</v>
          </cell>
          <cell r="D2063" t="str">
            <v>Desk</v>
          </cell>
          <cell r="E2063">
            <v>5</v>
          </cell>
          <cell r="F2063">
            <v>330.45</v>
          </cell>
          <cell r="G2063" t="str">
            <v>230 Main St</v>
          </cell>
          <cell r="H2063" t="str">
            <v>Gift Card</v>
          </cell>
          <cell r="I2063" t="str">
            <v>Shipped</v>
          </cell>
          <cell r="J2063" t="str">
            <v>TRK44165913</v>
          </cell>
          <cell r="K2063">
            <v>10</v>
          </cell>
          <cell r="L2063" t="str">
            <v>FREESHIP</v>
          </cell>
          <cell r="M2063" t="str">
            <v>Google</v>
          </cell>
          <cell r="N2063">
            <v>1652.25</v>
          </cell>
        </row>
        <row r="2064">
          <cell r="A2064" t="str">
            <v>ORD200862</v>
          </cell>
          <cell r="B2064">
            <v>45262</v>
          </cell>
          <cell r="C2064" t="str">
            <v>C37969</v>
          </cell>
          <cell r="D2064" t="str">
            <v>Desk</v>
          </cell>
          <cell r="E2064">
            <v>3</v>
          </cell>
          <cell r="F2064">
            <v>120.82</v>
          </cell>
          <cell r="G2064" t="str">
            <v>799 Main St</v>
          </cell>
          <cell r="H2064" t="str">
            <v>Credit Card</v>
          </cell>
          <cell r="I2064" t="str">
            <v>Shipped</v>
          </cell>
          <cell r="J2064" t="str">
            <v>TRK69852386</v>
          </cell>
          <cell r="K2064">
            <v>5</v>
          </cell>
          <cell r="L2064" t="str">
            <v>SAVE10</v>
          </cell>
          <cell r="M2064" t="str">
            <v>Referral</v>
          </cell>
          <cell r="N2064">
            <v>362.46</v>
          </cell>
        </row>
        <row r="2065">
          <cell r="A2065" t="str">
            <v>ORD200863</v>
          </cell>
          <cell r="B2065">
            <v>45432</v>
          </cell>
          <cell r="C2065" t="str">
            <v>C98276</v>
          </cell>
          <cell r="D2065" t="str">
            <v>Phone</v>
          </cell>
          <cell r="E2065">
            <v>1</v>
          </cell>
          <cell r="F2065">
            <v>14.06</v>
          </cell>
          <cell r="G2065" t="str">
            <v>471 Main St</v>
          </cell>
          <cell r="H2065" t="str">
            <v>Credit Card</v>
          </cell>
          <cell r="I2065" t="str">
            <v>Pending</v>
          </cell>
          <cell r="J2065" t="str">
            <v>TRK74207282</v>
          </cell>
          <cell r="K2065">
            <v>5</v>
          </cell>
          <cell r="L2065" t="str">
            <v>SAVE10</v>
          </cell>
          <cell r="M2065" t="str">
            <v>Referral</v>
          </cell>
          <cell r="N2065">
            <v>14.06</v>
          </cell>
        </row>
        <row r="2066">
          <cell r="A2066" t="str">
            <v>ORD200864</v>
          </cell>
          <cell r="B2066">
            <v>45049</v>
          </cell>
          <cell r="C2066" t="str">
            <v>C14240</v>
          </cell>
          <cell r="D2066" t="str">
            <v>Desk</v>
          </cell>
          <cell r="E2066">
            <v>1</v>
          </cell>
          <cell r="F2066">
            <v>491.11</v>
          </cell>
          <cell r="G2066" t="str">
            <v>592 Main St</v>
          </cell>
          <cell r="H2066" t="str">
            <v>Credit Card</v>
          </cell>
          <cell r="I2066" t="str">
            <v>Delivered</v>
          </cell>
          <cell r="J2066" t="str">
            <v>TRK58095246</v>
          </cell>
          <cell r="K2066">
            <v>4</v>
          </cell>
          <cell r="L2066" t="str">
            <v>SAVE10</v>
          </cell>
          <cell r="M2066" t="str">
            <v>Facebook</v>
          </cell>
          <cell r="N2066">
            <v>491.11</v>
          </cell>
        </row>
        <row r="2067">
          <cell r="A2067" t="str">
            <v>ORD200865</v>
          </cell>
          <cell r="B2067">
            <v>45046</v>
          </cell>
          <cell r="C2067" t="str">
            <v>C72241</v>
          </cell>
          <cell r="D2067" t="str">
            <v>Monitor</v>
          </cell>
          <cell r="E2067">
            <v>4</v>
          </cell>
          <cell r="F2067">
            <v>677.37</v>
          </cell>
          <cell r="G2067" t="str">
            <v>156 Main St</v>
          </cell>
          <cell r="H2067" t="str">
            <v>Cash</v>
          </cell>
          <cell r="I2067" t="str">
            <v>Pending</v>
          </cell>
          <cell r="J2067" t="str">
            <v>TRK76270481</v>
          </cell>
          <cell r="K2067">
            <v>8</v>
          </cell>
          <cell r="L2067" t="str">
            <v>SAVE10</v>
          </cell>
          <cell r="M2067" t="str">
            <v>Google</v>
          </cell>
          <cell r="N2067">
            <v>2709.48</v>
          </cell>
        </row>
        <row r="2068">
          <cell r="A2068" t="str">
            <v>ORD200866</v>
          </cell>
          <cell r="B2068">
            <v>45499</v>
          </cell>
          <cell r="C2068" t="str">
            <v>C39664</v>
          </cell>
          <cell r="D2068" t="str">
            <v>Desk</v>
          </cell>
          <cell r="E2068">
            <v>5</v>
          </cell>
          <cell r="F2068">
            <v>189.25</v>
          </cell>
          <cell r="G2068" t="str">
            <v>693 Main St</v>
          </cell>
          <cell r="H2068" t="str">
            <v>Debit Card</v>
          </cell>
          <cell r="I2068" t="str">
            <v>Cancelled</v>
          </cell>
          <cell r="J2068" t="str">
            <v>TRK39917741</v>
          </cell>
          <cell r="K2068">
            <v>10</v>
          </cell>
          <cell r="L2068" t="str">
            <v>WINTER15</v>
          </cell>
          <cell r="M2068" t="str">
            <v>Email</v>
          </cell>
          <cell r="N2068">
            <v>946.25</v>
          </cell>
        </row>
        <row r="2069">
          <cell r="A2069" t="str">
            <v>ORD200867</v>
          </cell>
          <cell r="B2069">
            <v>45438</v>
          </cell>
          <cell r="C2069" t="str">
            <v>C53252</v>
          </cell>
          <cell r="D2069" t="str">
            <v>Printer</v>
          </cell>
          <cell r="E2069">
            <v>4</v>
          </cell>
          <cell r="F2069">
            <v>142.58000000000001</v>
          </cell>
          <cell r="G2069" t="str">
            <v>351 Main St</v>
          </cell>
          <cell r="H2069" t="str">
            <v>Cash</v>
          </cell>
          <cell r="I2069" t="str">
            <v>Delivered</v>
          </cell>
          <cell r="J2069" t="str">
            <v>TRK65831261</v>
          </cell>
          <cell r="K2069">
            <v>4</v>
          </cell>
          <cell r="L2069" t="str">
            <v>FREESHIP</v>
          </cell>
          <cell r="M2069" t="str">
            <v>Facebook</v>
          </cell>
          <cell r="N2069">
            <v>570.32000000000005</v>
          </cell>
        </row>
        <row r="2070">
          <cell r="A2070" t="str">
            <v>ORD200868</v>
          </cell>
          <cell r="B2070">
            <v>45472</v>
          </cell>
          <cell r="C2070" t="str">
            <v>C70452</v>
          </cell>
          <cell r="D2070" t="str">
            <v>Monitor</v>
          </cell>
          <cell r="E2070">
            <v>4</v>
          </cell>
          <cell r="F2070">
            <v>316.32</v>
          </cell>
          <cell r="G2070" t="str">
            <v>309 Main St</v>
          </cell>
          <cell r="H2070" t="str">
            <v>Debit Card</v>
          </cell>
          <cell r="I2070" t="str">
            <v>Delivered</v>
          </cell>
          <cell r="J2070" t="str">
            <v>TRK42985882</v>
          </cell>
          <cell r="K2070">
            <v>7</v>
          </cell>
          <cell r="L2070" t="str">
            <v>No Coupon</v>
          </cell>
          <cell r="M2070" t="str">
            <v>Facebook</v>
          </cell>
          <cell r="N2070">
            <v>1265.28</v>
          </cell>
        </row>
        <row r="2071">
          <cell r="A2071" t="str">
            <v>ORD200869</v>
          </cell>
          <cell r="B2071">
            <v>45368</v>
          </cell>
          <cell r="C2071" t="str">
            <v>C29905</v>
          </cell>
          <cell r="D2071" t="str">
            <v>Desk</v>
          </cell>
          <cell r="E2071">
            <v>2</v>
          </cell>
          <cell r="F2071">
            <v>533.95000000000005</v>
          </cell>
          <cell r="G2071" t="str">
            <v>790 Main St</v>
          </cell>
          <cell r="H2071" t="str">
            <v>Online</v>
          </cell>
          <cell r="I2071" t="str">
            <v>Delivered</v>
          </cell>
          <cell r="J2071" t="str">
            <v>TRK16788127</v>
          </cell>
          <cell r="K2071">
            <v>5</v>
          </cell>
          <cell r="L2071" t="str">
            <v>WINTER15</v>
          </cell>
          <cell r="M2071" t="str">
            <v>Google</v>
          </cell>
          <cell r="N2071">
            <v>1067.9000000000001</v>
          </cell>
        </row>
        <row r="2072">
          <cell r="A2072" t="str">
            <v>ORD200870</v>
          </cell>
          <cell r="B2072">
            <v>45809</v>
          </cell>
          <cell r="C2072" t="str">
            <v>C78725</v>
          </cell>
          <cell r="D2072" t="str">
            <v>Phone</v>
          </cell>
          <cell r="E2072">
            <v>4</v>
          </cell>
          <cell r="F2072">
            <v>470.09</v>
          </cell>
          <cell r="G2072" t="str">
            <v>541 Main St</v>
          </cell>
          <cell r="H2072" t="str">
            <v>Debit Card</v>
          </cell>
          <cell r="I2072" t="str">
            <v>Delivered</v>
          </cell>
          <cell r="J2072" t="str">
            <v>TRK72001139</v>
          </cell>
          <cell r="K2072">
            <v>4</v>
          </cell>
          <cell r="L2072" t="str">
            <v>FREESHIP</v>
          </cell>
          <cell r="M2072" t="str">
            <v>Google</v>
          </cell>
          <cell r="N2072">
            <v>1880.36</v>
          </cell>
        </row>
        <row r="2073">
          <cell r="A2073" t="str">
            <v>ORD200871</v>
          </cell>
          <cell r="B2073">
            <v>45428</v>
          </cell>
          <cell r="C2073" t="str">
            <v>C93768</v>
          </cell>
          <cell r="D2073" t="str">
            <v>Tablet</v>
          </cell>
          <cell r="E2073">
            <v>3</v>
          </cell>
          <cell r="F2073">
            <v>324.3</v>
          </cell>
          <cell r="G2073" t="str">
            <v>720 Main St</v>
          </cell>
          <cell r="H2073" t="str">
            <v>Debit Card</v>
          </cell>
          <cell r="I2073" t="str">
            <v>Pending</v>
          </cell>
          <cell r="J2073" t="str">
            <v>TRK22024707</v>
          </cell>
          <cell r="K2073">
            <v>8</v>
          </cell>
          <cell r="L2073" t="str">
            <v>FREESHIP</v>
          </cell>
          <cell r="M2073" t="str">
            <v>Email</v>
          </cell>
          <cell r="N2073">
            <v>972.9</v>
          </cell>
        </row>
        <row r="2074">
          <cell r="A2074" t="str">
            <v>ORD200872</v>
          </cell>
          <cell r="B2074">
            <v>45117</v>
          </cell>
          <cell r="C2074" t="str">
            <v>C59169</v>
          </cell>
          <cell r="D2074" t="str">
            <v>Chair</v>
          </cell>
          <cell r="E2074">
            <v>4</v>
          </cell>
          <cell r="F2074">
            <v>629.34</v>
          </cell>
          <cell r="G2074" t="str">
            <v>172 Main St</v>
          </cell>
          <cell r="H2074" t="str">
            <v>Cash</v>
          </cell>
          <cell r="I2074" t="str">
            <v>Shipped</v>
          </cell>
          <cell r="J2074" t="str">
            <v>TRK90883858</v>
          </cell>
          <cell r="K2074">
            <v>7</v>
          </cell>
          <cell r="L2074" t="str">
            <v>No Coupon</v>
          </cell>
          <cell r="M2074" t="str">
            <v>Email</v>
          </cell>
          <cell r="N2074">
            <v>2517.36</v>
          </cell>
        </row>
        <row r="2075">
          <cell r="A2075" t="str">
            <v>ORD200873</v>
          </cell>
          <cell r="B2075">
            <v>45424</v>
          </cell>
          <cell r="C2075" t="str">
            <v>C53488</v>
          </cell>
          <cell r="D2075" t="str">
            <v>Desk</v>
          </cell>
          <cell r="E2075">
            <v>3</v>
          </cell>
          <cell r="F2075">
            <v>136.84</v>
          </cell>
          <cell r="G2075" t="str">
            <v>448 Main St</v>
          </cell>
          <cell r="H2075" t="str">
            <v>Cash</v>
          </cell>
          <cell r="I2075" t="str">
            <v>Delivered</v>
          </cell>
          <cell r="J2075" t="str">
            <v>TRK27365050</v>
          </cell>
          <cell r="K2075">
            <v>3</v>
          </cell>
          <cell r="L2075" t="str">
            <v>SAVE10</v>
          </cell>
          <cell r="M2075" t="str">
            <v>Facebook</v>
          </cell>
          <cell r="N2075">
            <v>410.52</v>
          </cell>
        </row>
        <row r="2076">
          <cell r="A2076" t="str">
            <v>ORD200874</v>
          </cell>
          <cell r="B2076">
            <v>45230</v>
          </cell>
          <cell r="C2076" t="str">
            <v>C92180</v>
          </cell>
          <cell r="D2076" t="str">
            <v>Chair</v>
          </cell>
          <cell r="E2076">
            <v>2</v>
          </cell>
          <cell r="F2076">
            <v>488.9</v>
          </cell>
          <cell r="G2076" t="str">
            <v>632 Main St</v>
          </cell>
          <cell r="H2076" t="str">
            <v>Cash</v>
          </cell>
          <cell r="I2076" t="str">
            <v>Delivered</v>
          </cell>
          <cell r="J2076" t="str">
            <v>TRK93315929</v>
          </cell>
          <cell r="K2076">
            <v>7</v>
          </cell>
          <cell r="L2076" t="str">
            <v>FREESHIP</v>
          </cell>
          <cell r="M2076" t="str">
            <v>Facebook</v>
          </cell>
          <cell r="N2076">
            <v>977.8</v>
          </cell>
        </row>
        <row r="2077">
          <cell r="A2077" t="str">
            <v>ORD200875</v>
          </cell>
          <cell r="B2077">
            <v>45141</v>
          </cell>
          <cell r="C2077" t="str">
            <v>C25918</v>
          </cell>
          <cell r="D2077" t="str">
            <v>Laptop</v>
          </cell>
          <cell r="E2077">
            <v>5</v>
          </cell>
          <cell r="F2077">
            <v>133.38999999999999</v>
          </cell>
          <cell r="G2077" t="str">
            <v>203 Main St</v>
          </cell>
          <cell r="H2077" t="str">
            <v>Credit Card</v>
          </cell>
          <cell r="I2077" t="str">
            <v>Delivered</v>
          </cell>
          <cell r="J2077" t="str">
            <v>TRK66473392</v>
          </cell>
          <cell r="K2077">
            <v>6</v>
          </cell>
          <cell r="L2077" t="str">
            <v>FREESHIP</v>
          </cell>
          <cell r="M2077" t="str">
            <v>Referral</v>
          </cell>
          <cell r="N2077">
            <v>666.95</v>
          </cell>
        </row>
        <row r="2078">
          <cell r="A2078" t="str">
            <v>ORD200876</v>
          </cell>
          <cell r="B2078">
            <v>45452</v>
          </cell>
          <cell r="C2078" t="str">
            <v>C90363</v>
          </cell>
          <cell r="D2078" t="str">
            <v>Chair</v>
          </cell>
          <cell r="E2078">
            <v>5</v>
          </cell>
          <cell r="F2078">
            <v>608.91</v>
          </cell>
          <cell r="G2078" t="str">
            <v>200 Main St</v>
          </cell>
          <cell r="H2078" t="str">
            <v>Gift Card</v>
          </cell>
          <cell r="I2078" t="str">
            <v>Pending</v>
          </cell>
          <cell r="J2078" t="str">
            <v>TRK21534173</v>
          </cell>
          <cell r="K2078">
            <v>6</v>
          </cell>
          <cell r="L2078" t="str">
            <v>SAVE10</v>
          </cell>
          <cell r="M2078" t="str">
            <v>Google</v>
          </cell>
          <cell r="N2078">
            <v>3044.55</v>
          </cell>
        </row>
        <row r="2079">
          <cell r="A2079" t="str">
            <v>ORD200877</v>
          </cell>
          <cell r="B2079">
            <v>45498</v>
          </cell>
          <cell r="C2079" t="str">
            <v>C43867</v>
          </cell>
          <cell r="D2079" t="str">
            <v>Tablet</v>
          </cell>
          <cell r="E2079">
            <v>1</v>
          </cell>
          <cell r="F2079">
            <v>524.05999999999995</v>
          </cell>
          <cell r="G2079" t="str">
            <v>269 Main St</v>
          </cell>
          <cell r="H2079" t="str">
            <v>Debit Card</v>
          </cell>
          <cell r="I2079" t="str">
            <v>Pending</v>
          </cell>
          <cell r="J2079" t="str">
            <v>TRK97319127</v>
          </cell>
          <cell r="K2079">
            <v>3</v>
          </cell>
          <cell r="L2079" t="str">
            <v>FREESHIP</v>
          </cell>
          <cell r="M2079" t="str">
            <v>Email</v>
          </cell>
          <cell r="N2079">
            <v>524.05999999999995</v>
          </cell>
        </row>
        <row r="2080">
          <cell r="A2080" t="str">
            <v>ORD200878</v>
          </cell>
          <cell r="B2080">
            <v>45078</v>
          </cell>
          <cell r="C2080" t="str">
            <v>C73873</v>
          </cell>
          <cell r="D2080" t="str">
            <v>Desk</v>
          </cell>
          <cell r="E2080">
            <v>2</v>
          </cell>
          <cell r="F2080">
            <v>330.69</v>
          </cell>
          <cell r="G2080" t="str">
            <v>393 Main St</v>
          </cell>
          <cell r="H2080" t="str">
            <v>Online</v>
          </cell>
          <cell r="I2080" t="str">
            <v>Cancelled</v>
          </cell>
          <cell r="J2080" t="str">
            <v>TRK56423132</v>
          </cell>
          <cell r="K2080">
            <v>5</v>
          </cell>
          <cell r="L2080" t="str">
            <v>SAVE10</v>
          </cell>
          <cell r="M2080" t="str">
            <v>Google</v>
          </cell>
          <cell r="N2080">
            <v>661.38</v>
          </cell>
        </row>
        <row r="2081">
          <cell r="A2081" t="str">
            <v>ORD200879</v>
          </cell>
          <cell r="B2081">
            <v>45755</v>
          </cell>
          <cell r="C2081" t="str">
            <v>C56622</v>
          </cell>
          <cell r="D2081" t="str">
            <v>Phone</v>
          </cell>
          <cell r="E2081">
            <v>2</v>
          </cell>
          <cell r="F2081">
            <v>547.66999999999996</v>
          </cell>
          <cell r="G2081" t="str">
            <v>932 Main St</v>
          </cell>
          <cell r="H2081" t="str">
            <v>Gift Card</v>
          </cell>
          <cell r="I2081" t="str">
            <v>Shipped</v>
          </cell>
          <cell r="J2081" t="str">
            <v>TRK86373987</v>
          </cell>
          <cell r="K2081">
            <v>3</v>
          </cell>
          <cell r="L2081" t="str">
            <v>No Coupon</v>
          </cell>
          <cell r="M2081" t="str">
            <v>Instagram</v>
          </cell>
          <cell r="N2081">
            <v>1095.3399999999999</v>
          </cell>
        </row>
        <row r="2082">
          <cell r="A2082" t="str">
            <v>ORD200880</v>
          </cell>
          <cell r="B2082">
            <v>45728</v>
          </cell>
          <cell r="C2082" t="str">
            <v>C85074</v>
          </cell>
          <cell r="D2082" t="str">
            <v>Laptop</v>
          </cell>
          <cell r="E2082">
            <v>4</v>
          </cell>
          <cell r="F2082">
            <v>233.7</v>
          </cell>
          <cell r="G2082" t="str">
            <v>506 Main St</v>
          </cell>
          <cell r="H2082" t="str">
            <v>Online</v>
          </cell>
          <cell r="I2082" t="str">
            <v>Shipped</v>
          </cell>
          <cell r="J2082" t="str">
            <v>TRK63133878</v>
          </cell>
          <cell r="K2082">
            <v>8</v>
          </cell>
          <cell r="L2082" t="str">
            <v>SAVE10</v>
          </cell>
          <cell r="M2082" t="str">
            <v>Facebook</v>
          </cell>
          <cell r="N2082">
            <v>934.8</v>
          </cell>
        </row>
        <row r="2083">
          <cell r="A2083" t="str">
            <v>ORD200881</v>
          </cell>
          <cell r="B2083">
            <v>44929</v>
          </cell>
          <cell r="C2083" t="str">
            <v>C59579</v>
          </cell>
          <cell r="D2083" t="str">
            <v>Tablet</v>
          </cell>
          <cell r="E2083">
            <v>2</v>
          </cell>
          <cell r="F2083">
            <v>448.85</v>
          </cell>
          <cell r="G2083" t="str">
            <v>386 Main St</v>
          </cell>
          <cell r="H2083" t="str">
            <v>Credit Card</v>
          </cell>
          <cell r="I2083" t="str">
            <v>Pending</v>
          </cell>
          <cell r="J2083" t="str">
            <v>TRK48000034</v>
          </cell>
          <cell r="K2083">
            <v>6</v>
          </cell>
          <cell r="L2083" t="str">
            <v>No Coupon</v>
          </cell>
          <cell r="M2083" t="str">
            <v>Instagram</v>
          </cell>
          <cell r="N2083">
            <v>897.7</v>
          </cell>
        </row>
        <row r="2084">
          <cell r="A2084" t="str">
            <v>ORD200882</v>
          </cell>
          <cell r="B2084">
            <v>45836</v>
          </cell>
          <cell r="C2084" t="str">
            <v>C43335</v>
          </cell>
          <cell r="D2084" t="str">
            <v>Phone</v>
          </cell>
          <cell r="E2084">
            <v>2</v>
          </cell>
          <cell r="F2084">
            <v>274.12</v>
          </cell>
          <cell r="G2084" t="str">
            <v>533 Main St</v>
          </cell>
          <cell r="H2084" t="str">
            <v>Cash</v>
          </cell>
          <cell r="I2084" t="str">
            <v>Delivered</v>
          </cell>
          <cell r="J2084" t="str">
            <v>TRK91848650</v>
          </cell>
          <cell r="K2084">
            <v>6</v>
          </cell>
          <cell r="L2084" t="str">
            <v>FREESHIP</v>
          </cell>
          <cell r="M2084" t="str">
            <v>Referral</v>
          </cell>
          <cell r="N2084">
            <v>548.24</v>
          </cell>
        </row>
        <row r="2085">
          <cell r="A2085" t="str">
            <v>ORD200883</v>
          </cell>
          <cell r="B2085">
            <v>45790</v>
          </cell>
          <cell r="C2085" t="str">
            <v>C43595</v>
          </cell>
          <cell r="D2085" t="str">
            <v>Printer</v>
          </cell>
          <cell r="E2085">
            <v>5</v>
          </cell>
          <cell r="F2085">
            <v>561.48</v>
          </cell>
          <cell r="G2085" t="str">
            <v>451 Main St</v>
          </cell>
          <cell r="H2085" t="str">
            <v>Online</v>
          </cell>
          <cell r="I2085" t="str">
            <v>Delivered</v>
          </cell>
          <cell r="J2085" t="str">
            <v>TRK25317348</v>
          </cell>
          <cell r="K2085">
            <v>9</v>
          </cell>
          <cell r="L2085" t="str">
            <v>FREESHIP</v>
          </cell>
          <cell r="M2085" t="str">
            <v>Facebook</v>
          </cell>
          <cell r="N2085">
            <v>2807.4</v>
          </cell>
        </row>
        <row r="2086">
          <cell r="A2086" t="str">
            <v>ORD200884</v>
          </cell>
          <cell r="B2086">
            <v>45427</v>
          </cell>
          <cell r="C2086" t="str">
            <v>C71471</v>
          </cell>
          <cell r="D2086" t="str">
            <v>Chair</v>
          </cell>
          <cell r="E2086">
            <v>1</v>
          </cell>
          <cell r="F2086">
            <v>595.54</v>
          </cell>
          <cell r="G2086" t="str">
            <v>817 Main St</v>
          </cell>
          <cell r="H2086" t="str">
            <v>Gift Card</v>
          </cell>
          <cell r="I2086" t="str">
            <v>Shipped</v>
          </cell>
          <cell r="J2086" t="str">
            <v>TRK52137079</v>
          </cell>
          <cell r="K2086">
            <v>4</v>
          </cell>
          <cell r="L2086" t="str">
            <v>No Coupon</v>
          </cell>
          <cell r="M2086" t="str">
            <v>Instagram</v>
          </cell>
          <cell r="N2086">
            <v>595.54</v>
          </cell>
        </row>
        <row r="2087">
          <cell r="A2087" t="str">
            <v>ORD200885</v>
          </cell>
          <cell r="B2087">
            <v>45389</v>
          </cell>
          <cell r="C2087" t="str">
            <v>C61090</v>
          </cell>
          <cell r="D2087" t="str">
            <v>Laptop</v>
          </cell>
          <cell r="E2087">
            <v>4</v>
          </cell>
          <cell r="F2087">
            <v>515.59</v>
          </cell>
          <cell r="G2087" t="str">
            <v>387 Main St</v>
          </cell>
          <cell r="H2087" t="str">
            <v>Credit Card</v>
          </cell>
          <cell r="I2087" t="str">
            <v>Shipped</v>
          </cell>
          <cell r="J2087" t="str">
            <v>TRK36388962</v>
          </cell>
          <cell r="K2087">
            <v>7</v>
          </cell>
          <cell r="L2087" t="str">
            <v>FREESHIP</v>
          </cell>
          <cell r="M2087" t="str">
            <v>Google</v>
          </cell>
          <cell r="N2087">
            <v>2062.36</v>
          </cell>
        </row>
        <row r="2088">
          <cell r="A2088" t="str">
            <v>ORD200886</v>
          </cell>
          <cell r="B2088">
            <v>45224</v>
          </cell>
          <cell r="C2088" t="str">
            <v>C29620</v>
          </cell>
          <cell r="D2088" t="str">
            <v>Phone</v>
          </cell>
          <cell r="E2088">
            <v>1</v>
          </cell>
          <cell r="F2088">
            <v>460.13</v>
          </cell>
          <cell r="G2088" t="str">
            <v>792 Main St</v>
          </cell>
          <cell r="H2088" t="str">
            <v>Credit Card</v>
          </cell>
          <cell r="I2088" t="str">
            <v>Returned</v>
          </cell>
          <cell r="J2088" t="str">
            <v>TRK22046456</v>
          </cell>
          <cell r="K2088">
            <v>1</v>
          </cell>
          <cell r="L2088" t="str">
            <v>No Coupon</v>
          </cell>
          <cell r="M2088" t="str">
            <v>Google</v>
          </cell>
          <cell r="N2088">
            <v>460.13</v>
          </cell>
        </row>
        <row r="2089">
          <cell r="A2089" t="str">
            <v>ORD200887</v>
          </cell>
          <cell r="B2089">
            <v>45645</v>
          </cell>
          <cell r="C2089" t="str">
            <v>C67932</v>
          </cell>
          <cell r="D2089" t="str">
            <v>Chair</v>
          </cell>
          <cell r="E2089">
            <v>3</v>
          </cell>
          <cell r="F2089">
            <v>171.66</v>
          </cell>
          <cell r="G2089" t="str">
            <v>857 Main St</v>
          </cell>
          <cell r="H2089" t="str">
            <v>Debit Card</v>
          </cell>
          <cell r="I2089" t="str">
            <v>Delivered</v>
          </cell>
          <cell r="J2089" t="str">
            <v>TRK88547534</v>
          </cell>
          <cell r="K2089">
            <v>7</v>
          </cell>
          <cell r="L2089" t="str">
            <v>No Coupon</v>
          </cell>
          <cell r="M2089" t="str">
            <v>Google</v>
          </cell>
          <cell r="N2089">
            <v>514.98</v>
          </cell>
        </row>
        <row r="2090">
          <cell r="A2090" t="str">
            <v>ORD200888</v>
          </cell>
          <cell r="B2090">
            <v>45496</v>
          </cell>
          <cell r="C2090" t="str">
            <v>C14427</v>
          </cell>
          <cell r="D2090" t="str">
            <v>Laptop</v>
          </cell>
          <cell r="E2090">
            <v>2</v>
          </cell>
          <cell r="F2090">
            <v>266.95</v>
          </cell>
          <cell r="G2090" t="str">
            <v>833 Main St</v>
          </cell>
          <cell r="H2090" t="str">
            <v>Credit Card</v>
          </cell>
          <cell r="I2090" t="str">
            <v>Pending</v>
          </cell>
          <cell r="J2090" t="str">
            <v>TRK58024529</v>
          </cell>
          <cell r="K2090">
            <v>3</v>
          </cell>
          <cell r="L2090" t="str">
            <v>No Coupon</v>
          </cell>
          <cell r="M2090" t="str">
            <v>Instagram</v>
          </cell>
          <cell r="N2090">
            <v>533.9</v>
          </cell>
        </row>
        <row r="2091">
          <cell r="A2091" t="str">
            <v>ORD200889</v>
          </cell>
          <cell r="B2091">
            <v>45592</v>
          </cell>
          <cell r="C2091" t="str">
            <v>C36725</v>
          </cell>
          <cell r="D2091" t="str">
            <v>Monitor</v>
          </cell>
          <cell r="E2091">
            <v>5</v>
          </cell>
          <cell r="F2091">
            <v>650.72</v>
          </cell>
          <cell r="G2091" t="str">
            <v>350 Main St</v>
          </cell>
          <cell r="H2091" t="str">
            <v>Credit Card</v>
          </cell>
          <cell r="I2091" t="str">
            <v>Cancelled</v>
          </cell>
          <cell r="J2091" t="str">
            <v>TRK16808790</v>
          </cell>
          <cell r="K2091">
            <v>8</v>
          </cell>
          <cell r="L2091" t="str">
            <v>WINTER15</v>
          </cell>
          <cell r="M2091" t="str">
            <v>Email</v>
          </cell>
          <cell r="N2091">
            <v>3253.6</v>
          </cell>
        </row>
        <row r="2092">
          <cell r="A2092" t="str">
            <v>ORD200890</v>
          </cell>
          <cell r="B2092">
            <v>45149</v>
          </cell>
          <cell r="C2092" t="str">
            <v>C51921</v>
          </cell>
          <cell r="D2092" t="str">
            <v>Laptop</v>
          </cell>
          <cell r="E2092">
            <v>3</v>
          </cell>
          <cell r="F2092">
            <v>439.53</v>
          </cell>
          <cell r="G2092" t="str">
            <v>943 Main St</v>
          </cell>
          <cell r="H2092" t="str">
            <v>Debit Card</v>
          </cell>
          <cell r="I2092" t="str">
            <v>Pending</v>
          </cell>
          <cell r="J2092" t="str">
            <v>TRK85741716</v>
          </cell>
          <cell r="K2092">
            <v>5</v>
          </cell>
          <cell r="L2092" t="str">
            <v>No Coupon</v>
          </cell>
          <cell r="M2092" t="str">
            <v>Google</v>
          </cell>
          <cell r="N2092">
            <v>1318.59</v>
          </cell>
        </row>
        <row r="2093">
          <cell r="A2093" t="str">
            <v>ORD200891</v>
          </cell>
          <cell r="B2093">
            <v>45241</v>
          </cell>
          <cell r="C2093" t="str">
            <v>C36534</v>
          </cell>
          <cell r="D2093" t="str">
            <v>Monitor</v>
          </cell>
          <cell r="E2093">
            <v>3</v>
          </cell>
          <cell r="F2093">
            <v>654.54</v>
          </cell>
          <cell r="G2093" t="str">
            <v>918 Main St</v>
          </cell>
          <cell r="H2093" t="str">
            <v>Cash</v>
          </cell>
          <cell r="I2093" t="str">
            <v>Returned</v>
          </cell>
          <cell r="J2093" t="str">
            <v>TRK38952138</v>
          </cell>
          <cell r="K2093">
            <v>7</v>
          </cell>
          <cell r="L2093" t="str">
            <v>SAVE10</v>
          </cell>
          <cell r="M2093" t="str">
            <v>Referral</v>
          </cell>
          <cell r="N2093">
            <v>1963.62</v>
          </cell>
        </row>
        <row r="2094">
          <cell r="A2094" t="str">
            <v>ORD200892</v>
          </cell>
          <cell r="B2094">
            <v>45447</v>
          </cell>
          <cell r="C2094" t="str">
            <v>C72043</v>
          </cell>
          <cell r="D2094" t="str">
            <v>Desk</v>
          </cell>
          <cell r="E2094">
            <v>1</v>
          </cell>
          <cell r="F2094">
            <v>394.53</v>
          </cell>
          <cell r="G2094" t="str">
            <v>480 Main St</v>
          </cell>
          <cell r="H2094" t="str">
            <v>Cash</v>
          </cell>
          <cell r="I2094" t="str">
            <v>Shipped</v>
          </cell>
          <cell r="J2094" t="str">
            <v>TRK40896408</v>
          </cell>
          <cell r="K2094">
            <v>2</v>
          </cell>
          <cell r="L2094" t="str">
            <v>FREESHIP</v>
          </cell>
          <cell r="M2094" t="str">
            <v>Referral</v>
          </cell>
          <cell r="N2094">
            <v>394.53</v>
          </cell>
        </row>
        <row r="2095">
          <cell r="A2095" t="str">
            <v>ORD200893</v>
          </cell>
          <cell r="B2095">
            <v>45006</v>
          </cell>
          <cell r="C2095" t="str">
            <v>C99533</v>
          </cell>
          <cell r="D2095" t="str">
            <v>Monitor</v>
          </cell>
          <cell r="E2095">
            <v>1</v>
          </cell>
          <cell r="F2095">
            <v>678.01</v>
          </cell>
          <cell r="G2095" t="str">
            <v>696 Main St</v>
          </cell>
          <cell r="H2095" t="str">
            <v>Cash</v>
          </cell>
          <cell r="I2095" t="str">
            <v>Pending</v>
          </cell>
          <cell r="J2095" t="str">
            <v>TRK55701253</v>
          </cell>
          <cell r="K2095">
            <v>4</v>
          </cell>
          <cell r="L2095" t="str">
            <v>FREESHIP</v>
          </cell>
          <cell r="M2095" t="str">
            <v>Referral</v>
          </cell>
          <cell r="N2095">
            <v>678.01</v>
          </cell>
        </row>
        <row r="2096">
          <cell r="A2096" t="str">
            <v>ORD200894</v>
          </cell>
          <cell r="B2096">
            <v>45069</v>
          </cell>
          <cell r="C2096" t="str">
            <v>C90852</v>
          </cell>
          <cell r="D2096" t="str">
            <v>Tablet</v>
          </cell>
          <cell r="E2096">
            <v>3</v>
          </cell>
          <cell r="F2096">
            <v>575.01</v>
          </cell>
          <cell r="G2096" t="str">
            <v>852 Main St</v>
          </cell>
          <cell r="H2096" t="str">
            <v>Online</v>
          </cell>
          <cell r="I2096" t="str">
            <v>Cancelled</v>
          </cell>
          <cell r="J2096" t="str">
            <v>TRK37551831</v>
          </cell>
          <cell r="K2096">
            <v>8</v>
          </cell>
          <cell r="L2096" t="str">
            <v>WINTER15</v>
          </cell>
          <cell r="M2096" t="str">
            <v>Instagram</v>
          </cell>
          <cell r="N2096">
            <v>1725.03</v>
          </cell>
        </row>
        <row r="2097">
          <cell r="A2097" t="str">
            <v>ORD200895</v>
          </cell>
          <cell r="B2097">
            <v>45239</v>
          </cell>
          <cell r="C2097" t="str">
            <v>C81882</v>
          </cell>
          <cell r="D2097" t="str">
            <v>Chair</v>
          </cell>
          <cell r="E2097">
            <v>3</v>
          </cell>
          <cell r="F2097">
            <v>154.63999999999999</v>
          </cell>
          <cell r="G2097" t="str">
            <v>832 Main St</v>
          </cell>
          <cell r="H2097" t="str">
            <v>Debit Card</v>
          </cell>
          <cell r="I2097" t="str">
            <v>Pending</v>
          </cell>
          <cell r="J2097" t="str">
            <v>TRK62371264</v>
          </cell>
          <cell r="K2097">
            <v>6</v>
          </cell>
          <cell r="L2097" t="str">
            <v>WINTER15</v>
          </cell>
          <cell r="M2097" t="str">
            <v>Facebook</v>
          </cell>
          <cell r="N2097">
            <v>463.92</v>
          </cell>
        </row>
        <row r="2098">
          <cell r="A2098" t="str">
            <v>ORD200896</v>
          </cell>
          <cell r="B2098">
            <v>45583</v>
          </cell>
          <cell r="C2098" t="str">
            <v>C85466</v>
          </cell>
          <cell r="D2098" t="str">
            <v>Desk</v>
          </cell>
          <cell r="E2098">
            <v>3</v>
          </cell>
          <cell r="F2098">
            <v>147.29</v>
          </cell>
          <cell r="G2098" t="str">
            <v>102 Main St</v>
          </cell>
          <cell r="H2098" t="str">
            <v>Gift Card</v>
          </cell>
          <cell r="I2098" t="str">
            <v>Shipped</v>
          </cell>
          <cell r="J2098" t="str">
            <v>TRK66764177</v>
          </cell>
          <cell r="K2098">
            <v>3</v>
          </cell>
          <cell r="L2098" t="str">
            <v>FREESHIP</v>
          </cell>
          <cell r="M2098" t="str">
            <v>Google</v>
          </cell>
          <cell r="N2098">
            <v>441.87</v>
          </cell>
        </row>
        <row r="2099">
          <cell r="A2099" t="str">
            <v>ORD200897</v>
          </cell>
          <cell r="B2099">
            <v>45538</v>
          </cell>
          <cell r="C2099" t="str">
            <v>C87995</v>
          </cell>
          <cell r="D2099" t="str">
            <v>Laptop</v>
          </cell>
          <cell r="E2099">
            <v>4</v>
          </cell>
          <cell r="F2099">
            <v>481.48</v>
          </cell>
          <cell r="G2099" t="str">
            <v>358 Main St</v>
          </cell>
          <cell r="H2099" t="str">
            <v>Gift Card</v>
          </cell>
          <cell r="I2099" t="str">
            <v>Delivered</v>
          </cell>
          <cell r="J2099" t="str">
            <v>TRK38730545</v>
          </cell>
          <cell r="K2099">
            <v>5</v>
          </cell>
          <cell r="L2099" t="str">
            <v>SAVE10</v>
          </cell>
          <cell r="M2099" t="str">
            <v>Instagram</v>
          </cell>
          <cell r="N2099">
            <v>1925.92</v>
          </cell>
        </row>
        <row r="2100">
          <cell r="A2100" t="str">
            <v>ORD200898</v>
          </cell>
          <cell r="B2100">
            <v>45721</v>
          </cell>
          <cell r="C2100" t="str">
            <v>C44619</v>
          </cell>
          <cell r="D2100" t="str">
            <v>Monitor</v>
          </cell>
          <cell r="E2100">
            <v>3</v>
          </cell>
          <cell r="F2100">
            <v>158.37</v>
          </cell>
          <cell r="G2100" t="str">
            <v>742 Main St</v>
          </cell>
          <cell r="H2100" t="str">
            <v>Cash</v>
          </cell>
          <cell r="I2100" t="str">
            <v>Shipped</v>
          </cell>
          <cell r="J2100" t="str">
            <v>TRK66662528</v>
          </cell>
          <cell r="K2100">
            <v>6</v>
          </cell>
          <cell r="L2100" t="str">
            <v>No Coupon</v>
          </cell>
          <cell r="M2100" t="str">
            <v>Referral</v>
          </cell>
          <cell r="N2100">
            <v>475.11</v>
          </cell>
        </row>
        <row r="2101">
          <cell r="A2101" t="str">
            <v>ORD200899</v>
          </cell>
          <cell r="B2101">
            <v>45770</v>
          </cell>
          <cell r="C2101" t="str">
            <v>C99904</v>
          </cell>
          <cell r="D2101" t="str">
            <v>Printer</v>
          </cell>
          <cell r="E2101">
            <v>2</v>
          </cell>
          <cell r="F2101">
            <v>323.37</v>
          </cell>
          <cell r="G2101" t="str">
            <v>552 Main St</v>
          </cell>
          <cell r="H2101" t="str">
            <v>Online</v>
          </cell>
          <cell r="I2101" t="str">
            <v>Pending</v>
          </cell>
          <cell r="J2101" t="str">
            <v>TRK83843411</v>
          </cell>
          <cell r="K2101">
            <v>3</v>
          </cell>
          <cell r="L2101" t="str">
            <v>SAVE10</v>
          </cell>
          <cell r="M2101" t="str">
            <v>Instagram</v>
          </cell>
          <cell r="N2101">
            <v>646.74</v>
          </cell>
        </row>
        <row r="2102">
          <cell r="A2102" t="str">
            <v>ORD200900</v>
          </cell>
          <cell r="B2102">
            <v>45695</v>
          </cell>
          <cell r="C2102" t="str">
            <v>C52342</v>
          </cell>
          <cell r="D2102" t="str">
            <v>Laptop</v>
          </cell>
          <cell r="E2102">
            <v>5</v>
          </cell>
          <cell r="F2102">
            <v>73.83</v>
          </cell>
          <cell r="G2102" t="str">
            <v>991 Main St</v>
          </cell>
          <cell r="H2102" t="str">
            <v>Debit Card</v>
          </cell>
          <cell r="I2102" t="str">
            <v>Pending</v>
          </cell>
          <cell r="J2102" t="str">
            <v>TRK67342586</v>
          </cell>
          <cell r="K2102">
            <v>9</v>
          </cell>
          <cell r="L2102" t="str">
            <v>No Coupon</v>
          </cell>
          <cell r="M2102" t="str">
            <v>Instagram</v>
          </cell>
          <cell r="N2102">
            <v>369.15</v>
          </cell>
        </row>
        <row r="2103">
          <cell r="A2103" t="str">
            <v>ORD200901</v>
          </cell>
          <cell r="B2103">
            <v>45410</v>
          </cell>
          <cell r="C2103" t="str">
            <v>C44277</v>
          </cell>
          <cell r="D2103" t="str">
            <v>Tablet</v>
          </cell>
          <cell r="E2103">
            <v>1</v>
          </cell>
          <cell r="F2103">
            <v>458.63</v>
          </cell>
          <cell r="G2103" t="str">
            <v>839 Main St</v>
          </cell>
          <cell r="H2103" t="str">
            <v>Debit Card</v>
          </cell>
          <cell r="I2103" t="str">
            <v>Returned</v>
          </cell>
          <cell r="J2103" t="str">
            <v>TRK79321479</v>
          </cell>
          <cell r="K2103">
            <v>4</v>
          </cell>
          <cell r="L2103" t="str">
            <v>WINTER15</v>
          </cell>
          <cell r="M2103" t="str">
            <v>Referral</v>
          </cell>
          <cell r="N2103">
            <v>458.63</v>
          </cell>
        </row>
        <row r="2104">
          <cell r="A2104" t="str">
            <v>ORD200902</v>
          </cell>
          <cell r="B2104">
            <v>45486</v>
          </cell>
          <cell r="C2104" t="str">
            <v>C61162</v>
          </cell>
          <cell r="D2104" t="str">
            <v>Monitor</v>
          </cell>
          <cell r="E2104">
            <v>4</v>
          </cell>
          <cell r="F2104">
            <v>180.25</v>
          </cell>
          <cell r="G2104" t="str">
            <v>813 Main St</v>
          </cell>
          <cell r="H2104" t="str">
            <v>Debit Card</v>
          </cell>
          <cell r="I2104" t="str">
            <v>Cancelled</v>
          </cell>
          <cell r="J2104" t="str">
            <v>TRK76712124</v>
          </cell>
          <cell r="K2104">
            <v>7</v>
          </cell>
          <cell r="L2104" t="str">
            <v>No Coupon</v>
          </cell>
          <cell r="M2104" t="str">
            <v>Facebook</v>
          </cell>
          <cell r="N2104">
            <v>721</v>
          </cell>
        </row>
        <row r="2105">
          <cell r="A2105" t="str">
            <v>ORD200903</v>
          </cell>
          <cell r="B2105">
            <v>45063</v>
          </cell>
          <cell r="C2105" t="str">
            <v>C80868</v>
          </cell>
          <cell r="D2105" t="str">
            <v>Monitor</v>
          </cell>
          <cell r="E2105">
            <v>3</v>
          </cell>
          <cell r="F2105">
            <v>473.49</v>
          </cell>
          <cell r="G2105" t="str">
            <v>205 Main St</v>
          </cell>
          <cell r="H2105" t="str">
            <v>Credit Card</v>
          </cell>
          <cell r="I2105" t="str">
            <v>Pending</v>
          </cell>
          <cell r="J2105" t="str">
            <v>TRK56186636</v>
          </cell>
          <cell r="K2105">
            <v>7</v>
          </cell>
          <cell r="L2105" t="str">
            <v>No Coupon</v>
          </cell>
          <cell r="M2105" t="str">
            <v>Email</v>
          </cell>
          <cell r="N2105">
            <v>1420.47</v>
          </cell>
        </row>
        <row r="2106">
          <cell r="A2106" t="str">
            <v>ORD200904</v>
          </cell>
          <cell r="B2106">
            <v>45693</v>
          </cell>
          <cell r="C2106" t="str">
            <v>C16693</v>
          </cell>
          <cell r="D2106" t="str">
            <v>Monitor</v>
          </cell>
          <cell r="E2106">
            <v>4</v>
          </cell>
          <cell r="F2106">
            <v>237.43</v>
          </cell>
          <cell r="G2106" t="str">
            <v>262 Main St</v>
          </cell>
          <cell r="H2106" t="str">
            <v>Cash</v>
          </cell>
          <cell r="I2106" t="str">
            <v>Cancelled</v>
          </cell>
          <cell r="J2106" t="str">
            <v>TRK41146508</v>
          </cell>
          <cell r="K2106">
            <v>8</v>
          </cell>
          <cell r="L2106" t="str">
            <v>WINTER15</v>
          </cell>
          <cell r="M2106" t="str">
            <v>Referral</v>
          </cell>
          <cell r="N2106">
            <v>949.72</v>
          </cell>
        </row>
        <row r="2107">
          <cell r="A2107" t="str">
            <v>ORD200905</v>
          </cell>
          <cell r="B2107">
            <v>45253</v>
          </cell>
          <cell r="C2107" t="str">
            <v>C67818</v>
          </cell>
          <cell r="D2107" t="str">
            <v>Laptop</v>
          </cell>
          <cell r="E2107">
            <v>1</v>
          </cell>
          <cell r="F2107">
            <v>442.39</v>
          </cell>
          <cell r="G2107" t="str">
            <v>101 Main St</v>
          </cell>
          <cell r="H2107" t="str">
            <v>Gift Card</v>
          </cell>
          <cell r="I2107" t="str">
            <v>Pending</v>
          </cell>
          <cell r="J2107" t="str">
            <v>TRK81978113</v>
          </cell>
          <cell r="K2107">
            <v>6</v>
          </cell>
          <cell r="L2107" t="str">
            <v>FREESHIP</v>
          </cell>
          <cell r="M2107" t="str">
            <v>Facebook</v>
          </cell>
          <cell r="N2107">
            <v>442.39</v>
          </cell>
        </row>
        <row r="2108">
          <cell r="A2108" t="str">
            <v>ORD200906</v>
          </cell>
          <cell r="B2108">
            <v>45538</v>
          </cell>
          <cell r="C2108" t="str">
            <v>C49938</v>
          </cell>
          <cell r="D2108" t="str">
            <v>Monitor</v>
          </cell>
          <cell r="E2108">
            <v>1</v>
          </cell>
          <cell r="F2108">
            <v>62.12</v>
          </cell>
          <cell r="G2108" t="str">
            <v>141 Main St</v>
          </cell>
          <cell r="H2108" t="str">
            <v>Cash</v>
          </cell>
          <cell r="I2108" t="str">
            <v>Returned</v>
          </cell>
          <cell r="J2108" t="str">
            <v>TRK80175572</v>
          </cell>
          <cell r="K2108">
            <v>2</v>
          </cell>
          <cell r="L2108" t="str">
            <v>No Coupon</v>
          </cell>
          <cell r="M2108" t="str">
            <v>Email</v>
          </cell>
          <cell r="N2108">
            <v>62.12</v>
          </cell>
        </row>
        <row r="2109">
          <cell r="A2109" t="str">
            <v>ORD200907</v>
          </cell>
          <cell r="B2109">
            <v>45508</v>
          </cell>
          <cell r="C2109" t="str">
            <v>C90898</v>
          </cell>
          <cell r="D2109" t="str">
            <v>Desk</v>
          </cell>
          <cell r="E2109">
            <v>5</v>
          </cell>
          <cell r="F2109">
            <v>298.39</v>
          </cell>
          <cell r="G2109" t="str">
            <v>583 Main St</v>
          </cell>
          <cell r="H2109" t="str">
            <v>Gift Card</v>
          </cell>
          <cell r="I2109" t="str">
            <v>Cancelled</v>
          </cell>
          <cell r="J2109" t="str">
            <v>TRK52935170</v>
          </cell>
          <cell r="K2109">
            <v>7</v>
          </cell>
          <cell r="L2109" t="str">
            <v>WINTER15</v>
          </cell>
          <cell r="M2109" t="str">
            <v>Referral</v>
          </cell>
          <cell r="N2109">
            <v>1491.95</v>
          </cell>
        </row>
        <row r="2110">
          <cell r="A2110" t="str">
            <v>ORD200908</v>
          </cell>
          <cell r="B2110">
            <v>45783</v>
          </cell>
          <cell r="C2110" t="str">
            <v>C35117</v>
          </cell>
          <cell r="D2110" t="str">
            <v>Desk</v>
          </cell>
          <cell r="E2110">
            <v>2</v>
          </cell>
          <cell r="F2110">
            <v>697.93</v>
          </cell>
          <cell r="G2110" t="str">
            <v>332 Main St</v>
          </cell>
          <cell r="H2110" t="str">
            <v>Credit Card</v>
          </cell>
          <cell r="I2110" t="str">
            <v>Cancelled</v>
          </cell>
          <cell r="J2110" t="str">
            <v>TRK27155709</v>
          </cell>
          <cell r="K2110">
            <v>2</v>
          </cell>
          <cell r="L2110" t="str">
            <v>SAVE10</v>
          </cell>
          <cell r="M2110" t="str">
            <v>Google</v>
          </cell>
          <cell r="N2110">
            <v>1395.86</v>
          </cell>
        </row>
        <row r="2111">
          <cell r="A2111" t="str">
            <v>ORD200909</v>
          </cell>
          <cell r="B2111">
            <v>45439</v>
          </cell>
          <cell r="C2111" t="str">
            <v>C60203</v>
          </cell>
          <cell r="D2111" t="str">
            <v>Tablet</v>
          </cell>
          <cell r="E2111">
            <v>2</v>
          </cell>
          <cell r="F2111">
            <v>291.85000000000002</v>
          </cell>
          <cell r="G2111" t="str">
            <v>569 Main St</v>
          </cell>
          <cell r="H2111" t="str">
            <v>Cash</v>
          </cell>
          <cell r="I2111" t="str">
            <v>Shipped</v>
          </cell>
          <cell r="J2111" t="str">
            <v>TRK76525279</v>
          </cell>
          <cell r="K2111">
            <v>5</v>
          </cell>
          <cell r="L2111" t="str">
            <v>FREESHIP</v>
          </cell>
          <cell r="M2111" t="str">
            <v>Instagram</v>
          </cell>
          <cell r="N2111">
            <v>583.70000000000005</v>
          </cell>
        </row>
        <row r="2112">
          <cell r="A2112" t="str">
            <v>ORD200910</v>
          </cell>
          <cell r="B2112">
            <v>45443</v>
          </cell>
          <cell r="C2112" t="str">
            <v>C36174</v>
          </cell>
          <cell r="D2112" t="str">
            <v>Printer</v>
          </cell>
          <cell r="E2112">
            <v>3</v>
          </cell>
          <cell r="F2112">
            <v>308.98</v>
          </cell>
          <cell r="G2112" t="str">
            <v>348 Main St</v>
          </cell>
          <cell r="H2112" t="str">
            <v>Cash</v>
          </cell>
          <cell r="I2112" t="str">
            <v>Delivered</v>
          </cell>
          <cell r="J2112" t="str">
            <v>TRK26397548</v>
          </cell>
          <cell r="K2112">
            <v>3</v>
          </cell>
          <cell r="L2112" t="str">
            <v>SAVE10</v>
          </cell>
          <cell r="M2112" t="str">
            <v>Instagram</v>
          </cell>
          <cell r="N2112">
            <v>926.94</v>
          </cell>
        </row>
        <row r="2113">
          <cell r="A2113" t="str">
            <v>ORD200911</v>
          </cell>
          <cell r="B2113">
            <v>45517</v>
          </cell>
          <cell r="C2113" t="str">
            <v>C80872</v>
          </cell>
          <cell r="D2113" t="str">
            <v>Desk</v>
          </cell>
          <cell r="E2113">
            <v>5</v>
          </cell>
          <cell r="F2113">
            <v>396.86</v>
          </cell>
          <cell r="G2113" t="str">
            <v>593 Main St</v>
          </cell>
          <cell r="H2113" t="str">
            <v>Cash</v>
          </cell>
          <cell r="I2113" t="str">
            <v>Cancelled</v>
          </cell>
          <cell r="J2113" t="str">
            <v>TRK43967487</v>
          </cell>
          <cell r="K2113">
            <v>9</v>
          </cell>
          <cell r="L2113" t="str">
            <v>SAVE10</v>
          </cell>
          <cell r="M2113" t="str">
            <v>Instagram</v>
          </cell>
          <cell r="N2113">
            <v>1984.3</v>
          </cell>
        </row>
        <row r="2114">
          <cell r="A2114" t="str">
            <v>ORD200912</v>
          </cell>
          <cell r="B2114">
            <v>45313</v>
          </cell>
          <cell r="C2114" t="str">
            <v>C67604</v>
          </cell>
          <cell r="D2114" t="str">
            <v>Desk</v>
          </cell>
          <cell r="E2114">
            <v>2</v>
          </cell>
          <cell r="F2114">
            <v>139.69</v>
          </cell>
          <cell r="G2114" t="str">
            <v>318 Main St</v>
          </cell>
          <cell r="H2114" t="str">
            <v>Online</v>
          </cell>
          <cell r="I2114" t="str">
            <v>Returned</v>
          </cell>
          <cell r="J2114" t="str">
            <v>TRK85545920</v>
          </cell>
          <cell r="K2114">
            <v>7</v>
          </cell>
          <cell r="L2114" t="str">
            <v>FREESHIP</v>
          </cell>
          <cell r="M2114" t="str">
            <v>Email</v>
          </cell>
          <cell r="N2114">
            <v>279.38</v>
          </cell>
        </row>
        <row r="2115">
          <cell r="A2115" t="str">
            <v>ORD200913</v>
          </cell>
          <cell r="B2115">
            <v>44973</v>
          </cell>
          <cell r="C2115" t="str">
            <v>C45599</v>
          </cell>
          <cell r="D2115" t="str">
            <v>Printer</v>
          </cell>
          <cell r="E2115">
            <v>5</v>
          </cell>
          <cell r="F2115">
            <v>475.95</v>
          </cell>
          <cell r="G2115" t="str">
            <v>505 Main St</v>
          </cell>
          <cell r="H2115" t="str">
            <v>Credit Card</v>
          </cell>
          <cell r="I2115" t="str">
            <v>Returned</v>
          </cell>
          <cell r="J2115" t="str">
            <v>TRK62277685</v>
          </cell>
          <cell r="K2115">
            <v>8</v>
          </cell>
          <cell r="L2115" t="str">
            <v>WINTER15</v>
          </cell>
          <cell r="M2115" t="str">
            <v>Facebook</v>
          </cell>
          <cell r="N2115">
            <v>2379.75</v>
          </cell>
        </row>
        <row r="2116">
          <cell r="A2116" t="str">
            <v>ORD200914</v>
          </cell>
          <cell r="B2116">
            <v>45698</v>
          </cell>
          <cell r="C2116" t="str">
            <v>C70352</v>
          </cell>
          <cell r="D2116" t="str">
            <v>Desk</v>
          </cell>
          <cell r="E2116">
            <v>1</v>
          </cell>
          <cell r="F2116">
            <v>626.6</v>
          </cell>
          <cell r="G2116" t="str">
            <v>955 Main St</v>
          </cell>
          <cell r="H2116" t="str">
            <v>Gift Card</v>
          </cell>
          <cell r="I2116" t="str">
            <v>Returned</v>
          </cell>
          <cell r="J2116" t="str">
            <v>TRK51589589</v>
          </cell>
          <cell r="K2116">
            <v>4</v>
          </cell>
          <cell r="L2116" t="str">
            <v>WINTER15</v>
          </cell>
          <cell r="M2116" t="str">
            <v>Facebook</v>
          </cell>
          <cell r="N2116">
            <v>626.6</v>
          </cell>
        </row>
        <row r="2117">
          <cell r="A2117" t="str">
            <v>ORD200915</v>
          </cell>
          <cell r="B2117">
            <v>45338</v>
          </cell>
          <cell r="C2117" t="str">
            <v>C20643</v>
          </cell>
          <cell r="D2117" t="str">
            <v>Laptop</v>
          </cell>
          <cell r="E2117">
            <v>4</v>
          </cell>
          <cell r="F2117">
            <v>502.99</v>
          </cell>
          <cell r="G2117" t="str">
            <v>939 Main St</v>
          </cell>
          <cell r="H2117" t="str">
            <v>Debit Card</v>
          </cell>
          <cell r="I2117" t="str">
            <v>Shipped</v>
          </cell>
          <cell r="J2117" t="str">
            <v>TRK30736692</v>
          </cell>
          <cell r="K2117">
            <v>4</v>
          </cell>
          <cell r="L2117" t="str">
            <v>WINTER15</v>
          </cell>
          <cell r="M2117" t="str">
            <v>Referral</v>
          </cell>
          <cell r="N2117">
            <v>2011.96</v>
          </cell>
        </row>
        <row r="2118">
          <cell r="A2118" t="str">
            <v>ORD200916</v>
          </cell>
          <cell r="B2118">
            <v>45464</v>
          </cell>
          <cell r="C2118" t="str">
            <v>C35669</v>
          </cell>
          <cell r="D2118" t="str">
            <v>Printer</v>
          </cell>
          <cell r="E2118">
            <v>5</v>
          </cell>
          <cell r="F2118">
            <v>578.83000000000004</v>
          </cell>
          <cell r="G2118" t="str">
            <v>165 Main St</v>
          </cell>
          <cell r="H2118" t="str">
            <v>Cash</v>
          </cell>
          <cell r="I2118" t="str">
            <v>Returned</v>
          </cell>
          <cell r="J2118" t="str">
            <v>TRK13928455</v>
          </cell>
          <cell r="K2118">
            <v>6</v>
          </cell>
          <cell r="L2118" t="str">
            <v>No Coupon</v>
          </cell>
          <cell r="M2118" t="str">
            <v>Referral</v>
          </cell>
          <cell r="N2118">
            <v>2894.15</v>
          </cell>
        </row>
        <row r="2119">
          <cell r="A2119" t="str">
            <v>ORD200917</v>
          </cell>
          <cell r="B2119">
            <v>45677</v>
          </cell>
          <cell r="C2119" t="str">
            <v>C65524</v>
          </cell>
          <cell r="D2119" t="str">
            <v>Laptop</v>
          </cell>
          <cell r="E2119">
            <v>5</v>
          </cell>
          <cell r="F2119">
            <v>383.82</v>
          </cell>
          <cell r="G2119" t="str">
            <v>836 Main St</v>
          </cell>
          <cell r="H2119" t="str">
            <v>Credit Card</v>
          </cell>
          <cell r="I2119" t="str">
            <v>Returned</v>
          </cell>
          <cell r="J2119" t="str">
            <v>TRK19315310</v>
          </cell>
          <cell r="K2119">
            <v>7</v>
          </cell>
          <cell r="L2119" t="str">
            <v>FREESHIP</v>
          </cell>
          <cell r="M2119" t="str">
            <v>Google</v>
          </cell>
          <cell r="N2119">
            <v>1919.1</v>
          </cell>
        </row>
        <row r="2120">
          <cell r="A2120" t="str">
            <v>ORD200918</v>
          </cell>
          <cell r="B2120">
            <v>45832</v>
          </cell>
          <cell r="C2120" t="str">
            <v>C74359</v>
          </cell>
          <cell r="D2120" t="str">
            <v>Laptop</v>
          </cell>
          <cell r="E2120">
            <v>5</v>
          </cell>
          <cell r="F2120">
            <v>368.25</v>
          </cell>
          <cell r="G2120" t="str">
            <v>706 Main St</v>
          </cell>
          <cell r="H2120" t="str">
            <v>Online</v>
          </cell>
          <cell r="I2120" t="str">
            <v>Delivered</v>
          </cell>
          <cell r="J2120" t="str">
            <v>TRK18250450</v>
          </cell>
          <cell r="K2120">
            <v>5</v>
          </cell>
          <cell r="L2120" t="str">
            <v>No Coupon</v>
          </cell>
          <cell r="M2120" t="str">
            <v>Instagram</v>
          </cell>
          <cell r="N2120">
            <v>1841.25</v>
          </cell>
        </row>
        <row r="2121">
          <cell r="A2121" t="str">
            <v>ORD200919</v>
          </cell>
          <cell r="B2121">
            <v>45695</v>
          </cell>
          <cell r="C2121" t="str">
            <v>C92086</v>
          </cell>
          <cell r="D2121" t="str">
            <v>Printer</v>
          </cell>
          <cell r="E2121">
            <v>2</v>
          </cell>
          <cell r="F2121">
            <v>374.6</v>
          </cell>
          <cell r="G2121" t="str">
            <v>187 Main St</v>
          </cell>
          <cell r="H2121" t="str">
            <v>Online</v>
          </cell>
          <cell r="I2121" t="str">
            <v>Shipped</v>
          </cell>
          <cell r="J2121" t="str">
            <v>TRK23357668</v>
          </cell>
          <cell r="K2121">
            <v>3</v>
          </cell>
          <cell r="L2121" t="str">
            <v>FREESHIP</v>
          </cell>
          <cell r="M2121" t="str">
            <v>Referral</v>
          </cell>
          <cell r="N2121">
            <v>749.2</v>
          </cell>
        </row>
        <row r="2122">
          <cell r="A2122" t="str">
            <v>ORD200920</v>
          </cell>
          <cell r="B2122">
            <v>45728</v>
          </cell>
          <cell r="C2122" t="str">
            <v>C26137</v>
          </cell>
          <cell r="D2122" t="str">
            <v>Tablet</v>
          </cell>
          <cell r="E2122">
            <v>2</v>
          </cell>
          <cell r="F2122">
            <v>428.09</v>
          </cell>
          <cell r="G2122" t="str">
            <v>978 Main St</v>
          </cell>
          <cell r="H2122" t="str">
            <v>Credit Card</v>
          </cell>
          <cell r="I2122" t="str">
            <v>Returned</v>
          </cell>
          <cell r="J2122" t="str">
            <v>TRK98110407</v>
          </cell>
          <cell r="K2122">
            <v>6</v>
          </cell>
          <cell r="L2122" t="str">
            <v>No Coupon</v>
          </cell>
          <cell r="M2122" t="str">
            <v>Instagram</v>
          </cell>
          <cell r="N2122">
            <v>856.18</v>
          </cell>
        </row>
        <row r="2123">
          <cell r="A2123" t="str">
            <v>ORD200921</v>
          </cell>
          <cell r="B2123">
            <v>45131</v>
          </cell>
          <cell r="C2123" t="str">
            <v>C90573</v>
          </cell>
          <cell r="D2123" t="str">
            <v>Tablet</v>
          </cell>
          <cell r="E2123">
            <v>1</v>
          </cell>
          <cell r="F2123">
            <v>438.93</v>
          </cell>
          <cell r="G2123" t="str">
            <v>144 Main St</v>
          </cell>
          <cell r="H2123" t="str">
            <v>Gift Card</v>
          </cell>
          <cell r="I2123" t="str">
            <v>Cancelled</v>
          </cell>
          <cell r="J2123" t="str">
            <v>TRK90075720</v>
          </cell>
          <cell r="K2123">
            <v>3</v>
          </cell>
          <cell r="L2123" t="str">
            <v>SAVE10</v>
          </cell>
          <cell r="M2123" t="str">
            <v>Referral</v>
          </cell>
          <cell r="N2123">
            <v>438.93</v>
          </cell>
        </row>
        <row r="2124">
          <cell r="A2124" t="str">
            <v>ORD200922</v>
          </cell>
          <cell r="B2124">
            <v>45460</v>
          </cell>
          <cell r="C2124" t="str">
            <v>C81857</v>
          </cell>
          <cell r="D2124" t="str">
            <v>Desk</v>
          </cell>
          <cell r="E2124">
            <v>2</v>
          </cell>
          <cell r="F2124">
            <v>563.82000000000005</v>
          </cell>
          <cell r="G2124" t="str">
            <v>487 Main St</v>
          </cell>
          <cell r="H2124" t="str">
            <v>Credit Card</v>
          </cell>
          <cell r="I2124" t="str">
            <v>Pending</v>
          </cell>
          <cell r="J2124" t="str">
            <v>TRK79737732</v>
          </cell>
          <cell r="K2124">
            <v>3</v>
          </cell>
          <cell r="L2124" t="str">
            <v>No Coupon</v>
          </cell>
          <cell r="M2124" t="str">
            <v>Instagram</v>
          </cell>
          <cell r="N2124">
            <v>1127.6400000000001</v>
          </cell>
        </row>
        <row r="2125">
          <cell r="A2125" t="str">
            <v>ORD200923</v>
          </cell>
          <cell r="B2125">
            <v>44968</v>
          </cell>
          <cell r="C2125" t="str">
            <v>C91582</v>
          </cell>
          <cell r="D2125" t="str">
            <v>Printer</v>
          </cell>
          <cell r="E2125">
            <v>3</v>
          </cell>
          <cell r="F2125">
            <v>649.92999999999995</v>
          </cell>
          <cell r="G2125" t="str">
            <v>836 Main St</v>
          </cell>
          <cell r="H2125" t="str">
            <v>Credit Card</v>
          </cell>
          <cell r="I2125" t="str">
            <v>Pending</v>
          </cell>
          <cell r="J2125" t="str">
            <v>TRK99938245</v>
          </cell>
          <cell r="K2125">
            <v>7</v>
          </cell>
          <cell r="L2125" t="str">
            <v>WINTER15</v>
          </cell>
          <cell r="M2125" t="str">
            <v>Facebook</v>
          </cell>
          <cell r="N2125">
            <v>1949.79</v>
          </cell>
        </row>
        <row r="2126">
          <cell r="A2126" t="str">
            <v>ORD200924</v>
          </cell>
          <cell r="B2126">
            <v>45738</v>
          </cell>
          <cell r="C2126" t="str">
            <v>C81319</v>
          </cell>
          <cell r="D2126" t="str">
            <v>Printer</v>
          </cell>
          <cell r="E2126">
            <v>5</v>
          </cell>
          <cell r="F2126">
            <v>268.43</v>
          </cell>
          <cell r="G2126" t="str">
            <v>991 Main St</v>
          </cell>
          <cell r="H2126" t="str">
            <v>Cash</v>
          </cell>
          <cell r="I2126" t="str">
            <v>Returned</v>
          </cell>
          <cell r="J2126" t="str">
            <v>TRK55330558</v>
          </cell>
          <cell r="K2126">
            <v>5</v>
          </cell>
          <cell r="L2126" t="str">
            <v>SAVE10</v>
          </cell>
          <cell r="M2126" t="str">
            <v>Email</v>
          </cell>
          <cell r="N2126">
            <v>1342.15</v>
          </cell>
        </row>
        <row r="2127">
          <cell r="A2127" t="str">
            <v>ORD200925</v>
          </cell>
          <cell r="B2127">
            <v>45646</v>
          </cell>
          <cell r="C2127" t="str">
            <v>C78500</v>
          </cell>
          <cell r="D2127" t="str">
            <v>Monitor</v>
          </cell>
          <cell r="E2127">
            <v>5</v>
          </cell>
          <cell r="F2127">
            <v>502.47</v>
          </cell>
          <cell r="G2127" t="str">
            <v>304 Main St</v>
          </cell>
          <cell r="H2127" t="str">
            <v>Online</v>
          </cell>
          <cell r="I2127" t="str">
            <v>Shipped</v>
          </cell>
          <cell r="J2127" t="str">
            <v>TRK97460884</v>
          </cell>
          <cell r="K2127">
            <v>10</v>
          </cell>
          <cell r="L2127" t="str">
            <v>WINTER15</v>
          </cell>
          <cell r="M2127" t="str">
            <v>Email</v>
          </cell>
          <cell r="N2127">
            <v>2512.35</v>
          </cell>
        </row>
        <row r="2128">
          <cell r="A2128" t="str">
            <v>ORD200926</v>
          </cell>
          <cell r="B2128">
            <v>45371</v>
          </cell>
          <cell r="C2128" t="str">
            <v>C67533</v>
          </cell>
          <cell r="D2128" t="str">
            <v>Desk</v>
          </cell>
          <cell r="E2128">
            <v>1</v>
          </cell>
          <cell r="F2128">
            <v>26.95</v>
          </cell>
          <cell r="G2128" t="str">
            <v>672 Main St</v>
          </cell>
          <cell r="H2128" t="str">
            <v>Cash</v>
          </cell>
          <cell r="I2128" t="str">
            <v>Delivered</v>
          </cell>
          <cell r="J2128" t="str">
            <v>TRK14566395</v>
          </cell>
          <cell r="K2128">
            <v>1</v>
          </cell>
          <cell r="L2128" t="str">
            <v>WINTER15</v>
          </cell>
          <cell r="M2128" t="str">
            <v>Email</v>
          </cell>
          <cell r="N2128">
            <v>26.95</v>
          </cell>
        </row>
        <row r="2129">
          <cell r="A2129" t="str">
            <v>ORD200927</v>
          </cell>
          <cell r="B2129">
            <v>44971</v>
          </cell>
          <cell r="C2129" t="str">
            <v>C35566</v>
          </cell>
          <cell r="D2129" t="str">
            <v>Laptop</v>
          </cell>
          <cell r="E2129">
            <v>4</v>
          </cell>
          <cell r="F2129">
            <v>64.69</v>
          </cell>
          <cell r="G2129" t="str">
            <v>638 Main St</v>
          </cell>
          <cell r="H2129" t="str">
            <v>Debit Card</v>
          </cell>
          <cell r="I2129" t="str">
            <v>Shipped</v>
          </cell>
          <cell r="J2129" t="str">
            <v>TRK10003020</v>
          </cell>
          <cell r="K2129">
            <v>7</v>
          </cell>
          <cell r="L2129" t="str">
            <v>WINTER15</v>
          </cell>
          <cell r="M2129" t="str">
            <v>Google</v>
          </cell>
          <cell r="N2129">
            <v>258.76</v>
          </cell>
        </row>
        <row r="2130">
          <cell r="A2130" t="str">
            <v>ORD200928</v>
          </cell>
          <cell r="B2130">
            <v>45421</v>
          </cell>
          <cell r="C2130" t="str">
            <v>C77166</v>
          </cell>
          <cell r="D2130" t="str">
            <v>Laptop</v>
          </cell>
          <cell r="E2130">
            <v>3</v>
          </cell>
          <cell r="F2130">
            <v>247.11</v>
          </cell>
          <cell r="G2130" t="str">
            <v>821 Main St</v>
          </cell>
          <cell r="H2130" t="str">
            <v>Debit Card</v>
          </cell>
          <cell r="I2130" t="str">
            <v>Returned</v>
          </cell>
          <cell r="J2130" t="str">
            <v>TRK18896595</v>
          </cell>
          <cell r="K2130">
            <v>3</v>
          </cell>
          <cell r="L2130" t="str">
            <v>WINTER15</v>
          </cell>
          <cell r="M2130" t="str">
            <v>Referral</v>
          </cell>
          <cell r="N2130">
            <v>741.33</v>
          </cell>
        </row>
        <row r="2131">
          <cell r="A2131" t="str">
            <v>ORD200929</v>
          </cell>
          <cell r="B2131">
            <v>45581</v>
          </cell>
          <cell r="C2131" t="str">
            <v>C67936</v>
          </cell>
          <cell r="D2131" t="str">
            <v>Tablet</v>
          </cell>
          <cell r="E2131">
            <v>2</v>
          </cell>
          <cell r="F2131">
            <v>536.25</v>
          </cell>
          <cell r="G2131" t="str">
            <v>553 Main St</v>
          </cell>
          <cell r="H2131" t="str">
            <v>Debit Card</v>
          </cell>
          <cell r="I2131" t="str">
            <v>Pending</v>
          </cell>
          <cell r="J2131" t="str">
            <v>TRK71803414</v>
          </cell>
          <cell r="K2131">
            <v>3</v>
          </cell>
          <cell r="L2131" t="str">
            <v>No Coupon</v>
          </cell>
          <cell r="M2131" t="str">
            <v>Email</v>
          </cell>
          <cell r="N2131">
            <v>1072.5</v>
          </cell>
        </row>
        <row r="2132">
          <cell r="A2132" t="str">
            <v>ORD200930</v>
          </cell>
          <cell r="B2132">
            <v>45642</v>
          </cell>
          <cell r="C2132" t="str">
            <v>C59554</v>
          </cell>
          <cell r="D2132" t="str">
            <v>Phone</v>
          </cell>
          <cell r="E2132">
            <v>2</v>
          </cell>
          <cell r="F2132">
            <v>456.04</v>
          </cell>
          <cell r="G2132" t="str">
            <v>382 Main St</v>
          </cell>
          <cell r="H2132" t="str">
            <v>Debit Card</v>
          </cell>
          <cell r="I2132" t="str">
            <v>Returned</v>
          </cell>
          <cell r="J2132" t="str">
            <v>TRK28182447</v>
          </cell>
          <cell r="K2132">
            <v>4</v>
          </cell>
          <cell r="L2132" t="str">
            <v>FREESHIP</v>
          </cell>
          <cell r="M2132" t="str">
            <v>Email</v>
          </cell>
          <cell r="N2132">
            <v>912.08</v>
          </cell>
        </row>
        <row r="2133">
          <cell r="A2133" t="str">
            <v>ORD200931</v>
          </cell>
          <cell r="B2133">
            <v>45292</v>
          </cell>
          <cell r="C2133" t="str">
            <v>C14005</v>
          </cell>
          <cell r="D2133" t="str">
            <v>Printer</v>
          </cell>
          <cell r="E2133">
            <v>2</v>
          </cell>
          <cell r="F2133">
            <v>40.229999999999997</v>
          </cell>
          <cell r="G2133" t="str">
            <v>623 Main St</v>
          </cell>
          <cell r="H2133" t="str">
            <v>Credit Card</v>
          </cell>
          <cell r="I2133" t="str">
            <v>Cancelled</v>
          </cell>
          <cell r="J2133" t="str">
            <v>TRK87567926</v>
          </cell>
          <cell r="K2133">
            <v>4</v>
          </cell>
          <cell r="L2133" t="str">
            <v>SAVE10</v>
          </cell>
          <cell r="M2133" t="str">
            <v>Google</v>
          </cell>
          <cell r="N2133">
            <v>80.459999999999994</v>
          </cell>
        </row>
        <row r="2134">
          <cell r="A2134" t="str">
            <v>ORD200932</v>
          </cell>
          <cell r="B2134">
            <v>45011</v>
          </cell>
          <cell r="C2134" t="str">
            <v>C26118</v>
          </cell>
          <cell r="D2134" t="str">
            <v>Laptop</v>
          </cell>
          <cell r="E2134">
            <v>2</v>
          </cell>
          <cell r="F2134">
            <v>72.39</v>
          </cell>
          <cell r="G2134" t="str">
            <v>168 Main St</v>
          </cell>
          <cell r="H2134" t="str">
            <v>Online</v>
          </cell>
          <cell r="I2134" t="str">
            <v>Delivered</v>
          </cell>
          <cell r="J2134" t="str">
            <v>TRK15334251</v>
          </cell>
          <cell r="K2134">
            <v>7</v>
          </cell>
          <cell r="L2134" t="str">
            <v>WINTER15</v>
          </cell>
          <cell r="M2134" t="str">
            <v>Instagram</v>
          </cell>
          <cell r="N2134">
            <v>144.78</v>
          </cell>
        </row>
        <row r="2135">
          <cell r="A2135" t="str">
            <v>ORD200933</v>
          </cell>
          <cell r="B2135">
            <v>44952</v>
          </cell>
          <cell r="C2135" t="str">
            <v>C59685</v>
          </cell>
          <cell r="D2135" t="str">
            <v>Monitor</v>
          </cell>
          <cell r="E2135">
            <v>2</v>
          </cell>
          <cell r="F2135">
            <v>394.16</v>
          </cell>
          <cell r="G2135" t="str">
            <v>255 Main St</v>
          </cell>
          <cell r="H2135" t="str">
            <v>Online</v>
          </cell>
          <cell r="I2135" t="str">
            <v>Shipped</v>
          </cell>
          <cell r="J2135" t="str">
            <v>TRK43718093</v>
          </cell>
          <cell r="K2135">
            <v>2</v>
          </cell>
          <cell r="L2135" t="str">
            <v>No Coupon</v>
          </cell>
          <cell r="M2135" t="str">
            <v>Referral</v>
          </cell>
          <cell r="N2135">
            <v>788.32</v>
          </cell>
        </row>
        <row r="2136">
          <cell r="A2136" t="str">
            <v>ORD200934</v>
          </cell>
          <cell r="B2136">
            <v>45809</v>
          </cell>
          <cell r="C2136" t="str">
            <v>C40304</v>
          </cell>
          <cell r="D2136" t="str">
            <v>Laptop</v>
          </cell>
          <cell r="E2136">
            <v>4</v>
          </cell>
          <cell r="F2136">
            <v>119.84</v>
          </cell>
          <cell r="G2136" t="str">
            <v>692 Main St</v>
          </cell>
          <cell r="H2136" t="str">
            <v>Gift Card</v>
          </cell>
          <cell r="I2136" t="str">
            <v>Shipped</v>
          </cell>
          <cell r="J2136" t="str">
            <v>TRK85790948</v>
          </cell>
          <cell r="K2136">
            <v>8</v>
          </cell>
          <cell r="L2136" t="str">
            <v>FREESHIP</v>
          </cell>
          <cell r="M2136" t="str">
            <v>Referral</v>
          </cell>
          <cell r="N2136">
            <v>479.36</v>
          </cell>
        </row>
        <row r="2137">
          <cell r="A2137" t="str">
            <v>ORD200935</v>
          </cell>
          <cell r="B2137">
            <v>45254</v>
          </cell>
          <cell r="C2137" t="str">
            <v>C39593</v>
          </cell>
          <cell r="D2137" t="str">
            <v>Phone</v>
          </cell>
          <cell r="E2137">
            <v>3</v>
          </cell>
          <cell r="F2137">
            <v>692.71</v>
          </cell>
          <cell r="G2137" t="str">
            <v>398 Main St</v>
          </cell>
          <cell r="H2137" t="str">
            <v>Credit Card</v>
          </cell>
          <cell r="I2137" t="str">
            <v>Delivered</v>
          </cell>
          <cell r="J2137" t="str">
            <v>TRK62405253</v>
          </cell>
          <cell r="K2137">
            <v>3</v>
          </cell>
          <cell r="L2137" t="str">
            <v>FREESHIP</v>
          </cell>
          <cell r="M2137" t="str">
            <v>Instagram</v>
          </cell>
          <cell r="N2137">
            <v>2078.13</v>
          </cell>
        </row>
        <row r="2138">
          <cell r="A2138" t="str">
            <v>ORD200936</v>
          </cell>
          <cell r="B2138">
            <v>45303</v>
          </cell>
          <cell r="C2138" t="str">
            <v>C50612</v>
          </cell>
          <cell r="D2138" t="str">
            <v>Chair</v>
          </cell>
          <cell r="E2138">
            <v>4</v>
          </cell>
          <cell r="F2138">
            <v>56.66</v>
          </cell>
          <cell r="G2138" t="str">
            <v>737 Main St</v>
          </cell>
          <cell r="H2138" t="str">
            <v>Online</v>
          </cell>
          <cell r="I2138" t="str">
            <v>Delivered</v>
          </cell>
          <cell r="J2138" t="str">
            <v>TRK44140968</v>
          </cell>
          <cell r="K2138">
            <v>4</v>
          </cell>
          <cell r="L2138" t="str">
            <v>SAVE10</v>
          </cell>
          <cell r="M2138" t="str">
            <v>Instagram</v>
          </cell>
          <cell r="N2138">
            <v>226.64</v>
          </cell>
        </row>
        <row r="2139">
          <cell r="A2139" t="str">
            <v>ORD200937</v>
          </cell>
          <cell r="B2139">
            <v>45307</v>
          </cell>
          <cell r="C2139" t="str">
            <v>C39791</v>
          </cell>
          <cell r="D2139" t="str">
            <v>Chair</v>
          </cell>
          <cell r="E2139">
            <v>2</v>
          </cell>
          <cell r="F2139">
            <v>298.52999999999997</v>
          </cell>
          <cell r="G2139" t="str">
            <v>536 Main St</v>
          </cell>
          <cell r="H2139" t="str">
            <v>Debit Card</v>
          </cell>
          <cell r="I2139" t="str">
            <v>Cancelled</v>
          </cell>
          <cell r="J2139" t="str">
            <v>TRK46221436</v>
          </cell>
          <cell r="K2139">
            <v>5</v>
          </cell>
          <cell r="L2139" t="str">
            <v>WINTER15</v>
          </cell>
          <cell r="M2139" t="str">
            <v>Email</v>
          </cell>
          <cell r="N2139">
            <v>597.05999999999995</v>
          </cell>
        </row>
        <row r="2140">
          <cell r="A2140" t="str">
            <v>ORD200938</v>
          </cell>
          <cell r="B2140">
            <v>45119</v>
          </cell>
          <cell r="C2140" t="str">
            <v>C39017</v>
          </cell>
          <cell r="D2140" t="str">
            <v>Chair</v>
          </cell>
          <cell r="E2140">
            <v>3</v>
          </cell>
          <cell r="F2140">
            <v>331.46</v>
          </cell>
          <cell r="G2140" t="str">
            <v>696 Main St</v>
          </cell>
          <cell r="H2140" t="str">
            <v>Credit Card</v>
          </cell>
          <cell r="I2140" t="str">
            <v>Cancelled</v>
          </cell>
          <cell r="J2140" t="str">
            <v>TRK91155214</v>
          </cell>
          <cell r="K2140">
            <v>6</v>
          </cell>
          <cell r="L2140" t="str">
            <v>WINTER15</v>
          </cell>
          <cell r="M2140" t="str">
            <v>Referral</v>
          </cell>
          <cell r="N2140">
            <v>994.38</v>
          </cell>
        </row>
        <row r="2141">
          <cell r="A2141" t="str">
            <v>ORD200939</v>
          </cell>
          <cell r="B2141">
            <v>45763</v>
          </cell>
          <cell r="C2141" t="str">
            <v>C48510</v>
          </cell>
          <cell r="D2141" t="str">
            <v>Laptop</v>
          </cell>
          <cell r="E2141">
            <v>2</v>
          </cell>
          <cell r="F2141">
            <v>521.4</v>
          </cell>
          <cell r="G2141" t="str">
            <v>212 Main St</v>
          </cell>
          <cell r="H2141" t="str">
            <v>Cash</v>
          </cell>
          <cell r="I2141" t="str">
            <v>Delivered</v>
          </cell>
          <cell r="J2141" t="str">
            <v>TRK53152886</v>
          </cell>
          <cell r="K2141">
            <v>7</v>
          </cell>
          <cell r="L2141" t="str">
            <v>SAVE10</v>
          </cell>
          <cell r="M2141" t="str">
            <v>Instagram</v>
          </cell>
          <cell r="N2141">
            <v>1042.8</v>
          </cell>
        </row>
        <row r="2142">
          <cell r="A2142" t="str">
            <v>ORD200940</v>
          </cell>
          <cell r="B2142">
            <v>45012</v>
          </cell>
          <cell r="C2142" t="str">
            <v>C74003</v>
          </cell>
          <cell r="D2142" t="str">
            <v>Printer</v>
          </cell>
          <cell r="E2142">
            <v>4</v>
          </cell>
          <cell r="F2142">
            <v>305.32</v>
          </cell>
          <cell r="G2142" t="str">
            <v>679 Main St</v>
          </cell>
          <cell r="H2142" t="str">
            <v>Online</v>
          </cell>
          <cell r="I2142" t="str">
            <v>Cancelled</v>
          </cell>
          <cell r="J2142" t="str">
            <v>TRK91525779</v>
          </cell>
          <cell r="K2142">
            <v>4</v>
          </cell>
          <cell r="L2142" t="str">
            <v>SAVE10</v>
          </cell>
          <cell r="M2142" t="str">
            <v>Google</v>
          </cell>
          <cell r="N2142">
            <v>1221.28</v>
          </cell>
        </row>
        <row r="2143">
          <cell r="A2143" t="str">
            <v>ORD200941</v>
          </cell>
          <cell r="B2143">
            <v>45124</v>
          </cell>
          <cell r="C2143" t="str">
            <v>C91155</v>
          </cell>
          <cell r="D2143" t="str">
            <v>Printer</v>
          </cell>
          <cell r="E2143">
            <v>5</v>
          </cell>
          <cell r="F2143">
            <v>111.7</v>
          </cell>
          <cell r="G2143" t="str">
            <v>599 Main St</v>
          </cell>
          <cell r="H2143" t="str">
            <v>Credit Card</v>
          </cell>
          <cell r="I2143" t="str">
            <v>Cancelled</v>
          </cell>
          <cell r="J2143" t="str">
            <v>TRK82162952</v>
          </cell>
          <cell r="K2143">
            <v>9</v>
          </cell>
          <cell r="L2143" t="str">
            <v>FREESHIP</v>
          </cell>
          <cell r="M2143" t="str">
            <v>Email</v>
          </cell>
          <cell r="N2143">
            <v>558.5</v>
          </cell>
        </row>
        <row r="2144">
          <cell r="A2144" t="str">
            <v>ORD200942</v>
          </cell>
          <cell r="B2144">
            <v>45198</v>
          </cell>
          <cell r="C2144" t="str">
            <v>C17591</v>
          </cell>
          <cell r="D2144" t="str">
            <v>Tablet</v>
          </cell>
          <cell r="E2144">
            <v>1</v>
          </cell>
          <cell r="F2144">
            <v>479.76</v>
          </cell>
          <cell r="G2144" t="str">
            <v>882 Main St</v>
          </cell>
          <cell r="H2144" t="str">
            <v>Credit Card</v>
          </cell>
          <cell r="I2144" t="str">
            <v>Pending</v>
          </cell>
          <cell r="J2144" t="str">
            <v>TRK56070470</v>
          </cell>
          <cell r="K2144">
            <v>1</v>
          </cell>
          <cell r="L2144" t="str">
            <v>No Coupon</v>
          </cell>
          <cell r="M2144" t="str">
            <v>Email</v>
          </cell>
          <cell r="N2144">
            <v>479.76</v>
          </cell>
        </row>
        <row r="2145">
          <cell r="A2145" t="str">
            <v>ORD200943</v>
          </cell>
          <cell r="B2145">
            <v>45287</v>
          </cell>
          <cell r="C2145" t="str">
            <v>C43330</v>
          </cell>
          <cell r="D2145" t="str">
            <v>Monitor</v>
          </cell>
          <cell r="E2145">
            <v>3</v>
          </cell>
          <cell r="F2145">
            <v>193.49</v>
          </cell>
          <cell r="G2145" t="str">
            <v>355 Main St</v>
          </cell>
          <cell r="H2145" t="str">
            <v>Gift Card</v>
          </cell>
          <cell r="I2145" t="str">
            <v>Returned</v>
          </cell>
          <cell r="J2145" t="str">
            <v>TRK71594838</v>
          </cell>
          <cell r="K2145">
            <v>6</v>
          </cell>
          <cell r="L2145" t="str">
            <v>FREESHIP</v>
          </cell>
          <cell r="M2145" t="str">
            <v>Facebook</v>
          </cell>
          <cell r="N2145">
            <v>580.47</v>
          </cell>
        </row>
        <row r="2146">
          <cell r="A2146" t="str">
            <v>ORD200944</v>
          </cell>
          <cell r="B2146">
            <v>45642</v>
          </cell>
          <cell r="C2146" t="str">
            <v>C32687</v>
          </cell>
          <cell r="D2146" t="str">
            <v>Laptop</v>
          </cell>
          <cell r="E2146">
            <v>2</v>
          </cell>
          <cell r="F2146">
            <v>426.22</v>
          </cell>
          <cell r="G2146" t="str">
            <v>448 Main St</v>
          </cell>
          <cell r="H2146" t="str">
            <v>Online</v>
          </cell>
          <cell r="I2146" t="str">
            <v>Delivered</v>
          </cell>
          <cell r="J2146" t="str">
            <v>TRK98284560</v>
          </cell>
          <cell r="K2146">
            <v>7</v>
          </cell>
          <cell r="L2146" t="str">
            <v>WINTER15</v>
          </cell>
          <cell r="M2146" t="str">
            <v>Google</v>
          </cell>
          <cell r="N2146">
            <v>852.44</v>
          </cell>
        </row>
        <row r="2147">
          <cell r="A2147" t="str">
            <v>ORD200945</v>
          </cell>
          <cell r="B2147">
            <v>45158</v>
          </cell>
          <cell r="C2147" t="str">
            <v>C79722</v>
          </cell>
          <cell r="D2147" t="str">
            <v>Tablet</v>
          </cell>
          <cell r="E2147">
            <v>5</v>
          </cell>
          <cell r="F2147">
            <v>276.44</v>
          </cell>
          <cell r="G2147" t="str">
            <v>619 Main St</v>
          </cell>
          <cell r="H2147" t="str">
            <v>Gift Card</v>
          </cell>
          <cell r="I2147" t="str">
            <v>Shipped</v>
          </cell>
          <cell r="J2147" t="str">
            <v>TRK29976438</v>
          </cell>
          <cell r="K2147">
            <v>10</v>
          </cell>
          <cell r="L2147" t="str">
            <v>FREESHIP</v>
          </cell>
          <cell r="M2147" t="str">
            <v>Referral</v>
          </cell>
          <cell r="N2147">
            <v>1382.2</v>
          </cell>
        </row>
        <row r="2148">
          <cell r="A2148" t="str">
            <v>ORD200946</v>
          </cell>
          <cell r="B2148">
            <v>45416</v>
          </cell>
          <cell r="C2148" t="str">
            <v>C65021</v>
          </cell>
          <cell r="D2148" t="str">
            <v>Phone</v>
          </cell>
          <cell r="E2148">
            <v>2</v>
          </cell>
          <cell r="F2148">
            <v>404.96</v>
          </cell>
          <cell r="G2148" t="str">
            <v>546 Main St</v>
          </cell>
          <cell r="H2148" t="str">
            <v>Cash</v>
          </cell>
          <cell r="I2148" t="str">
            <v>Shipped</v>
          </cell>
          <cell r="J2148" t="str">
            <v>TRK20626179</v>
          </cell>
          <cell r="K2148">
            <v>4</v>
          </cell>
          <cell r="L2148" t="str">
            <v>SAVE10</v>
          </cell>
          <cell r="M2148" t="str">
            <v>Email</v>
          </cell>
          <cell r="N2148">
            <v>809.92</v>
          </cell>
        </row>
        <row r="2149">
          <cell r="A2149" t="str">
            <v>ORD200947</v>
          </cell>
          <cell r="B2149">
            <v>45176</v>
          </cell>
          <cell r="C2149" t="str">
            <v>C85520</v>
          </cell>
          <cell r="D2149" t="str">
            <v>Phone</v>
          </cell>
          <cell r="E2149">
            <v>4</v>
          </cell>
          <cell r="F2149">
            <v>465.66</v>
          </cell>
          <cell r="G2149" t="str">
            <v>119 Main St</v>
          </cell>
          <cell r="H2149" t="str">
            <v>Online</v>
          </cell>
          <cell r="I2149" t="str">
            <v>Returned</v>
          </cell>
          <cell r="J2149" t="str">
            <v>TRK65994177</v>
          </cell>
          <cell r="K2149">
            <v>9</v>
          </cell>
          <cell r="L2149" t="str">
            <v>FREESHIP</v>
          </cell>
          <cell r="M2149" t="str">
            <v>Email</v>
          </cell>
          <cell r="N2149">
            <v>1862.64</v>
          </cell>
        </row>
        <row r="2150">
          <cell r="A2150" t="str">
            <v>ORD200948</v>
          </cell>
          <cell r="B2150">
            <v>45464</v>
          </cell>
          <cell r="C2150" t="str">
            <v>C94569</v>
          </cell>
          <cell r="D2150" t="str">
            <v>Phone</v>
          </cell>
          <cell r="E2150">
            <v>2</v>
          </cell>
          <cell r="F2150">
            <v>594.07000000000005</v>
          </cell>
          <cell r="G2150" t="str">
            <v>739 Main St</v>
          </cell>
          <cell r="H2150" t="str">
            <v>Gift Card</v>
          </cell>
          <cell r="I2150" t="str">
            <v>Cancelled</v>
          </cell>
          <cell r="J2150" t="str">
            <v>TRK79269291</v>
          </cell>
          <cell r="K2150">
            <v>2</v>
          </cell>
          <cell r="L2150" t="str">
            <v>No Coupon</v>
          </cell>
          <cell r="M2150" t="str">
            <v>Google</v>
          </cell>
          <cell r="N2150">
            <v>1188.1400000000001</v>
          </cell>
        </row>
        <row r="2151">
          <cell r="A2151" t="str">
            <v>ORD200949</v>
          </cell>
          <cell r="B2151">
            <v>45239</v>
          </cell>
          <cell r="C2151" t="str">
            <v>C55778</v>
          </cell>
          <cell r="D2151" t="str">
            <v>Desk</v>
          </cell>
          <cell r="E2151">
            <v>5</v>
          </cell>
          <cell r="F2151">
            <v>110.38</v>
          </cell>
          <cell r="G2151" t="str">
            <v>319 Main St</v>
          </cell>
          <cell r="H2151" t="str">
            <v>Cash</v>
          </cell>
          <cell r="I2151" t="str">
            <v>Pending</v>
          </cell>
          <cell r="J2151" t="str">
            <v>TRK93797108</v>
          </cell>
          <cell r="K2151">
            <v>10</v>
          </cell>
          <cell r="L2151" t="str">
            <v>No Coupon</v>
          </cell>
          <cell r="M2151" t="str">
            <v>Referral</v>
          </cell>
          <cell r="N2151">
            <v>551.9</v>
          </cell>
        </row>
        <row r="2152">
          <cell r="A2152" t="str">
            <v>ORD200950</v>
          </cell>
          <cell r="B2152">
            <v>45443</v>
          </cell>
          <cell r="C2152" t="str">
            <v>C19722</v>
          </cell>
          <cell r="D2152" t="str">
            <v>Laptop</v>
          </cell>
          <cell r="E2152">
            <v>1</v>
          </cell>
          <cell r="F2152">
            <v>596.24</v>
          </cell>
          <cell r="G2152" t="str">
            <v>891 Main St</v>
          </cell>
          <cell r="H2152" t="str">
            <v>Credit Card</v>
          </cell>
          <cell r="I2152" t="str">
            <v>Returned</v>
          </cell>
          <cell r="J2152" t="str">
            <v>TRK78094361</v>
          </cell>
          <cell r="K2152">
            <v>4</v>
          </cell>
          <cell r="L2152" t="str">
            <v>FREESHIP</v>
          </cell>
          <cell r="M2152" t="str">
            <v>Instagram</v>
          </cell>
          <cell r="N2152">
            <v>596.24</v>
          </cell>
        </row>
        <row r="2153">
          <cell r="A2153" t="str">
            <v>ORD200951</v>
          </cell>
          <cell r="B2153">
            <v>45495</v>
          </cell>
          <cell r="C2153" t="str">
            <v>C74928</v>
          </cell>
          <cell r="D2153" t="str">
            <v>Printer</v>
          </cell>
          <cell r="E2153">
            <v>2</v>
          </cell>
          <cell r="F2153">
            <v>306.24</v>
          </cell>
          <cell r="G2153" t="str">
            <v>589 Main St</v>
          </cell>
          <cell r="H2153" t="str">
            <v>Online</v>
          </cell>
          <cell r="I2153" t="str">
            <v>Returned</v>
          </cell>
          <cell r="J2153" t="str">
            <v>TRK39845914</v>
          </cell>
          <cell r="K2153">
            <v>4</v>
          </cell>
          <cell r="L2153" t="str">
            <v>FREESHIP</v>
          </cell>
          <cell r="M2153" t="str">
            <v>Email</v>
          </cell>
          <cell r="N2153">
            <v>612.48</v>
          </cell>
        </row>
        <row r="2154">
          <cell r="A2154" t="str">
            <v>ORD200952</v>
          </cell>
          <cell r="B2154">
            <v>45715</v>
          </cell>
          <cell r="C2154" t="str">
            <v>C49111</v>
          </cell>
          <cell r="D2154" t="str">
            <v>Monitor</v>
          </cell>
          <cell r="E2154">
            <v>3</v>
          </cell>
          <cell r="F2154">
            <v>503.39</v>
          </cell>
          <cell r="G2154" t="str">
            <v>225 Main St</v>
          </cell>
          <cell r="H2154" t="str">
            <v>Online</v>
          </cell>
          <cell r="I2154" t="str">
            <v>Pending</v>
          </cell>
          <cell r="J2154" t="str">
            <v>TRK45303393</v>
          </cell>
          <cell r="K2154">
            <v>5</v>
          </cell>
          <cell r="L2154" t="str">
            <v>No Coupon</v>
          </cell>
          <cell r="M2154" t="str">
            <v>Facebook</v>
          </cell>
          <cell r="N2154">
            <v>1510.17</v>
          </cell>
        </row>
        <row r="2155">
          <cell r="A2155" t="str">
            <v>ORD200953</v>
          </cell>
          <cell r="B2155">
            <v>44963</v>
          </cell>
          <cell r="C2155" t="str">
            <v>C43721</v>
          </cell>
          <cell r="D2155" t="str">
            <v>Phone</v>
          </cell>
          <cell r="E2155">
            <v>1</v>
          </cell>
          <cell r="F2155">
            <v>131.61000000000001</v>
          </cell>
          <cell r="G2155" t="str">
            <v>971 Main St</v>
          </cell>
          <cell r="H2155" t="str">
            <v>Cash</v>
          </cell>
          <cell r="I2155" t="str">
            <v>Shipped</v>
          </cell>
          <cell r="J2155" t="str">
            <v>TRK89392104</v>
          </cell>
          <cell r="K2155">
            <v>2</v>
          </cell>
          <cell r="L2155" t="str">
            <v>FREESHIP</v>
          </cell>
          <cell r="M2155" t="str">
            <v>Facebook</v>
          </cell>
          <cell r="N2155">
            <v>131.61000000000001</v>
          </cell>
        </row>
        <row r="2156">
          <cell r="A2156" t="str">
            <v>ORD200954</v>
          </cell>
          <cell r="B2156">
            <v>45587</v>
          </cell>
          <cell r="C2156" t="str">
            <v>C68609</v>
          </cell>
          <cell r="D2156" t="str">
            <v>Chair</v>
          </cell>
          <cell r="E2156">
            <v>3</v>
          </cell>
          <cell r="F2156">
            <v>443.44</v>
          </cell>
          <cell r="G2156" t="str">
            <v>240 Main St</v>
          </cell>
          <cell r="H2156" t="str">
            <v>Gift Card</v>
          </cell>
          <cell r="I2156" t="str">
            <v>Shipped</v>
          </cell>
          <cell r="J2156" t="str">
            <v>TRK58273778</v>
          </cell>
          <cell r="K2156">
            <v>3</v>
          </cell>
          <cell r="L2156" t="str">
            <v>FREESHIP</v>
          </cell>
          <cell r="M2156" t="str">
            <v>Google</v>
          </cell>
          <cell r="N2156">
            <v>1330.32</v>
          </cell>
        </row>
        <row r="2157">
          <cell r="A2157" t="str">
            <v>ORD200955</v>
          </cell>
          <cell r="B2157">
            <v>44949</v>
          </cell>
          <cell r="C2157" t="str">
            <v>C82068</v>
          </cell>
          <cell r="D2157" t="str">
            <v>Chair</v>
          </cell>
          <cell r="E2157">
            <v>1</v>
          </cell>
          <cell r="F2157">
            <v>408.13</v>
          </cell>
          <cell r="G2157" t="str">
            <v>164 Main St</v>
          </cell>
          <cell r="H2157" t="str">
            <v>Gift Card</v>
          </cell>
          <cell r="I2157" t="str">
            <v>Shipped</v>
          </cell>
          <cell r="J2157" t="str">
            <v>TRK25779180</v>
          </cell>
          <cell r="K2157">
            <v>3</v>
          </cell>
          <cell r="L2157" t="str">
            <v>WINTER15</v>
          </cell>
          <cell r="M2157" t="str">
            <v>Instagram</v>
          </cell>
          <cell r="N2157">
            <v>408.13</v>
          </cell>
        </row>
        <row r="2158">
          <cell r="A2158" t="str">
            <v>ORD200956</v>
          </cell>
          <cell r="B2158">
            <v>45393</v>
          </cell>
          <cell r="C2158" t="str">
            <v>C21191</v>
          </cell>
          <cell r="D2158" t="str">
            <v>Phone</v>
          </cell>
          <cell r="E2158">
            <v>2</v>
          </cell>
          <cell r="F2158">
            <v>160.97999999999999</v>
          </cell>
          <cell r="G2158" t="str">
            <v>381 Main St</v>
          </cell>
          <cell r="H2158" t="str">
            <v>Debit Card</v>
          </cell>
          <cell r="I2158" t="str">
            <v>Delivered</v>
          </cell>
          <cell r="J2158" t="str">
            <v>TRK86246309</v>
          </cell>
          <cell r="K2158">
            <v>3</v>
          </cell>
          <cell r="L2158" t="str">
            <v>SAVE10</v>
          </cell>
          <cell r="M2158" t="str">
            <v>Referral</v>
          </cell>
          <cell r="N2158">
            <v>321.95999999999998</v>
          </cell>
        </row>
        <row r="2159">
          <cell r="A2159" t="str">
            <v>ORD200957</v>
          </cell>
          <cell r="B2159">
            <v>44938</v>
          </cell>
          <cell r="C2159" t="str">
            <v>C73575</v>
          </cell>
          <cell r="D2159" t="str">
            <v>Monitor</v>
          </cell>
          <cell r="E2159">
            <v>5</v>
          </cell>
          <cell r="F2159">
            <v>643.89</v>
          </cell>
          <cell r="G2159" t="str">
            <v>851 Main St</v>
          </cell>
          <cell r="H2159" t="str">
            <v>Cash</v>
          </cell>
          <cell r="I2159" t="str">
            <v>Returned</v>
          </cell>
          <cell r="J2159" t="str">
            <v>TRK23387612</v>
          </cell>
          <cell r="K2159">
            <v>8</v>
          </cell>
          <cell r="L2159" t="str">
            <v>WINTER15</v>
          </cell>
          <cell r="M2159" t="str">
            <v>Facebook</v>
          </cell>
          <cell r="N2159">
            <v>3219.45</v>
          </cell>
        </row>
        <row r="2160">
          <cell r="A2160" t="str">
            <v>ORD200958</v>
          </cell>
          <cell r="B2160">
            <v>45059</v>
          </cell>
          <cell r="C2160" t="str">
            <v>C82685</v>
          </cell>
          <cell r="D2160" t="str">
            <v>Desk</v>
          </cell>
          <cell r="E2160">
            <v>3</v>
          </cell>
          <cell r="F2160">
            <v>158.66</v>
          </cell>
          <cell r="G2160" t="str">
            <v>537 Main St</v>
          </cell>
          <cell r="H2160" t="str">
            <v>Gift Card</v>
          </cell>
          <cell r="I2160" t="str">
            <v>Delivered</v>
          </cell>
          <cell r="J2160" t="str">
            <v>TRK70184320</v>
          </cell>
          <cell r="K2160">
            <v>7</v>
          </cell>
          <cell r="L2160" t="str">
            <v>WINTER15</v>
          </cell>
          <cell r="M2160" t="str">
            <v>Email</v>
          </cell>
          <cell r="N2160">
            <v>475.98</v>
          </cell>
        </row>
        <row r="2161">
          <cell r="A2161" t="str">
            <v>ORD200959</v>
          </cell>
          <cell r="B2161">
            <v>45395</v>
          </cell>
          <cell r="C2161" t="str">
            <v>C73996</v>
          </cell>
          <cell r="D2161" t="str">
            <v>Tablet</v>
          </cell>
          <cell r="E2161">
            <v>2</v>
          </cell>
          <cell r="F2161">
            <v>143.82</v>
          </cell>
          <cell r="G2161" t="str">
            <v>856 Main St</v>
          </cell>
          <cell r="H2161" t="str">
            <v>Credit Card</v>
          </cell>
          <cell r="I2161" t="str">
            <v>Returned</v>
          </cell>
          <cell r="J2161" t="str">
            <v>TRK74579570</v>
          </cell>
          <cell r="K2161">
            <v>6</v>
          </cell>
          <cell r="L2161" t="str">
            <v>SAVE10</v>
          </cell>
          <cell r="M2161" t="str">
            <v>Instagram</v>
          </cell>
          <cell r="N2161">
            <v>287.64</v>
          </cell>
        </row>
        <row r="2162">
          <cell r="A2162" t="str">
            <v>ORD200960</v>
          </cell>
          <cell r="B2162">
            <v>45271</v>
          </cell>
          <cell r="C2162" t="str">
            <v>C87687</v>
          </cell>
          <cell r="D2162" t="str">
            <v>Laptop</v>
          </cell>
          <cell r="E2162">
            <v>3</v>
          </cell>
          <cell r="F2162">
            <v>379.07</v>
          </cell>
          <cell r="G2162" t="str">
            <v>312 Main St</v>
          </cell>
          <cell r="H2162" t="str">
            <v>Gift Card</v>
          </cell>
          <cell r="I2162" t="str">
            <v>Pending</v>
          </cell>
          <cell r="J2162" t="str">
            <v>TRK60383805</v>
          </cell>
          <cell r="K2162">
            <v>3</v>
          </cell>
          <cell r="L2162" t="str">
            <v>WINTER15</v>
          </cell>
          <cell r="M2162" t="str">
            <v>Google</v>
          </cell>
          <cell r="N2162">
            <v>1137.21</v>
          </cell>
        </row>
        <row r="2163">
          <cell r="A2163" t="str">
            <v>ORD200961</v>
          </cell>
          <cell r="B2163">
            <v>45607</v>
          </cell>
          <cell r="C2163" t="str">
            <v>C55464</v>
          </cell>
          <cell r="D2163" t="str">
            <v>Phone</v>
          </cell>
          <cell r="E2163">
            <v>1</v>
          </cell>
          <cell r="F2163">
            <v>601.36</v>
          </cell>
          <cell r="G2163" t="str">
            <v>532 Main St</v>
          </cell>
          <cell r="H2163" t="str">
            <v>Online</v>
          </cell>
          <cell r="I2163" t="str">
            <v>Shipped</v>
          </cell>
          <cell r="J2163" t="str">
            <v>TRK81178598</v>
          </cell>
          <cell r="K2163">
            <v>1</v>
          </cell>
          <cell r="L2163" t="str">
            <v>No Coupon</v>
          </cell>
          <cell r="M2163" t="str">
            <v>Facebook</v>
          </cell>
          <cell r="N2163">
            <v>601.36</v>
          </cell>
        </row>
        <row r="2164">
          <cell r="A2164" t="str">
            <v>ORD200962</v>
          </cell>
          <cell r="B2164">
            <v>45541</v>
          </cell>
          <cell r="C2164" t="str">
            <v>C12459</v>
          </cell>
          <cell r="D2164" t="str">
            <v>Phone</v>
          </cell>
          <cell r="E2164">
            <v>2</v>
          </cell>
          <cell r="F2164">
            <v>142.08000000000001</v>
          </cell>
          <cell r="G2164" t="str">
            <v>838 Main St</v>
          </cell>
          <cell r="H2164" t="str">
            <v>Gift Card</v>
          </cell>
          <cell r="I2164" t="str">
            <v>Delivered</v>
          </cell>
          <cell r="J2164" t="str">
            <v>TRK30674085</v>
          </cell>
          <cell r="K2164">
            <v>4</v>
          </cell>
          <cell r="L2164" t="str">
            <v>SAVE10</v>
          </cell>
          <cell r="M2164" t="str">
            <v>Referral</v>
          </cell>
          <cell r="N2164">
            <v>284.16000000000003</v>
          </cell>
        </row>
        <row r="2165">
          <cell r="A2165" t="str">
            <v>ORD200963</v>
          </cell>
          <cell r="B2165">
            <v>45362</v>
          </cell>
          <cell r="C2165" t="str">
            <v>C88075</v>
          </cell>
          <cell r="D2165" t="str">
            <v>Chair</v>
          </cell>
          <cell r="E2165">
            <v>5</v>
          </cell>
          <cell r="F2165">
            <v>530.34</v>
          </cell>
          <cell r="G2165" t="str">
            <v>970 Main St</v>
          </cell>
          <cell r="H2165" t="str">
            <v>Online</v>
          </cell>
          <cell r="I2165" t="str">
            <v>Shipped</v>
          </cell>
          <cell r="J2165" t="str">
            <v>TRK42832976</v>
          </cell>
          <cell r="K2165">
            <v>9</v>
          </cell>
          <cell r="L2165" t="str">
            <v>FREESHIP</v>
          </cell>
          <cell r="M2165" t="str">
            <v>Google</v>
          </cell>
          <cell r="N2165">
            <v>2651.7</v>
          </cell>
        </row>
        <row r="2166">
          <cell r="A2166" t="str">
            <v>ORD200964</v>
          </cell>
          <cell r="B2166">
            <v>45158</v>
          </cell>
          <cell r="C2166" t="str">
            <v>C18583</v>
          </cell>
          <cell r="D2166" t="str">
            <v>Phone</v>
          </cell>
          <cell r="E2166">
            <v>5</v>
          </cell>
          <cell r="F2166">
            <v>364.42</v>
          </cell>
          <cell r="G2166" t="str">
            <v>778 Main St</v>
          </cell>
          <cell r="H2166" t="str">
            <v>Credit Card</v>
          </cell>
          <cell r="I2166" t="str">
            <v>Cancelled</v>
          </cell>
          <cell r="J2166" t="str">
            <v>TRK43084595</v>
          </cell>
          <cell r="K2166">
            <v>10</v>
          </cell>
          <cell r="L2166" t="str">
            <v>SAVE10</v>
          </cell>
          <cell r="M2166" t="str">
            <v>Referral</v>
          </cell>
          <cell r="N2166">
            <v>1822.1</v>
          </cell>
        </row>
        <row r="2167">
          <cell r="A2167" t="str">
            <v>ORD200965</v>
          </cell>
          <cell r="B2167">
            <v>45826</v>
          </cell>
          <cell r="C2167" t="str">
            <v>C70412</v>
          </cell>
          <cell r="D2167" t="str">
            <v>Laptop</v>
          </cell>
          <cell r="E2167">
            <v>4</v>
          </cell>
          <cell r="F2167">
            <v>578.28</v>
          </cell>
          <cell r="G2167" t="str">
            <v>791 Main St</v>
          </cell>
          <cell r="H2167" t="str">
            <v>Gift Card</v>
          </cell>
          <cell r="I2167" t="str">
            <v>Cancelled</v>
          </cell>
          <cell r="J2167" t="str">
            <v>TRK22192783</v>
          </cell>
          <cell r="K2167">
            <v>5</v>
          </cell>
          <cell r="L2167" t="str">
            <v>FREESHIP</v>
          </cell>
          <cell r="M2167" t="str">
            <v>Email</v>
          </cell>
          <cell r="N2167">
            <v>2313.12</v>
          </cell>
        </row>
        <row r="2168">
          <cell r="A2168" t="str">
            <v>ORD200966</v>
          </cell>
          <cell r="B2168">
            <v>45797</v>
          </cell>
          <cell r="C2168" t="str">
            <v>C58503</v>
          </cell>
          <cell r="D2168" t="str">
            <v>Monitor</v>
          </cell>
          <cell r="E2168">
            <v>5</v>
          </cell>
          <cell r="F2168">
            <v>280.52</v>
          </cell>
          <cell r="G2168" t="str">
            <v>290 Main St</v>
          </cell>
          <cell r="H2168" t="str">
            <v>Credit Card</v>
          </cell>
          <cell r="I2168" t="str">
            <v>Cancelled</v>
          </cell>
          <cell r="J2168" t="str">
            <v>TRK12981657</v>
          </cell>
          <cell r="K2168">
            <v>7</v>
          </cell>
          <cell r="L2168" t="str">
            <v>WINTER15</v>
          </cell>
          <cell r="M2168" t="str">
            <v>Facebook</v>
          </cell>
          <cell r="N2168">
            <v>1402.6</v>
          </cell>
        </row>
        <row r="2169">
          <cell r="A2169" t="str">
            <v>ORD200967</v>
          </cell>
          <cell r="B2169">
            <v>45783</v>
          </cell>
          <cell r="C2169" t="str">
            <v>C52879</v>
          </cell>
          <cell r="D2169" t="str">
            <v>Tablet</v>
          </cell>
          <cell r="E2169">
            <v>5</v>
          </cell>
          <cell r="F2169">
            <v>638.91999999999996</v>
          </cell>
          <cell r="G2169" t="str">
            <v>502 Main St</v>
          </cell>
          <cell r="H2169" t="str">
            <v>Credit Card</v>
          </cell>
          <cell r="I2169" t="str">
            <v>Returned</v>
          </cell>
          <cell r="J2169" t="str">
            <v>TRK67403284</v>
          </cell>
          <cell r="K2169">
            <v>5</v>
          </cell>
          <cell r="L2169" t="str">
            <v>FREESHIP</v>
          </cell>
          <cell r="M2169" t="str">
            <v>Google</v>
          </cell>
          <cell r="N2169">
            <v>3194.6</v>
          </cell>
        </row>
        <row r="2170">
          <cell r="A2170" t="str">
            <v>ORD200968</v>
          </cell>
          <cell r="B2170">
            <v>45330</v>
          </cell>
          <cell r="C2170" t="str">
            <v>C67870</v>
          </cell>
          <cell r="D2170" t="str">
            <v>Monitor</v>
          </cell>
          <cell r="E2170">
            <v>4</v>
          </cell>
          <cell r="F2170">
            <v>412.2</v>
          </cell>
          <cell r="G2170" t="str">
            <v>664 Main St</v>
          </cell>
          <cell r="H2170" t="str">
            <v>Credit Card</v>
          </cell>
          <cell r="I2170" t="str">
            <v>Shipped</v>
          </cell>
          <cell r="J2170" t="str">
            <v>TRK72602178</v>
          </cell>
          <cell r="K2170">
            <v>6</v>
          </cell>
          <cell r="L2170" t="str">
            <v>WINTER15</v>
          </cell>
          <cell r="M2170" t="str">
            <v>Referral</v>
          </cell>
          <cell r="N2170">
            <v>1648.8</v>
          </cell>
        </row>
        <row r="2171">
          <cell r="A2171" t="str">
            <v>ORD200969</v>
          </cell>
          <cell r="B2171">
            <v>45813</v>
          </cell>
          <cell r="C2171" t="str">
            <v>C19439</v>
          </cell>
          <cell r="D2171" t="str">
            <v>Desk</v>
          </cell>
          <cell r="E2171">
            <v>1</v>
          </cell>
          <cell r="F2171">
            <v>440.34</v>
          </cell>
          <cell r="G2171" t="str">
            <v>675 Main St</v>
          </cell>
          <cell r="H2171" t="str">
            <v>Gift Card</v>
          </cell>
          <cell r="I2171" t="str">
            <v>Shipped</v>
          </cell>
          <cell r="J2171" t="str">
            <v>TRK25383993</v>
          </cell>
          <cell r="K2171">
            <v>2</v>
          </cell>
          <cell r="L2171" t="str">
            <v>WINTER15</v>
          </cell>
          <cell r="M2171" t="str">
            <v>Facebook</v>
          </cell>
          <cell r="N2171">
            <v>440.34</v>
          </cell>
        </row>
        <row r="2172">
          <cell r="A2172" t="str">
            <v>ORD200970</v>
          </cell>
          <cell r="B2172">
            <v>45542</v>
          </cell>
          <cell r="C2172" t="str">
            <v>C72664</v>
          </cell>
          <cell r="D2172" t="str">
            <v>Desk</v>
          </cell>
          <cell r="E2172">
            <v>1</v>
          </cell>
          <cell r="F2172">
            <v>627.15</v>
          </cell>
          <cell r="G2172" t="str">
            <v>241 Main St</v>
          </cell>
          <cell r="H2172" t="str">
            <v>Cash</v>
          </cell>
          <cell r="I2172" t="str">
            <v>Delivered</v>
          </cell>
          <cell r="J2172" t="str">
            <v>TRK86694331</v>
          </cell>
          <cell r="K2172">
            <v>5</v>
          </cell>
          <cell r="L2172" t="str">
            <v>SAVE10</v>
          </cell>
          <cell r="M2172" t="str">
            <v>Instagram</v>
          </cell>
          <cell r="N2172">
            <v>627.15</v>
          </cell>
        </row>
        <row r="2173">
          <cell r="A2173" t="str">
            <v>ORD200971</v>
          </cell>
          <cell r="B2173">
            <v>45439</v>
          </cell>
          <cell r="C2173" t="str">
            <v>C32650</v>
          </cell>
          <cell r="D2173" t="str">
            <v>Monitor</v>
          </cell>
          <cell r="E2173">
            <v>2</v>
          </cell>
          <cell r="F2173">
            <v>605.26</v>
          </cell>
          <cell r="G2173" t="str">
            <v>934 Main St</v>
          </cell>
          <cell r="H2173" t="str">
            <v>Cash</v>
          </cell>
          <cell r="I2173" t="str">
            <v>Cancelled</v>
          </cell>
          <cell r="J2173" t="str">
            <v>TRK66648743</v>
          </cell>
          <cell r="K2173">
            <v>4</v>
          </cell>
          <cell r="L2173" t="str">
            <v>WINTER15</v>
          </cell>
          <cell r="M2173" t="str">
            <v>Referral</v>
          </cell>
          <cell r="N2173">
            <v>1210.52</v>
          </cell>
        </row>
        <row r="2174">
          <cell r="A2174" t="str">
            <v>ORD200972</v>
          </cell>
          <cell r="B2174">
            <v>45452</v>
          </cell>
          <cell r="C2174" t="str">
            <v>C66438</v>
          </cell>
          <cell r="D2174" t="str">
            <v>Laptop</v>
          </cell>
          <cell r="E2174">
            <v>1</v>
          </cell>
          <cell r="F2174">
            <v>90.27</v>
          </cell>
          <cell r="G2174" t="str">
            <v>816 Main St</v>
          </cell>
          <cell r="H2174" t="str">
            <v>Cash</v>
          </cell>
          <cell r="I2174" t="str">
            <v>Delivered</v>
          </cell>
          <cell r="J2174" t="str">
            <v>TRK32035271</v>
          </cell>
          <cell r="K2174">
            <v>5</v>
          </cell>
          <cell r="L2174" t="str">
            <v>SAVE10</v>
          </cell>
          <cell r="M2174" t="str">
            <v>Facebook</v>
          </cell>
          <cell r="N2174">
            <v>90.27</v>
          </cell>
        </row>
        <row r="2175">
          <cell r="A2175" t="str">
            <v>ORD200973</v>
          </cell>
          <cell r="B2175">
            <v>45817</v>
          </cell>
          <cell r="C2175" t="str">
            <v>C70010</v>
          </cell>
          <cell r="D2175" t="str">
            <v>Desk</v>
          </cell>
          <cell r="E2175">
            <v>5</v>
          </cell>
          <cell r="F2175">
            <v>230.77</v>
          </cell>
          <cell r="G2175" t="str">
            <v>141 Main St</v>
          </cell>
          <cell r="H2175" t="str">
            <v>Online</v>
          </cell>
          <cell r="I2175" t="str">
            <v>Pending</v>
          </cell>
          <cell r="J2175" t="str">
            <v>TRK50594008</v>
          </cell>
          <cell r="K2175">
            <v>10</v>
          </cell>
          <cell r="L2175" t="str">
            <v>WINTER15</v>
          </cell>
          <cell r="M2175" t="str">
            <v>Referral</v>
          </cell>
          <cell r="N2175">
            <v>1153.8499999999999</v>
          </cell>
        </row>
        <row r="2176">
          <cell r="A2176" t="str">
            <v>ORD200974</v>
          </cell>
          <cell r="B2176">
            <v>45196</v>
          </cell>
          <cell r="C2176" t="str">
            <v>C30722</v>
          </cell>
          <cell r="D2176" t="str">
            <v>Desk</v>
          </cell>
          <cell r="E2176">
            <v>5</v>
          </cell>
          <cell r="F2176">
            <v>266.77999999999997</v>
          </cell>
          <cell r="G2176" t="str">
            <v>274 Main St</v>
          </cell>
          <cell r="H2176" t="str">
            <v>Gift Card</v>
          </cell>
          <cell r="I2176" t="str">
            <v>Cancelled</v>
          </cell>
          <cell r="J2176" t="str">
            <v>TRK52088168</v>
          </cell>
          <cell r="K2176">
            <v>5</v>
          </cell>
          <cell r="L2176" t="str">
            <v>No Coupon</v>
          </cell>
          <cell r="M2176" t="str">
            <v>Email</v>
          </cell>
          <cell r="N2176">
            <v>1333.9</v>
          </cell>
        </row>
        <row r="2177">
          <cell r="A2177" t="str">
            <v>ORD200975</v>
          </cell>
          <cell r="B2177">
            <v>45064</v>
          </cell>
          <cell r="C2177" t="str">
            <v>C70529</v>
          </cell>
          <cell r="D2177" t="str">
            <v>Desk</v>
          </cell>
          <cell r="E2177">
            <v>1</v>
          </cell>
          <cell r="F2177">
            <v>105.92</v>
          </cell>
          <cell r="G2177" t="str">
            <v>974 Main St</v>
          </cell>
          <cell r="H2177" t="str">
            <v>Gift Card</v>
          </cell>
          <cell r="I2177" t="str">
            <v>Returned</v>
          </cell>
          <cell r="J2177" t="str">
            <v>TRK82165408</v>
          </cell>
          <cell r="K2177">
            <v>6</v>
          </cell>
          <cell r="L2177" t="str">
            <v>SAVE10</v>
          </cell>
          <cell r="M2177" t="str">
            <v>Email</v>
          </cell>
          <cell r="N2177">
            <v>105.92</v>
          </cell>
        </row>
        <row r="2178">
          <cell r="A2178" t="str">
            <v>ORD200976</v>
          </cell>
          <cell r="B2178">
            <v>45386</v>
          </cell>
          <cell r="C2178" t="str">
            <v>C18984</v>
          </cell>
          <cell r="D2178" t="str">
            <v>Tablet</v>
          </cell>
          <cell r="E2178">
            <v>3</v>
          </cell>
          <cell r="F2178">
            <v>589.29999999999995</v>
          </cell>
          <cell r="G2178" t="str">
            <v>650 Main St</v>
          </cell>
          <cell r="H2178" t="str">
            <v>Credit Card</v>
          </cell>
          <cell r="I2178" t="str">
            <v>Returned</v>
          </cell>
          <cell r="J2178" t="str">
            <v>TRK49298239</v>
          </cell>
          <cell r="K2178">
            <v>6</v>
          </cell>
          <cell r="L2178" t="str">
            <v>WINTER15</v>
          </cell>
          <cell r="M2178" t="str">
            <v>Referral</v>
          </cell>
          <cell r="N2178">
            <v>1767.9</v>
          </cell>
        </row>
        <row r="2179">
          <cell r="A2179" t="str">
            <v>ORD200977</v>
          </cell>
          <cell r="B2179">
            <v>44954</v>
          </cell>
          <cell r="C2179" t="str">
            <v>C85841</v>
          </cell>
          <cell r="D2179" t="str">
            <v>Chair</v>
          </cell>
          <cell r="E2179">
            <v>4</v>
          </cell>
          <cell r="F2179">
            <v>649.47</v>
          </cell>
          <cell r="G2179" t="str">
            <v>608 Main St</v>
          </cell>
          <cell r="H2179" t="str">
            <v>Cash</v>
          </cell>
          <cell r="I2179" t="str">
            <v>Pending</v>
          </cell>
          <cell r="J2179" t="str">
            <v>TRK99820544</v>
          </cell>
          <cell r="K2179">
            <v>8</v>
          </cell>
          <cell r="L2179" t="str">
            <v>SAVE10</v>
          </cell>
          <cell r="M2179" t="str">
            <v>Google</v>
          </cell>
          <cell r="N2179">
            <v>2597.88</v>
          </cell>
        </row>
        <row r="2180">
          <cell r="A2180" t="str">
            <v>ORD200978</v>
          </cell>
          <cell r="B2180">
            <v>45468</v>
          </cell>
          <cell r="C2180" t="str">
            <v>C41508</v>
          </cell>
          <cell r="D2180" t="str">
            <v>Printer</v>
          </cell>
          <cell r="E2180">
            <v>4</v>
          </cell>
          <cell r="F2180">
            <v>107.49</v>
          </cell>
          <cell r="G2180" t="str">
            <v>993 Main St</v>
          </cell>
          <cell r="H2180" t="str">
            <v>Cash</v>
          </cell>
          <cell r="I2180" t="str">
            <v>Delivered</v>
          </cell>
          <cell r="J2180" t="str">
            <v>TRK61047536</v>
          </cell>
          <cell r="K2180">
            <v>5</v>
          </cell>
          <cell r="L2180" t="str">
            <v>No Coupon</v>
          </cell>
          <cell r="M2180" t="str">
            <v>Google</v>
          </cell>
          <cell r="N2180">
            <v>429.96</v>
          </cell>
        </row>
        <row r="2181">
          <cell r="A2181" t="str">
            <v>ORD200979</v>
          </cell>
          <cell r="B2181">
            <v>45077</v>
          </cell>
          <cell r="C2181" t="str">
            <v>C75018</v>
          </cell>
          <cell r="D2181" t="str">
            <v>Monitor</v>
          </cell>
          <cell r="E2181">
            <v>3</v>
          </cell>
          <cell r="F2181">
            <v>669.06</v>
          </cell>
          <cell r="G2181" t="str">
            <v>299 Main St</v>
          </cell>
          <cell r="H2181" t="str">
            <v>Cash</v>
          </cell>
          <cell r="I2181" t="str">
            <v>Delivered</v>
          </cell>
          <cell r="J2181" t="str">
            <v>TRK51794806</v>
          </cell>
          <cell r="K2181">
            <v>7</v>
          </cell>
          <cell r="L2181" t="str">
            <v>SAVE10</v>
          </cell>
          <cell r="M2181" t="str">
            <v>Facebook</v>
          </cell>
          <cell r="N2181">
            <v>2007.18</v>
          </cell>
        </row>
        <row r="2182">
          <cell r="A2182" t="str">
            <v>ORD200980</v>
          </cell>
          <cell r="B2182">
            <v>45213</v>
          </cell>
          <cell r="C2182" t="str">
            <v>C84320</v>
          </cell>
          <cell r="D2182" t="str">
            <v>Chair</v>
          </cell>
          <cell r="E2182">
            <v>3</v>
          </cell>
          <cell r="F2182">
            <v>69.650000000000006</v>
          </cell>
          <cell r="G2182" t="str">
            <v>107 Main St</v>
          </cell>
          <cell r="H2182" t="str">
            <v>Cash</v>
          </cell>
          <cell r="I2182" t="str">
            <v>Delivered</v>
          </cell>
          <cell r="J2182" t="str">
            <v>TRK81093218</v>
          </cell>
          <cell r="K2182">
            <v>7</v>
          </cell>
          <cell r="L2182" t="str">
            <v>WINTER15</v>
          </cell>
          <cell r="M2182" t="str">
            <v>Instagram</v>
          </cell>
          <cell r="N2182">
            <v>208.95</v>
          </cell>
        </row>
        <row r="2183">
          <cell r="A2183" t="str">
            <v>ORD200981</v>
          </cell>
          <cell r="B2183">
            <v>45256</v>
          </cell>
          <cell r="C2183" t="str">
            <v>C12609</v>
          </cell>
          <cell r="D2183" t="str">
            <v>Phone</v>
          </cell>
          <cell r="E2183">
            <v>4</v>
          </cell>
          <cell r="F2183">
            <v>136.83000000000001</v>
          </cell>
          <cell r="G2183" t="str">
            <v>490 Main St</v>
          </cell>
          <cell r="H2183" t="str">
            <v>Debit Card</v>
          </cell>
          <cell r="I2183" t="str">
            <v>Pending</v>
          </cell>
          <cell r="J2183" t="str">
            <v>TRK56379337</v>
          </cell>
          <cell r="K2183">
            <v>8</v>
          </cell>
          <cell r="L2183" t="str">
            <v>SAVE10</v>
          </cell>
          <cell r="M2183" t="str">
            <v>Email</v>
          </cell>
          <cell r="N2183">
            <v>547.32000000000005</v>
          </cell>
        </row>
        <row r="2184">
          <cell r="A2184" t="str">
            <v>ORD200982</v>
          </cell>
          <cell r="B2184">
            <v>45541</v>
          </cell>
          <cell r="C2184" t="str">
            <v>C64935</v>
          </cell>
          <cell r="D2184" t="str">
            <v>Monitor</v>
          </cell>
          <cell r="E2184">
            <v>1</v>
          </cell>
          <cell r="F2184">
            <v>304.11</v>
          </cell>
          <cell r="G2184" t="str">
            <v>707 Main St</v>
          </cell>
          <cell r="H2184" t="str">
            <v>Gift Card</v>
          </cell>
          <cell r="I2184" t="str">
            <v>Shipped</v>
          </cell>
          <cell r="J2184" t="str">
            <v>TRK42969065</v>
          </cell>
          <cell r="K2184">
            <v>2</v>
          </cell>
          <cell r="L2184" t="str">
            <v>SAVE10</v>
          </cell>
          <cell r="M2184" t="str">
            <v>Referral</v>
          </cell>
          <cell r="N2184">
            <v>304.11</v>
          </cell>
        </row>
        <row r="2185">
          <cell r="A2185" t="str">
            <v>ORD200983</v>
          </cell>
          <cell r="B2185">
            <v>45620</v>
          </cell>
          <cell r="C2185" t="str">
            <v>C67528</v>
          </cell>
          <cell r="D2185" t="str">
            <v>Monitor</v>
          </cell>
          <cell r="E2185">
            <v>4</v>
          </cell>
          <cell r="F2185">
            <v>296.27999999999997</v>
          </cell>
          <cell r="G2185" t="str">
            <v>110 Main St</v>
          </cell>
          <cell r="H2185" t="str">
            <v>Gift Card</v>
          </cell>
          <cell r="I2185" t="str">
            <v>Shipped</v>
          </cell>
          <cell r="J2185" t="str">
            <v>TRK60865210</v>
          </cell>
          <cell r="K2185">
            <v>5</v>
          </cell>
          <cell r="L2185" t="str">
            <v>SAVE10</v>
          </cell>
          <cell r="M2185" t="str">
            <v>Email</v>
          </cell>
          <cell r="N2185">
            <v>1185.1199999999999</v>
          </cell>
        </row>
        <row r="2186">
          <cell r="A2186" t="str">
            <v>ORD200984</v>
          </cell>
          <cell r="B2186">
            <v>45716</v>
          </cell>
          <cell r="C2186" t="str">
            <v>C44176</v>
          </cell>
          <cell r="D2186" t="str">
            <v>Desk</v>
          </cell>
          <cell r="E2186">
            <v>1</v>
          </cell>
          <cell r="F2186">
            <v>77.64</v>
          </cell>
          <cell r="G2186" t="str">
            <v>706 Main St</v>
          </cell>
          <cell r="H2186" t="str">
            <v>Credit Card</v>
          </cell>
          <cell r="I2186" t="str">
            <v>Shipped</v>
          </cell>
          <cell r="J2186" t="str">
            <v>TRK68704764</v>
          </cell>
          <cell r="K2186">
            <v>1</v>
          </cell>
          <cell r="L2186" t="str">
            <v>FREESHIP</v>
          </cell>
          <cell r="M2186" t="str">
            <v>Facebook</v>
          </cell>
          <cell r="N2186">
            <v>77.64</v>
          </cell>
        </row>
        <row r="2187">
          <cell r="A2187" t="str">
            <v>ORD200985</v>
          </cell>
          <cell r="B2187">
            <v>45493</v>
          </cell>
          <cell r="C2187" t="str">
            <v>C92788</v>
          </cell>
          <cell r="D2187" t="str">
            <v>Desk</v>
          </cell>
          <cell r="E2187">
            <v>1</v>
          </cell>
          <cell r="F2187">
            <v>243.71</v>
          </cell>
          <cell r="G2187" t="str">
            <v>948 Main St</v>
          </cell>
          <cell r="H2187" t="str">
            <v>Gift Card</v>
          </cell>
          <cell r="I2187" t="str">
            <v>Delivered</v>
          </cell>
          <cell r="J2187" t="str">
            <v>TRK83835361</v>
          </cell>
          <cell r="K2187">
            <v>6</v>
          </cell>
          <cell r="L2187" t="str">
            <v>SAVE10</v>
          </cell>
          <cell r="M2187" t="str">
            <v>Google</v>
          </cell>
          <cell r="N2187">
            <v>243.71</v>
          </cell>
        </row>
        <row r="2188">
          <cell r="A2188" t="str">
            <v>ORD200986</v>
          </cell>
          <cell r="B2188">
            <v>45542</v>
          </cell>
          <cell r="C2188" t="str">
            <v>C69213</v>
          </cell>
          <cell r="D2188" t="str">
            <v>Laptop</v>
          </cell>
          <cell r="E2188">
            <v>4</v>
          </cell>
          <cell r="F2188">
            <v>644.96</v>
          </cell>
          <cell r="G2188" t="str">
            <v>533 Main St</v>
          </cell>
          <cell r="H2188" t="str">
            <v>Credit Card</v>
          </cell>
          <cell r="I2188" t="str">
            <v>Pending</v>
          </cell>
          <cell r="J2188" t="str">
            <v>TRK67837331</v>
          </cell>
          <cell r="K2188">
            <v>7</v>
          </cell>
          <cell r="L2188" t="str">
            <v>FREESHIP</v>
          </cell>
          <cell r="M2188" t="str">
            <v>Email</v>
          </cell>
          <cell r="N2188">
            <v>2579.84</v>
          </cell>
        </row>
        <row r="2189">
          <cell r="A2189" t="str">
            <v>ORD200987</v>
          </cell>
          <cell r="B2189">
            <v>45813</v>
          </cell>
          <cell r="C2189" t="str">
            <v>C67387</v>
          </cell>
          <cell r="D2189" t="str">
            <v>Phone</v>
          </cell>
          <cell r="E2189">
            <v>5</v>
          </cell>
          <cell r="F2189">
            <v>283.73</v>
          </cell>
          <cell r="G2189" t="str">
            <v>436 Main St</v>
          </cell>
          <cell r="H2189" t="str">
            <v>Gift Card</v>
          </cell>
          <cell r="I2189" t="str">
            <v>Pending</v>
          </cell>
          <cell r="J2189" t="str">
            <v>TRK54120003</v>
          </cell>
          <cell r="K2189">
            <v>8</v>
          </cell>
          <cell r="L2189" t="str">
            <v>FREESHIP</v>
          </cell>
          <cell r="M2189" t="str">
            <v>Instagram</v>
          </cell>
          <cell r="N2189">
            <v>1418.65</v>
          </cell>
        </row>
        <row r="2190">
          <cell r="A2190" t="str">
            <v>ORD200988</v>
          </cell>
          <cell r="B2190">
            <v>45692</v>
          </cell>
          <cell r="C2190" t="str">
            <v>C90318</v>
          </cell>
          <cell r="D2190" t="str">
            <v>Desk</v>
          </cell>
          <cell r="E2190">
            <v>2</v>
          </cell>
          <cell r="F2190">
            <v>629.55999999999995</v>
          </cell>
          <cell r="G2190" t="str">
            <v>818 Main St</v>
          </cell>
          <cell r="H2190" t="str">
            <v>Gift Card</v>
          </cell>
          <cell r="I2190" t="str">
            <v>Cancelled</v>
          </cell>
          <cell r="J2190" t="str">
            <v>TRK52765043</v>
          </cell>
          <cell r="K2190">
            <v>5</v>
          </cell>
          <cell r="L2190" t="str">
            <v>WINTER15</v>
          </cell>
          <cell r="M2190" t="str">
            <v>Instagram</v>
          </cell>
          <cell r="N2190">
            <v>1259.1199999999999</v>
          </cell>
        </row>
        <row r="2191">
          <cell r="A2191" t="str">
            <v>ORD200989</v>
          </cell>
          <cell r="B2191">
            <v>45008</v>
          </cell>
          <cell r="C2191" t="str">
            <v>C49995</v>
          </cell>
          <cell r="D2191" t="str">
            <v>Laptop</v>
          </cell>
          <cell r="E2191">
            <v>4</v>
          </cell>
          <cell r="F2191">
            <v>246.11</v>
          </cell>
          <cell r="G2191" t="str">
            <v>559 Main St</v>
          </cell>
          <cell r="H2191" t="str">
            <v>Credit Card</v>
          </cell>
          <cell r="I2191" t="str">
            <v>Pending</v>
          </cell>
          <cell r="J2191" t="str">
            <v>TRK33212013</v>
          </cell>
          <cell r="K2191">
            <v>4</v>
          </cell>
          <cell r="L2191" t="str">
            <v>SAVE10</v>
          </cell>
          <cell r="M2191" t="str">
            <v>Instagram</v>
          </cell>
          <cell r="N2191">
            <v>984.44</v>
          </cell>
        </row>
        <row r="2192">
          <cell r="A2192" t="str">
            <v>ORD200990</v>
          </cell>
          <cell r="B2192">
            <v>45249</v>
          </cell>
          <cell r="C2192" t="str">
            <v>C52313</v>
          </cell>
          <cell r="D2192" t="str">
            <v>Phone</v>
          </cell>
          <cell r="E2192">
            <v>2</v>
          </cell>
          <cell r="F2192">
            <v>418.26</v>
          </cell>
          <cell r="G2192" t="str">
            <v>913 Main St</v>
          </cell>
          <cell r="H2192" t="str">
            <v>Debit Card</v>
          </cell>
          <cell r="I2192" t="str">
            <v>Pending</v>
          </cell>
          <cell r="J2192" t="str">
            <v>TRK67368559</v>
          </cell>
          <cell r="K2192">
            <v>2</v>
          </cell>
          <cell r="L2192" t="str">
            <v>SAVE10</v>
          </cell>
          <cell r="M2192" t="str">
            <v>Google</v>
          </cell>
          <cell r="N2192">
            <v>836.52</v>
          </cell>
        </row>
        <row r="2193">
          <cell r="A2193" t="str">
            <v>ORD200991</v>
          </cell>
          <cell r="B2193">
            <v>45421</v>
          </cell>
          <cell r="C2193" t="str">
            <v>C10211</v>
          </cell>
          <cell r="D2193" t="str">
            <v>Desk</v>
          </cell>
          <cell r="E2193">
            <v>5</v>
          </cell>
          <cell r="F2193">
            <v>127.18</v>
          </cell>
          <cell r="G2193" t="str">
            <v>598 Main St</v>
          </cell>
          <cell r="H2193" t="str">
            <v>Debit Card</v>
          </cell>
          <cell r="I2193" t="str">
            <v>Cancelled</v>
          </cell>
          <cell r="J2193" t="str">
            <v>TRK68938335</v>
          </cell>
          <cell r="K2193">
            <v>10</v>
          </cell>
          <cell r="L2193" t="str">
            <v>FREESHIP</v>
          </cell>
          <cell r="M2193" t="str">
            <v>Google</v>
          </cell>
          <cell r="N2193">
            <v>635.9</v>
          </cell>
        </row>
        <row r="2194">
          <cell r="A2194" t="str">
            <v>ORD200992</v>
          </cell>
          <cell r="B2194">
            <v>45531</v>
          </cell>
          <cell r="C2194" t="str">
            <v>C97907</v>
          </cell>
          <cell r="D2194" t="str">
            <v>Printer</v>
          </cell>
          <cell r="E2194">
            <v>3</v>
          </cell>
          <cell r="F2194">
            <v>586.21</v>
          </cell>
          <cell r="G2194" t="str">
            <v>933 Main St</v>
          </cell>
          <cell r="H2194" t="str">
            <v>Gift Card</v>
          </cell>
          <cell r="I2194" t="str">
            <v>Pending</v>
          </cell>
          <cell r="J2194" t="str">
            <v>TRK89637569</v>
          </cell>
          <cell r="K2194">
            <v>4</v>
          </cell>
          <cell r="L2194" t="str">
            <v>WINTER15</v>
          </cell>
          <cell r="M2194" t="str">
            <v>Referral</v>
          </cell>
          <cell r="N2194">
            <v>1758.63</v>
          </cell>
        </row>
        <row r="2195">
          <cell r="A2195" t="str">
            <v>ORD200993</v>
          </cell>
          <cell r="B2195">
            <v>45388</v>
          </cell>
          <cell r="C2195" t="str">
            <v>C61384</v>
          </cell>
          <cell r="D2195" t="str">
            <v>Monitor</v>
          </cell>
          <cell r="E2195">
            <v>3</v>
          </cell>
          <cell r="F2195">
            <v>267.45</v>
          </cell>
          <cell r="G2195" t="str">
            <v>576 Main St</v>
          </cell>
          <cell r="H2195" t="str">
            <v>Gift Card</v>
          </cell>
          <cell r="I2195" t="str">
            <v>Delivered</v>
          </cell>
          <cell r="J2195" t="str">
            <v>TRK33323210</v>
          </cell>
          <cell r="K2195">
            <v>5</v>
          </cell>
          <cell r="L2195" t="str">
            <v>WINTER15</v>
          </cell>
          <cell r="M2195" t="str">
            <v>Instagram</v>
          </cell>
          <cell r="N2195">
            <v>802.35</v>
          </cell>
        </row>
        <row r="2196">
          <cell r="A2196" t="str">
            <v>ORD200994</v>
          </cell>
          <cell r="B2196">
            <v>45470</v>
          </cell>
          <cell r="C2196" t="str">
            <v>C27613</v>
          </cell>
          <cell r="D2196" t="str">
            <v>Tablet</v>
          </cell>
          <cell r="E2196">
            <v>4</v>
          </cell>
          <cell r="F2196">
            <v>615.65</v>
          </cell>
          <cell r="G2196" t="str">
            <v>971 Main St</v>
          </cell>
          <cell r="H2196" t="str">
            <v>Debit Card</v>
          </cell>
          <cell r="I2196" t="str">
            <v>Delivered</v>
          </cell>
          <cell r="J2196" t="str">
            <v>TRK63701318</v>
          </cell>
          <cell r="K2196">
            <v>9</v>
          </cell>
          <cell r="L2196" t="str">
            <v>WINTER15</v>
          </cell>
          <cell r="M2196" t="str">
            <v>Google</v>
          </cell>
          <cell r="N2196">
            <v>2462.6</v>
          </cell>
        </row>
        <row r="2197">
          <cell r="A2197" t="str">
            <v>ORD200995</v>
          </cell>
          <cell r="B2197">
            <v>45248</v>
          </cell>
          <cell r="C2197" t="str">
            <v>C99271</v>
          </cell>
          <cell r="D2197" t="str">
            <v>Monitor</v>
          </cell>
          <cell r="E2197">
            <v>2</v>
          </cell>
          <cell r="F2197">
            <v>113.29</v>
          </cell>
          <cell r="G2197" t="str">
            <v>959 Main St</v>
          </cell>
          <cell r="H2197" t="str">
            <v>Cash</v>
          </cell>
          <cell r="I2197" t="str">
            <v>Pending</v>
          </cell>
          <cell r="J2197" t="str">
            <v>TRK87832736</v>
          </cell>
          <cell r="K2197">
            <v>5</v>
          </cell>
          <cell r="L2197" t="str">
            <v>SAVE10</v>
          </cell>
          <cell r="M2197" t="str">
            <v>Facebook</v>
          </cell>
          <cell r="N2197">
            <v>226.58</v>
          </cell>
        </row>
        <row r="2198">
          <cell r="A2198" t="str">
            <v>ORD200996</v>
          </cell>
          <cell r="B2198">
            <v>45410</v>
          </cell>
          <cell r="C2198" t="str">
            <v>C28648</v>
          </cell>
          <cell r="D2198" t="str">
            <v>Monitor</v>
          </cell>
          <cell r="E2198">
            <v>4</v>
          </cell>
          <cell r="F2198">
            <v>473.86</v>
          </cell>
          <cell r="G2198" t="str">
            <v>101 Main St</v>
          </cell>
          <cell r="H2198" t="str">
            <v>Debit Card</v>
          </cell>
          <cell r="I2198" t="str">
            <v>Delivered</v>
          </cell>
          <cell r="J2198" t="str">
            <v>TRK92240846</v>
          </cell>
          <cell r="K2198">
            <v>7</v>
          </cell>
          <cell r="L2198" t="str">
            <v>SAVE10</v>
          </cell>
          <cell r="M2198" t="str">
            <v>Facebook</v>
          </cell>
          <cell r="N2198">
            <v>1895.44</v>
          </cell>
        </row>
        <row r="2199">
          <cell r="A2199" t="str">
            <v>ORD200997</v>
          </cell>
          <cell r="B2199">
            <v>45257</v>
          </cell>
          <cell r="C2199" t="str">
            <v>C26210</v>
          </cell>
          <cell r="D2199" t="str">
            <v>Laptop</v>
          </cell>
          <cell r="E2199">
            <v>3</v>
          </cell>
          <cell r="F2199">
            <v>444.75</v>
          </cell>
          <cell r="G2199" t="str">
            <v>805 Main St</v>
          </cell>
          <cell r="H2199" t="str">
            <v>Cash</v>
          </cell>
          <cell r="I2199" t="str">
            <v>Delivered</v>
          </cell>
          <cell r="J2199" t="str">
            <v>TRK40616861</v>
          </cell>
          <cell r="K2199">
            <v>6</v>
          </cell>
          <cell r="L2199" t="str">
            <v>SAVE10</v>
          </cell>
          <cell r="M2199" t="str">
            <v>Facebook</v>
          </cell>
          <cell r="N2199">
            <v>1334.25</v>
          </cell>
        </row>
        <row r="2200">
          <cell r="A2200" t="str">
            <v>ORD200998</v>
          </cell>
          <cell r="B2200">
            <v>45065</v>
          </cell>
          <cell r="C2200" t="str">
            <v>C90350</v>
          </cell>
          <cell r="D2200" t="str">
            <v>Phone</v>
          </cell>
          <cell r="E2200">
            <v>2</v>
          </cell>
          <cell r="F2200">
            <v>183.67</v>
          </cell>
          <cell r="G2200" t="str">
            <v>783 Main St</v>
          </cell>
          <cell r="H2200" t="str">
            <v>Debit Card</v>
          </cell>
          <cell r="I2200" t="str">
            <v>Cancelled</v>
          </cell>
          <cell r="J2200" t="str">
            <v>TRK22824230</v>
          </cell>
          <cell r="K2200">
            <v>6</v>
          </cell>
          <cell r="L2200" t="str">
            <v>SAVE10</v>
          </cell>
          <cell r="M2200" t="str">
            <v>Google</v>
          </cell>
          <cell r="N2200">
            <v>367.34</v>
          </cell>
        </row>
        <row r="2201">
          <cell r="A2201" t="str">
            <v>ORD200999</v>
          </cell>
          <cell r="B2201">
            <v>45284</v>
          </cell>
          <cell r="C2201" t="str">
            <v>C61957</v>
          </cell>
          <cell r="D2201" t="str">
            <v>Printer</v>
          </cell>
          <cell r="E2201">
            <v>1</v>
          </cell>
          <cell r="F2201">
            <v>483.38</v>
          </cell>
          <cell r="G2201" t="str">
            <v>652 Main St</v>
          </cell>
          <cell r="H2201" t="str">
            <v>Cash</v>
          </cell>
          <cell r="I2201" t="str">
            <v>Pending</v>
          </cell>
          <cell r="J2201" t="str">
            <v>TRK43983841</v>
          </cell>
          <cell r="K2201">
            <v>6</v>
          </cell>
          <cell r="L2201" t="str">
            <v>FREESHIP</v>
          </cell>
          <cell r="M2201" t="str">
            <v>Google</v>
          </cell>
          <cell r="N2201">
            <v>483.38</v>
          </cell>
        </row>
        <row r="2202">
          <cell r="A2202" t="str">
            <v>ORD201000</v>
          </cell>
          <cell r="B2202">
            <v>45098</v>
          </cell>
          <cell r="C2202" t="str">
            <v>C90132</v>
          </cell>
          <cell r="D2202" t="str">
            <v>Printer</v>
          </cell>
          <cell r="E2202">
            <v>5</v>
          </cell>
          <cell r="F2202">
            <v>260.93</v>
          </cell>
          <cell r="G2202" t="str">
            <v>582 Main St</v>
          </cell>
          <cell r="H2202" t="str">
            <v>Online</v>
          </cell>
          <cell r="I2202" t="str">
            <v>Delivered</v>
          </cell>
          <cell r="J2202" t="str">
            <v>TRK52664903</v>
          </cell>
          <cell r="K2202">
            <v>9</v>
          </cell>
          <cell r="L2202" t="str">
            <v>SAVE10</v>
          </cell>
          <cell r="M2202" t="str">
            <v>Email</v>
          </cell>
          <cell r="N2202">
            <v>1304.6500000000001</v>
          </cell>
        </row>
        <row r="2203">
          <cell r="A2203" t="str">
            <v>ORD201001</v>
          </cell>
          <cell r="B2203">
            <v>45268</v>
          </cell>
          <cell r="C2203" t="str">
            <v>C31371</v>
          </cell>
          <cell r="D2203" t="str">
            <v>Printer</v>
          </cell>
          <cell r="E2203">
            <v>2</v>
          </cell>
          <cell r="F2203">
            <v>253.68</v>
          </cell>
          <cell r="G2203" t="str">
            <v>122 Main St</v>
          </cell>
          <cell r="H2203" t="str">
            <v>Gift Card</v>
          </cell>
          <cell r="I2203" t="str">
            <v>Shipped</v>
          </cell>
          <cell r="J2203" t="str">
            <v>TRK19554327</v>
          </cell>
          <cell r="K2203">
            <v>6</v>
          </cell>
          <cell r="L2203" t="str">
            <v>No Coupon</v>
          </cell>
          <cell r="M2203" t="str">
            <v>Referral</v>
          </cell>
          <cell r="N2203">
            <v>507.36</v>
          </cell>
        </row>
        <row r="2204">
          <cell r="A2204" t="str">
            <v>ORD201002</v>
          </cell>
          <cell r="B2204">
            <v>45827</v>
          </cell>
          <cell r="C2204" t="str">
            <v>C83911</v>
          </cell>
          <cell r="D2204" t="str">
            <v>Tablet</v>
          </cell>
          <cell r="E2204">
            <v>4</v>
          </cell>
          <cell r="F2204">
            <v>699.88</v>
          </cell>
          <cell r="G2204" t="str">
            <v>944 Main St</v>
          </cell>
          <cell r="H2204" t="str">
            <v>Cash</v>
          </cell>
          <cell r="I2204" t="str">
            <v>Pending</v>
          </cell>
          <cell r="J2204" t="str">
            <v>TRK33188106</v>
          </cell>
          <cell r="K2204">
            <v>5</v>
          </cell>
          <cell r="L2204" t="str">
            <v>WINTER15</v>
          </cell>
          <cell r="M2204" t="str">
            <v>Referral</v>
          </cell>
          <cell r="N2204">
            <v>2799.52</v>
          </cell>
        </row>
        <row r="2205">
          <cell r="A2205" t="str">
            <v>ORD201003</v>
          </cell>
          <cell r="B2205">
            <v>44937</v>
          </cell>
          <cell r="C2205" t="str">
            <v>C84700</v>
          </cell>
          <cell r="D2205" t="str">
            <v>Printer</v>
          </cell>
          <cell r="E2205">
            <v>5</v>
          </cell>
          <cell r="F2205">
            <v>319.97000000000003</v>
          </cell>
          <cell r="G2205" t="str">
            <v>582 Main St</v>
          </cell>
          <cell r="H2205" t="str">
            <v>Cash</v>
          </cell>
          <cell r="I2205" t="str">
            <v>Shipped</v>
          </cell>
          <cell r="J2205" t="str">
            <v>TRK14706969</v>
          </cell>
          <cell r="K2205">
            <v>7</v>
          </cell>
          <cell r="L2205" t="str">
            <v>SAVE10</v>
          </cell>
          <cell r="M2205" t="str">
            <v>Google</v>
          </cell>
          <cell r="N2205">
            <v>1599.85</v>
          </cell>
        </row>
        <row r="2206">
          <cell r="A2206" t="str">
            <v>ORD201004</v>
          </cell>
          <cell r="B2206">
            <v>45817</v>
          </cell>
          <cell r="C2206" t="str">
            <v>C87529</v>
          </cell>
          <cell r="D2206" t="str">
            <v>Chair</v>
          </cell>
          <cell r="E2206">
            <v>4</v>
          </cell>
          <cell r="F2206">
            <v>246.91</v>
          </cell>
          <cell r="G2206" t="str">
            <v>296 Main St</v>
          </cell>
          <cell r="H2206" t="str">
            <v>Online</v>
          </cell>
          <cell r="I2206" t="str">
            <v>Pending</v>
          </cell>
          <cell r="J2206" t="str">
            <v>TRK15739505</v>
          </cell>
          <cell r="K2206">
            <v>8</v>
          </cell>
          <cell r="L2206" t="str">
            <v>SAVE10</v>
          </cell>
          <cell r="M2206" t="str">
            <v>Referral</v>
          </cell>
          <cell r="N2206">
            <v>987.64</v>
          </cell>
        </row>
        <row r="2207">
          <cell r="A2207" t="str">
            <v>ORD201005</v>
          </cell>
          <cell r="B2207">
            <v>44987</v>
          </cell>
          <cell r="C2207" t="str">
            <v>C38065</v>
          </cell>
          <cell r="D2207" t="str">
            <v>Printer</v>
          </cell>
          <cell r="E2207">
            <v>3</v>
          </cell>
          <cell r="F2207">
            <v>392.85</v>
          </cell>
          <cell r="G2207" t="str">
            <v>426 Main St</v>
          </cell>
          <cell r="H2207" t="str">
            <v>Credit Card</v>
          </cell>
          <cell r="I2207" t="str">
            <v>Returned</v>
          </cell>
          <cell r="J2207" t="str">
            <v>TRK11448295</v>
          </cell>
          <cell r="K2207">
            <v>6</v>
          </cell>
          <cell r="L2207" t="str">
            <v>No Coupon</v>
          </cell>
          <cell r="M2207" t="str">
            <v>Google</v>
          </cell>
          <cell r="N2207">
            <v>1178.55</v>
          </cell>
        </row>
        <row r="2208">
          <cell r="A2208" t="str">
            <v>ORD201006</v>
          </cell>
          <cell r="B2208">
            <v>45439</v>
          </cell>
          <cell r="C2208" t="str">
            <v>C27435</v>
          </cell>
          <cell r="D2208" t="str">
            <v>Tablet</v>
          </cell>
          <cell r="E2208">
            <v>5</v>
          </cell>
          <cell r="F2208">
            <v>420.98</v>
          </cell>
          <cell r="G2208" t="str">
            <v>860 Main St</v>
          </cell>
          <cell r="H2208" t="str">
            <v>Cash</v>
          </cell>
          <cell r="I2208" t="str">
            <v>Delivered</v>
          </cell>
          <cell r="J2208" t="str">
            <v>TRK91458233</v>
          </cell>
          <cell r="K2208">
            <v>7</v>
          </cell>
          <cell r="L2208" t="str">
            <v>SAVE10</v>
          </cell>
          <cell r="M2208" t="str">
            <v>Facebook</v>
          </cell>
          <cell r="N2208">
            <v>2104.9</v>
          </cell>
        </row>
        <row r="2209">
          <cell r="A2209" t="str">
            <v>ORD201007</v>
          </cell>
          <cell r="B2209">
            <v>45371</v>
          </cell>
          <cell r="C2209" t="str">
            <v>C46651</v>
          </cell>
          <cell r="D2209" t="str">
            <v>Monitor</v>
          </cell>
          <cell r="E2209">
            <v>2</v>
          </cell>
          <cell r="F2209">
            <v>73.260000000000005</v>
          </cell>
          <cell r="G2209" t="str">
            <v>839 Main St</v>
          </cell>
          <cell r="H2209" t="str">
            <v>Cash</v>
          </cell>
          <cell r="I2209" t="str">
            <v>Pending</v>
          </cell>
          <cell r="J2209" t="str">
            <v>TRK60444502</v>
          </cell>
          <cell r="K2209">
            <v>4</v>
          </cell>
          <cell r="L2209" t="str">
            <v>WINTER15</v>
          </cell>
          <cell r="M2209" t="str">
            <v>Facebook</v>
          </cell>
          <cell r="N2209">
            <v>146.52000000000001</v>
          </cell>
        </row>
        <row r="2210">
          <cell r="A2210" t="str">
            <v>ORD201008</v>
          </cell>
          <cell r="B2210">
            <v>44939</v>
          </cell>
          <cell r="C2210" t="str">
            <v>C62557</v>
          </cell>
          <cell r="D2210" t="str">
            <v>Monitor</v>
          </cell>
          <cell r="E2210">
            <v>3</v>
          </cell>
          <cell r="F2210">
            <v>410.88</v>
          </cell>
          <cell r="G2210" t="str">
            <v>257 Main St</v>
          </cell>
          <cell r="H2210" t="str">
            <v>Cash</v>
          </cell>
          <cell r="I2210" t="str">
            <v>Delivered</v>
          </cell>
          <cell r="J2210" t="str">
            <v>TRK12742366</v>
          </cell>
          <cell r="K2210">
            <v>8</v>
          </cell>
          <cell r="L2210" t="str">
            <v>FREESHIP</v>
          </cell>
          <cell r="M2210" t="str">
            <v>Instagram</v>
          </cell>
          <cell r="N2210">
            <v>1232.6400000000001</v>
          </cell>
        </row>
        <row r="2211">
          <cell r="A2211" t="str">
            <v>ORD201009</v>
          </cell>
          <cell r="B2211">
            <v>45171</v>
          </cell>
          <cell r="C2211" t="str">
            <v>C54494</v>
          </cell>
          <cell r="D2211" t="str">
            <v>Tablet</v>
          </cell>
          <cell r="E2211">
            <v>2</v>
          </cell>
          <cell r="F2211">
            <v>176.46</v>
          </cell>
          <cell r="G2211" t="str">
            <v>696 Main St</v>
          </cell>
          <cell r="H2211" t="str">
            <v>Credit Card</v>
          </cell>
          <cell r="I2211" t="str">
            <v>Delivered</v>
          </cell>
          <cell r="J2211" t="str">
            <v>TRK95958645</v>
          </cell>
          <cell r="K2211">
            <v>2</v>
          </cell>
          <cell r="L2211" t="str">
            <v>FREESHIP</v>
          </cell>
          <cell r="M2211" t="str">
            <v>Email</v>
          </cell>
          <cell r="N2211">
            <v>352.92</v>
          </cell>
        </row>
        <row r="2212">
          <cell r="A2212" t="str">
            <v>ORD201010</v>
          </cell>
          <cell r="B2212">
            <v>45016</v>
          </cell>
          <cell r="C2212" t="str">
            <v>C33729</v>
          </cell>
          <cell r="D2212" t="str">
            <v>Monitor</v>
          </cell>
          <cell r="E2212">
            <v>3</v>
          </cell>
          <cell r="F2212">
            <v>659.57</v>
          </cell>
          <cell r="G2212" t="str">
            <v>533 Main St</v>
          </cell>
          <cell r="H2212" t="str">
            <v>Credit Card</v>
          </cell>
          <cell r="I2212" t="str">
            <v>Cancelled</v>
          </cell>
          <cell r="J2212" t="str">
            <v>TRK35649833</v>
          </cell>
          <cell r="K2212">
            <v>6</v>
          </cell>
          <cell r="L2212" t="str">
            <v>SAVE10</v>
          </cell>
          <cell r="M2212" t="str">
            <v>Email</v>
          </cell>
          <cell r="N2212">
            <v>1978.71</v>
          </cell>
        </row>
        <row r="2213">
          <cell r="A2213" t="str">
            <v>ORD201011</v>
          </cell>
          <cell r="B2213">
            <v>45629</v>
          </cell>
          <cell r="C2213" t="str">
            <v>C47823</v>
          </cell>
          <cell r="D2213" t="str">
            <v>Phone</v>
          </cell>
          <cell r="E2213">
            <v>2</v>
          </cell>
          <cell r="F2213">
            <v>478.36</v>
          </cell>
          <cell r="G2213" t="str">
            <v>654 Main St</v>
          </cell>
          <cell r="H2213" t="str">
            <v>Online</v>
          </cell>
          <cell r="I2213" t="str">
            <v>Shipped</v>
          </cell>
          <cell r="J2213" t="str">
            <v>TRK22271097</v>
          </cell>
          <cell r="K2213">
            <v>3</v>
          </cell>
          <cell r="L2213" t="str">
            <v>No Coupon</v>
          </cell>
          <cell r="M2213" t="str">
            <v>Google</v>
          </cell>
          <cell r="N2213">
            <v>956.72</v>
          </cell>
        </row>
        <row r="2214">
          <cell r="A2214" t="str">
            <v>ORD201012</v>
          </cell>
          <cell r="B2214">
            <v>45629</v>
          </cell>
          <cell r="C2214" t="str">
            <v>C84570</v>
          </cell>
          <cell r="D2214" t="str">
            <v>Printer</v>
          </cell>
          <cell r="E2214">
            <v>4</v>
          </cell>
          <cell r="F2214">
            <v>30.05</v>
          </cell>
          <cell r="G2214" t="str">
            <v>301 Main St</v>
          </cell>
          <cell r="H2214" t="str">
            <v>Online</v>
          </cell>
          <cell r="I2214" t="str">
            <v>Returned</v>
          </cell>
          <cell r="J2214" t="str">
            <v>TRK12551882</v>
          </cell>
          <cell r="K2214">
            <v>6</v>
          </cell>
          <cell r="L2214" t="str">
            <v>No Coupon</v>
          </cell>
          <cell r="M2214" t="str">
            <v>Facebook</v>
          </cell>
          <cell r="N2214">
            <v>120.2</v>
          </cell>
        </row>
        <row r="2215">
          <cell r="A2215" t="str">
            <v>ORD201013</v>
          </cell>
          <cell r="B2215">
            <v>45773</v>
          </cell>
          <cell r="C2215" t="str">
            <v>C91123</v>
          </cell>
          <cell r="D2215" t="str">
            <v>Laptop</v>
          </cell>
          <cell r="E2215">
            <v>4</v>
          </cell>
          <cell r="F2215">
            <v>300.56</v>
          </cell>
          <cell r="G2215" t="str">
            <v>842 Main St</v>
          </cell>
          <cell r="H2215" t="str">
            <v>Cash</v>
          </cell>
          <cell r="I2215" t="str">
            <v>Cancelled</v>
          </cell>
          <cell r="J2215" t="str">
            <v>TRK49568409</v>
          </cell>
          <cell r="K2215">
            <v>9</v>
          </cell>
          <cell r="L2215" t="str">
            <v>FREESHIP</v>
          </cell>
          <cell r="M2215" t="str">
            <v>Facebook</v>
          </cell>
          <cell r="N2215">
            <v>1202.24</v>
          </cell>
        </row>
        <row r="2216">
          <cell r="A2216" t="str">
            <v>ORD201014</v>
          </cell>
          <cell r="B2216">
            <v>45326</v>
          </cell>
          <cell r="C2216" t="str">
            <v>C92548</v>
          </cell>
          <cell r="D2216" t="str">
            <v>Tablet</v>
          </cell>
          <cell r="E2216">
            <v>5</v>
          </cell>
          <cell r="F2216">
            <v>226.45</v>
          </cell>
          <cell r="G2216" t="str">
            <v>160 Main St</v>
          </cell>
          <cell r="H2216" t="str">
            <v>Debit Card</v>
          </cell>
          <cell r="I2216" t="str">
            <v>Returned</v>
          </cell>
          <cell r="J2216" t="str">
            <v>TRK21682892</v>
          </cell>
          <cell r="K2216">
            <v>6</v>
          </cell>
          <cell r="L2216" t="str">
            <v>FREESHIP</v>
          </cell>
          <cell r="M2216" t="str">
            <v>Email</v>
          </cell>
          <cell r="N2216">
            <v>1132.25</v>
          </cell>
        </row>
        <row r="2217">
          <cell r="A2217" t="str">
            <v>ORD201015</v>
          </cell>
          <cell r="B2217">
            <v>45317</v>
          </cell>
          <cell r="C2217" t="str">
            <v>C97454</v>
          </cell>
          <cell r="D2217" t="str">
            <v>Printer</v>
          </cell>
          <cell r="E2217">
            <v>2</v>
          </cell>
          <cell r="F2217">
            <v>349.4</v>
          </cell>
          <cell r="G2217" t="str">
            <v>892 Main St</v>
          </cell>
          <cell r="H2217" t="str">
            <v>Online</v>
          </cell>
          <cell r="I2217" t="str">
            <v>Shipped</v>
          </cell>
          <cell r="J2217" t="str">
            <v>TRK73249329</v>
          </cell>
          <cell r="K2217">
            <v>2</v>
          </cell>
          <cell r="L2217" t="str">
            <v>SAVE10</v>
          </cell>
          <cell r="M2217" t="str">
            <v>Instagram</v>
          </cell>
          <cell r="N2217">
            <v>698.8</v>
          </cell>
        </row>
        <row r="2218">
          <cell r="A2218" t="str">
            <v>ORD201016</v>
          </cell>
          <cell r="B2218">
            <v>45289</v>
          </cell>
          <cell r="C2218" t="str">
            <v>C20257</v>
          </cell>
          <cell r="D2218" t="str">
            <v>Tablet</v>
          </cell>
          <cell r="E2218">
            <v>5</v>
          </cell>
          <cell r="F2218">
            <v>268.77999999999997</v>
          </cell>
          <cell r="G2218" t="str">
            <v>669 Main St</v>
          </cell>
          <cell r="H2218" t="str">
            <v>Debit Card</v>
          </cell>
          <cell r="I2218" t="str">
            <v>Delivered</v>
          </cell>
          <cell r="J2218" t="str">
            <v>TRK62135578</v>
          </cell>
          <cell r="K2218">
            <v>7</v>
          </cell>
          <cell r="L2218" t="str">
            <v>WINTER15</v>
          </cell>
          <cell r="M2218" t="str">
            <v>Email</v>
          </cell>
          <cell r="N2218">
            <v>1343.9</v>
          </cell>
        </row>
        <row r="2219">
          <cell r="A2219" t="str">
            <v>ORD201017</v>
          </cell>
          <cell r="B2219">
            <v>45529</v>
          </cell>
          <cell r="C2219" t="str">
            <v>C51694</v>
          </cell>
          <cell r="D2219" t="str">
            <v>Chair</v>
          </cell>
          <cell r="E2219">
            <v>2</v>
          </cell>
          <cell r="F2219">
            <v>680.85</v>
          </cell>
          <cell r="G2219" t="str">
            <v>953 Main St</v>
          </cell>
          <cell r="H2219" t="str">
            <v>Gift Card</v>
          </cell>
          <cell r="I2219" t="str">
            <v>Delivered</v>
          </cell>
          <cell r="J2219" t="str">
            <v>TRK83122112</v>
          </cell>
          <cell r="K2219">
            <v>6</v>
          </cell>
          <cell r="L2219" t="str">
            <v>FREESHIP</v>
          </cell>
          <cell r="M2219" t="str">
            <v>Referral</v>
          </cell>
          <cell r="N2219">
            <v>1361.7</v>
          </cell>
        </row>
        <row r="2220">
          <cell r="A2220" t="str">
            <v>ORD201018</v>
          </cell>
          <cell r="B2220">
            <v>45115</v>
          </cell>
          <cell r="C2220" t="str">
            <v>C77499</v>
          </cell>
          <cell r="D2220" t="str">
            <v>Laptop</v>
          </cell>
          <cell r="E2220">
            <v>3</v>
          </cell>
          <cell r="F2220">
            <v>182.48</v>
          </cell>
          <cell r="G2220" t="str">
            <v>209 Main St</v>
          </cell>
          <cell r="H2220" t="str">
            <v>Cash</v>
          </cell>
          <cell r="I2220" t="str">
            <v>Delivered</v>
          </cell>
          <cell r="J2220" t="str">
            <v>TRK20703086</v>
          </cell>
          <cell r="K2220">
            <v>3</v>
          </cell>
          <cell r="L2220" t="str">
            <v>No Coupon</v>
          </cell>
          <cell r="M2220" t="str">
            <v>Instagram</v>
          </cell>
          <cell r="N2220">
            <v>547.44000000000005</v>
          </cell>
        </row>
        <row r="2221">
          <cell r="A2221" t="str">
            <v>ORD201019</v>
          </cell>
          <cell r="B2221">
            <v>45388</v>
          </cell>
          <cell r="C2221" t="str">
            <v>C28386</v>
          </cell>
          <cell r="D2221" t="str">
            <v>Desk</v>
          </cell>
          <cell r="E2221">
            <v>1</v>
          </cell>
          <cell r="F2221">
            <v>277.08999999999997</v>
          </cell>
          <cell r="G2221" t="str">
            <v>293 Main St</v>
          </cell>
          <cell r="H2221" t="str">
            <v>Cash</v>
          </cell>
          <cell r="I2221" t="str">
            <v>Returned</v>
          </cell>
          <cell r="J2221" t="str">
            <v>TRK32954229</v>
          </cell>
          <cell r="K2221">
            <v>2</v>
          </cell>
          <cell r="L2221" t="str">
            <v>SAVE10</v>
          </cell>
          <cell r="M2221" t="str">
            <v>Referral</v>
          </cell>
          <cell r="N2221">
            <v>277.08999999999997</v>
          </cell>
        </row>
        <row r="2222">
          <cell r="A2222" t="str">
            <v>ORD201020</v>
          </cell>
          <cell r="B2222">
            <v>45404</v>
          </cell>
          <cell r="C2222" t="str">
            <v>C50211</v>
          </cell>
          <cell r="D2222" t="str">
            <v>Tablet</v>
          </cell>
          <cell r="E2222">
            <v>2</v>
          </cell>
          <cell r="F2222">
            <v>26.5</v>
          </cell>
          <cell r="G2222" t="str">
            <v>312 Main St</v>
          </cell>
          <cell r="H2222" t="str">
            <v>Online</v>
          </cell>
          <cell r="I2222" t="str">
            <v>Delivered</v>
          </cell>
          <cell r="J2222" t="str">
            <v>TRK47787981</v>
          </cell>
          <cell r="K2222">
            <v>3</v>
          </cell>
          <cell r="L2222" t="str">
            <v>SAVE10</v>
          </cell>
          <cell r="M2222" t="str">
            <v>Instagram</v>
          </cell>
          <cell r="N2222">
            <v>53</v>
          </cell>
        </row>
        <row r="2223">
          <cell r="A2223" t="str">
            <v>ORD201021</v>
          </cell>
          <cell r="B2223">
            <v>45222</v>
          </cell>
          <cell r="C2223" t="str">
            <v>C74519</v>
          </cell>
          <cell r="D2223" t="str">
            <v>Phone</v>
          </cell>
          <cell r="E2223">
            <v>3</v>
          </cell>
          <cell r="F2223">
            <v>315.27</v>
          </cell>
          <cell r="G2223" t="str">
            <v>309 Main St</v>
          </cell>
          <cell r="H2223" t="str">
            <v>Credit Card</v>
          </cell>
          <cell r="I2223" t="str">
            <v>Cancelled</v>
          </cell>
          <cell r="J2223" t="str">
            <v>TRK97351945</v>
          </cell>
          <cell r="K2223">
            <v>4</v>
          </cell>
          <cell r="L2223" t="str">
            <v>SAVE10</v>
          </cell>
          <cell r="M2223" t="str">
            <v>Email</v>
          </cell>
          <cell r="N2223">
            <v>945.81</v>
          </cell>
        </row>
        <row r="2224">
          <cell r="A2224" t="str">
            <v>ORD201022</v>
          </cell>
          <cell r="B2224">
            <v>45712</v>
          </cell>
          <cell r="C2224" t="str">
            <v>C19071</v>
          </cell>
          <cell r="D2224" t="str">
            <v>Tablet</v>
          </cell>
          <cell r="E2224">
            <v>3</v>
          </cell>
          <cell r="F2224">
            <v>450.98</v>
          </cell>
          <cell r="G2224" t="str">
            <v>396 Main St</v>
          </cell>
          <cell r="H2224" t="str">
            <v>Credit Card</v>
          </cell>
          <cell r="I2224" t="str">
            <v>Shipped</v>
          </cell>
          <cell r="J2224" t="str">
            <v>TRK66537096</v>
          </cell>
          <cell r="K2224">
            <v>8</v>
          </cell>
          <cell r="L2224" t="str">
            <v>SAVE10</v>
          </cell>
          <cell r="M2224" t="str">
            <v>Referral</v>
          </cell>
          <cell r="N2224">
            <v>1352.94</v>
          </cell>
        </row>
        <row r="2225">
          <cell r="A2225" t="str">
            <v>ORD201023</v>
          </cell>
          <cell r="B2225">
            <v>45558</v>
          </cell>
          <cell r="C2225" t="str">
            <v>C65251</v>
          </cell>
          <cell r="D2225" t="str">
            <v>Laptop</v>
          </cell>
          <cell r="E2225">
            <v>5</v>
          </cell>
          <cell r="F2225">
            <v>233.67</v>
          </cell>
          <cell r="G2225" t="str">
            <v>291 Main St</v>
          </cell>
          <cell r="H2225" t="str">
            <v>Cash</v>
          </cell>
          <cell r="I2225" t="str">
            <v>Shipped</v>
          </cell>
          <cell r="J2225" t="str">
            <v>TRK32059025</v>
          </cell>
          <cell r="K2225">
            <v>10</v>
          </cell>
          <cell r="L2225" t="str">
            <v>No Coupon</v>
          </cell>
          <cell r="M2225" t="str">
            <v>Referral</v>
          </cell>
          <cell r="N2225">
            <v>1168.3499999999999</v>
          </cell>
        </row>
        <row r="2226">
          <cell r="A2226" t="str">
            <v>ORD201024</v>
          </cell>
          <cell r="B2226">
            <v>45320</v>
          </cell>
          <cell r="C2226" t="str">
            <v>C90612</v>
          </cell>
          <cell r="D2226" t="str">
            <v>Chair</v>
          </cell>
          <cell r="E2226">
            <v>3</v>
          </cell>
          <cell r="F2226">
            <v>367.75</v>
          </cell>
          <cell r="G2226" t="str">
            <v>731 Main St</v>
          </cell>
          <cell r="H2226" t="str">
            <v>Cash</v>
          </cell>
          <cell r="I2226" t="str">
            <v>Pending</v>
          </cell>
          <cell r="J2226" t="str">
            <v>TRK93022878</v>
          </cell>
          <cell r="K2226">
            <v>7</v>
          </cell>
          <cell r="L2226" t="str">
            <v>FREESHIP</v>
          </cell>
          <cell r="M2226" t="str">
            <v>Facebook</v>
          </cell>
          <cell r="N2226">
            <v>1103.25</v>
          </cell>
        </row>
        <row r="2227">
          <cell r="A2227" t="str">
            <v>ORD201025</v>
          </cell>
          <cell r="B2227">
            <v>45794</v>
          </cell>
          <cell r="C2227" t="str">
            <v>C28406</v>
          </cell>
          <cell r="D2227" t="str">
            <v>Chair</v>
          </cell>
          <cell r="E2227">
            <v>1</v>
          </cell>
          <cell r="F2227">
            <v>23.53</v>
          </cell>
          <cell r="G2227" t="str">
            <v>174 Main St</v>
          </cell>
          <cell r="H2227" t="str">
            <v>Gift Card</v>
          </cell>
          <cell r="I2227" t="str">
            <v>Delivered</v>
          </cell>
          <cell r="J2227" t="str">
            <v>TRK98841457</v>
          </cell>
          <cell r="K2227">
            <v>2</v>
          </cell>
          <cell r="L2227" t="str">
            <v>FREESHIP</v>
          </cell>
          <cell r="M2227" t="str">
            <v>Instagram</v>
          </cell>
          <cell r="N2227">
            <v>23.53</v>
          </cell>
        </row>
        <row r="2228">
          <cell r="A2228" t="str">
            <v>ORD201026</v>
          </cell>
          <cell r="B2228">
            <v>45047</v>
          </cell>
          <cell r="C2228" t="str">
            <v>C55454</v>
          </cell>
          <cell r="D2228" t="str">
            <v>Monitor</v>
          </cell>
          <cell r="E2228">
            <v>1</v>
          </cell>
          <cell r="F2228">
            <v>677.48</v>
          </cell>
          <cell r="G2228" t="str">
            <v>807 Main St</v>
          </cell>
          <cell r="H2228" t="str">
            <v>Online</v>
          </cell>
          <cell r="I2228" t="str">
            <v>Delivered</v>
          </cell>
          <cell r="J2228" t="str">
            <v>TRK13281370</v>
          </cell>
          <cell r="K2228">
            <v>1</v>
          </cell>
          <cell r="L2228" t="str">
            <v>WINTER15</v>
          </cell>
          <cell r="M2228" t="str">
            <v>Facebook</v>
          </cell>
          <cell r="N2228">
            <v>677.48</v>
          </cell>
        </row>
        <row r="2229">
          <cell r="A2229" t="str">
            <v>ORD201027</v>
          </cell>
          <cell r="B2229">
            <v>45433</v>
          </cell>
          <cell r="C2229" t="str">
            <v>C93467</v>
          </cell>
          <cell r="D2229" t="str">
            <v>Laptop</v>
          </cell>
          <cell r="E2229">
            <v>4</v>
          </cell>
          <cell r="F2229">
            <v>554.83000000000004</v>
          </cell>
          <cell r="G2229" t="str">
            <v>983 Main St</v>
          </cell>
          <cell r="H2229" t="str">
            <v>Cash</v>
          </cell>
          <cell r="I2229" t="str">
            <v>Returned</v>
          </cell>
          <cell r="J2229" t="str">
            <v>TRK77377373</v>
          </cell>
          <cell r="K2229">
            <v>6</v>
          </cell>
          <cell r="L2229" t="str">
            <v>No Coupon</v>
          </cell>
          <cell r="M2229" t="str">
            <v>Google</v>
          </cell>
          <cell r="N2229">
            <v>2219.3200000000002</v>
          </cell>
        </row>
        <row r="2230">
          <cell r="A2230" t="str">
            <v>ORD201028</v>
          </cell>
          <cell r="B2230">
            <v>44974</v>
          </cell>
          <cell r="C2230" t="str">
            <v>C60042</v>
          </cell>
          <cell r="D2230" t="str">
            <v>Desk</v>
          </cell>
          <cell r="E2230">
            <v>4</v>
          </cell>
          <cell r="F2230">
            <v>440.31</v>
          </cell>
          <cell r="G2230" t="str">
            <v>610 Main St</v>
          </cell>
          <cell r="H2230" t="str">
            <v>Cash</v>
          </cell>
          <cell r="I2230" t="str">
            <v>Cancelled</v>
          </cell>
          <cell r="J2230" t="str">
            <v>TRK84651559</v>
          </cell>
          <cell r="K2230">
            <v>6</v>
          </cell>
          <cell r="L2230" t="str">
            <v>No Coupon</v>
          </cell>
          <cell r="M2230" t="str">
            <v>Instagram</v>
          </cell>
          <cell r="N2230">
            <v>1761.24</v>
          </cell>
        </row>
        <row r="2231">
          <cell r="A2231" t="str">
            <v>ORD201029</v>
          </cell>
          <cell r="B2231">
            <v>45717</v>
          </cell>
          <cell r="C2231" t="str">
            <v>C44733</v>
          </cell>
          <cell r="D2231" t="str">
            <v>Desk</v>
          </cell>
          <cell r="E2231">
            <v>1</v>
          </cell>
          <cell r="F2231">
            <v>87.06</v>
          </cell>
          <cell r="G2231" t="str">
            <v>851 Main St</v>
          </cell>
          <cell r="H2231" t="str">
            <v>Credit Card</v>
          </cell>
          <cell r="I2231" t="str">
            <v>Shipped</v>
          </cell>
          <cell r="J2231" t="str">
            <v>TRK41500198</v>
          </cell>
          <cell r="K2231">
            <v>4</v>
          </cell>
          <cell r="L2231" t="str">
            <v>FREESHIP</v>
          </cell>
          <cell r="M2231" t="str">
            <v>Email</v>
          </cell>
          <cell r="N2231">
            <v>87.06</v>
          </cell>
        </row>
        <row r="2232">
          <cell r="A2232" t="str">
            <v>ORD201030</v>
          </cell>
          <cell r="B2232">
            <v>45201</v>
          </cell>
          <cell r="C2232" t="str">
            <v>C61773</v>
          </cell>
          <cell r="D2232" t="str">
            <v>Phone</v>
          </cell>
          <cell r="E2232">
            <v>4</v>
          </cell>
          <cell r="F2232">
            <v>245.28</v>
          </cell>
          <cell r="G2232" t="str">
            <v>176 Main St</v>
          </cell>
          <cell r="H2232" t="str">
            <v>Credit Card</v>
          </cell>
          <cell r="I2232" t="str">
            <v>Delivered</v>
          </cell>
          <cell r="J2232" t="str">
            <v>TRK12936357</v>
          </cell>
          <cell r="K2232">
            <v>6</v>
          </cell>
          <cell r="L2232" t="str">
            <v>WINTER15</v>
          </cell>
          <cell r="M2232" t="str">
            <v>Email</v>
          </cell>
          <cell r="N2232">
            <v>981.12</v>
          </cell>
        </row>
        <row r="2233">
          <cell r="A2233" t="str">
            <v>ORD201031</v>
          </cell>
          <cell r="B2233">
            <v>44985</v>
          </cell>
          <cell r="C2233" t="str">
            <v>C59183</v>
          </cell>
          <cell r="D2233" t="str">
            <v>Phone</v>
          </cell>
          <cell r="E2233">
            <v>5</v>
          </cell>
          <cell r="F2233">
            <v>664.51</v>
          </cell>
          <cell r="G2233" t="str">
            <v>136 Main St</v>
          </cell>
          <cell r="H2233" t="str">
            <v>Debit Card</v>
          </cell>
          <cell r="I2233" t="str">
            <v>Pending</v>
          </cell>
          <cell r="J2233" t="str">
            <v>TRK18129706</v>
          </cell>
          <cell r="K2233">
            <v>8</v>
          </cell>
          <cell r="L2233" t="str">
            <v>SAVE10</v>
          </cell>
          <cell r="M2233" t="str">
            <v>Email</v>
          </cell>
          <cell r="N2233">
            <v>3322.55</v>
          </cell>
        </row>
        <row r="2234">
          <cell r="A2234" t="str">
            <v>ORD201032</v>
          </cell>
          <cell r="B2234">
            <v>45036</v>
          </cell>
          <cell r="C2234" t="str">
            <v>C26188</v>
          </cell>
          <cell r="D2234" t="str">
            <v>Chair</v>
          </cell>
          <cell r="E2234">
            <v>1</v>
          </cell>
          <cell r="F2234">
            <v>618.67999999999995</v>
          </cell>
          <cell r="G2234" t="str">
            <v>990 Main St</v>
          </cell>
          <cell r="H2234" t="str">
            <v>Online</v>
          </cell>
          <cell r="I2234" t="str">
            <v>Delivered</v>
          </cell>
          <cell r="J2234" t="str">
            <v>TRK61634201</v>
          </cell>
          <cell r="K2234">
            <v>6</v>
          </cell>
          <cell r="L2234" t="str">
            <v>WINTER15</v>
          </cell>
          <cell r="M2234" t="str">
            <v>Referral</v>
          </cell>
          <cell r="N2234">
            <v>618.67999999999995</v>
          </cell>
        </row>
        <row r="2235">
          <cell r="A2235" t="str">
            <v>ORD201033</v>
          </cell>
          <cell r="B2235">
            <v>45650</v>
          </cell>
          <cell r="C2235" t="str">
            <v>C20338</v>
          </cell>
          <cell r="D2235" t="str">
            <v>Monitor</v>
          </cell>
          <cell r="E2235">
            <v>1</v>
          </cell>
          <cell r="F2235">
            <v>370.85</v>
          </cell>
          <cell r="G2235" t="str">
            <v>331 Main St</v>
          </cell>
          <cell r="H2235" t="str">
            <v>Gift Card</v>
          </cell>
          <cell r="I2235" t="str">
            <v>Delivered</v>
          </cell>
          <cell r="J2235" t="str">
            <v>TRK30654048</v>
          </cell>
          <cell r="K2235">
            <v>2</v>
          </cell>
          <cell r="L2235" t="str">
            <v>FREESHIP</v>
          </cell>
          <cell r="M2235" t="str">
            <v>Referral</v>
          </cell>
          <cell r="N2235">
            <v>370.85</v>
          </cell>
        </row>
        <row r="2236">
          <cell r="A2236" t="str">
            <v>ORD201034</v>
          </cell>
          <cell r="B2236">
            <v>45459</v>
          </cell>
          <cell r="C2236" t="str">
            <v>C84524</v>
          </cell>
          <cell r="D2236" t="str">
            <v>Printer</v>
          </cell>
          <cell r="E2236">
            <v>4</v>
          </cell>
          <cell r="F2236">
            <v>517.98</v>
          </cell>
          <cell r="G2236" t="str">
            <v>766 Main St</v>
          </cell>
          <cell r="H2236" t="str">
            <v>Cash</v>
          </cell>
          <cell r="I2236" t="str">
            <v>Cancelled</v>
          </cell>
          <cell r="J2236" t="str">
            <v>TRK76751888</v>
          </cell>
          <cell r="K2236">
            <v>8</v>
          </cell>
          <cell r="L2236" t="str">
            <v>FREESHIP</v>
          </cell>
          <cell r="M2236" t="str">
            <v>Facebook</v>
          </cell>
          <cell r="N2236">
            <v>2071.92</v>
          </cell>
        </row>
        <row r="2237">
          <cell r="A2237" t="str">
            <v>ORD201035</v>
          </cell>
          <cell r="B2237">
            <v>45242</v>
          </cell>
          <cell r="C2237" t="str">
            <v>C70315</v>
          </cell>
          <cell r="D2237" t="str">
            <v>Laptop</v>
          </cell>
          <cell r="E2237">
            <v>4</v>
          </cell>
          <cell r="F2237">
            <v>506.11</v>
          </cell>
          <cell r="G2237" t="str">
            <v>911 Main St</v>
          </cell>
          <cell r="H2237" t="str">
            <v>Cash</v>
          </cell>
          <cell r="I2237" t="str">
            <v>Cancelled</v>
          </cell>
          <cell r="J2237" t="str">
            <v>TRK97732085</v>
          </cell>
          <cell r="K2237">
            <v>5</v>
          </cell>
          <cell r="L2237" t="str">
            <v>No Coupon</v>
          </cell>
          <cell r="M2237" t="str">
            <v>Referral</v>
          </cell>
          <cell r="N2237">
            <v>2024.44</v>
          </cell>
        </row>
        <row r="2238">
          <cell r="A2238" t="str">
            <v>ORD201036</v>
          </cell>
          <cell r="B2238">
            <v>45443</v>
          </cell>
          <cell r="C2238" t="str">
            <v>C98278</v>
          </cell>
          <cell r="D2238" t="str">
            <v>Phone</v>
          </cell>
          <cell r="E2238">
            <v>3</v>
          </cell>
          <cell r="F2238">
            <v>413.83</v>
          </cell>
          <cell r="G2238" t="str">
            <v>552 Main St</v>
          </cell>
          <cell r="H2238" t="str">
            <v>Gift Card</v>
          </cell>
          <cell r="I2238" t="str">
            <v>Shipped</v>
          </cell>
          <cell r="J2238" t="str">
            <v>TRK49684737</v>
          </cell>
          <cell r="K2238">
            <v>8</v>
          </cell>
          <cell r="L2238" t="str">
            <v>SAVE10</v>
          </cell>
          <cell r="M2238" t="str">
            <v>Facebook</v>
          </cell>
          <cell r="N2238">
            <v>1241.49</v>
          </cell>
        </row>
        <row r="2239">
          <cell r="A2239" t="str">
            <v>ORD201037</v>
          </cell>
          <cell r="B2239">
            <v>45273</v>
          </cell>
          <cell r="C2239" t="str">
            <v>C32347</v>
          </cell>
          <cell r="D2239" t="str">
            <v>Printer</v>
          </cell>
          <cell r="E2239">
            <v>1</v>
          </cell>
          <cell r="F2239">
            <v>249.81</v>
          </cell>
          <cell r="G2239" t="str">
            <v>408 Main St</v>
          </cell>
          <cell r="H2239" t="str">
            <v>Cash</v>
          </cell>
          <cell r="I2239" t="str">
            <v>Pending</v>
          </cell>
          <cell r="J2239" t="str">
            <v>TRK54073964</v>
          </cell>
          <cell r="K2239">
            <v>1</v>
          </cell>
          <cell r="L2239" t="str">
            <v>SAVE10</v>
          </cell>
          <cell r="M2239" t="str">
            <v>Google</v>
          </cell>
          <cell r="N2239">
            <v>249.81</v>
          </cell>
        </row>
        <row r="2240">
          <cell r="A2240" t="str">
            <v>ORD201038</v>
          </cell>
          <cell r="B2240">
            <v>45731</v>
          </cell>
          <cell r="C2240" t="str">
            <v>C77961</v>
          </cell>
          <cell r="D2240" t="str">
            <v>Tablet</v>
          </cell>
          <cell r="E2240">
            <v>3</v>
          </cell>
          <cell r="F2240">
            <v>362.53</v>
          </cell>
          <cell r="G2240" t="str">
            <v>422 Main St</v>
          </cell>
          <cell r="H2240" t="str">
            <v>Debit Card</v>
          </cell>
          <cell r="I2240" t="str">
            <v>Returned</v>
          </cell>
          <cell r="J2240" t="str">
            <v>TRK28969024</v>
          </cell>
          <cell r="K2240">
            <v>5</v>
          </cell>
          <cell r="L2240" t="str">
            <v>No Coupon</v>
          </cell>
          <cell r="M2240" t="str">
            <v>Facebook</v>
          </cell>
          <cell r="N2240">
            <v>1087.5899999999999</v>
          </cell>
        </row>
        <row r="2241">
          <cell r="A2241" t="str">
            <v>ORD201039</v>
          </cell>
          <cell r="B2241">
            <v>45836</v>
          </cell>
          <cell r="C2241" t="str">
            <v>C49137</v>
          </cell>
          <cell r="D2241" t="str">
            <v>Desk</v>
          </cell>
          <cell r="E2241">
            <v>2</v>
          </cell>
          <cell r="F2241">
            <v>299.23</v>
          </cell>
          <cell r="G2241" t="str">
            <v>177 Main St</v>
          </cell>
          <cell r="H2241" t="str">
            <v>Credit Card</v>
          </cell>
          <cell r="I2241" t="str">
            <v>Cancelled</v>
          </cell>
          <cell r="J2241" t="str">
            <v>TRK79362428</v>
          </cell>
          <cell r="K2241">
            <v>2</v>
          </cell>
          <cell r="L2241" t="str">
            <v>WINTER15</v>
          </cell>
          <cell r="M2241" t="str">
            <v>Instagram</v>
          </cell>
          <cell r="N2241">
            <v>598.46</v>
          </cell>
        </row>
        <row r="2242">
          <cell r="A2242" t="str">
            <v>ORD201040</v>
          </cell>
          <cell r="B2242">
            <v>45245</v>
          </cell>
          <cell r="C2242" t="str">
            <v>C13169</v>
          </cell>
          <cell r="D2242" t="str">
            <v>Tablet</v>
          </cell>
          <cell r="E2242">
            <v>1</v>
          </cell>
          <cell r="F2242">
            <v>536.07000000000005</v>
          </cell>
          <cell r="G2242" t="str">
            <v>932 Main St</v>
          </cell>
          <cell r="H2242" t="str">
            <v>Debit Card</v>
          </cell>
          <cell r="I2242" t="str">
            <v>Delivered</v>
          </cell>
          <cell r="J2242" t="str">
            <v>TRK66288666</v>
          </cell>
          <cell r="K2242">
            <v>5</v>
          </cell>
          <cell r="L2242" t="str">
            <v>FREESHIP</v>
          </cell>
          <cell r="M2242" t="str">
            <v>Google</v>
          </cell>
          <cell r="N2242">
            <v>536.07000000000005</v>
          </cell>
        </row>
        <row r="2243">
          <cell r="A2243" t="str">
            <v>ORD201041</v>
          </cell>
          <cell r="B2243">
            <v>44968</v>
          </cell>
          <cell r="C2243" t="str">
            <v>C21167</v>
          </cell>
          <cell r="D2243" t="str">
            <v>Monitor</v>
          </cell>
          <cell r="E2243">
            <v>4</v>
          </cell>
          <cell r="F2243">
            <v>558.9</v>
          </cell>
          <cell r="G2243" t="str">
            <v>948 Main St</v>
          </cell>
          <cell r="H2243" t="str">
            <v>Gift Card</v>
          </cell>
          <cell r="I2243" t="str">
            <v>Shipped</v>
          </cell>
          <cell r="J2243" t="str">
            <v>TRK97737564</v>
          </cell>
          <cell r="K2243">
            <v>9</v>
          </cell>
          <cell r="L2243" t="str">
            <v>WINTER15</v>
          </cell>
          <cell r="M2243" t="str">
            <v>Google</v>
          </cell>
          <cell r="N2243">
            <v>2235.6</v>
          </cell>
        </row>
        <row r="2244">
          <cell r="A2244" t="str">
            <v>ORD201042</v>
          </cell>
          <cell r="B2244">
            <v>45635</v>
          </cell>
          <cell r="C2244" t="str">
            <v>C59724</v>
          </cell>
          <cell r="D2244" t="str">
            <v>Tablet</v>
          </cell>
          <cell r="E2244">
            <v>2</v>
          </cell>
          <cell r="F2244">
            <v>409.75</v>
          </cell>
          <cell r="G2244" t="str">
            <v>414 Main St</v>
          </cell>
          <cell r="H2244" t="str">
            <v>Debit Card</v>
          </cell>
          <cell r="I2244" t="str">
            <v>Shipped</v>
          </cell>
          <cell r="J2244" t="str">
            <v>TRK67878272</v>
          </cell>
          <cell r="K2244">
            <v>2</v>
          </cell>
          <cell r="L2244" t="str">
            <v>WINTER15</v>
          </cell>
          <cell r="M2244" t="str">
            <v>Facebook</v>
          </cell>
          <cell r="N2244">
            <v>819.5</v>
          </cell>
        </row>
        <row r="2245">
          <cell r="A2245" t="str">
            <v>ORD201043</v>
          </cell>
          <cell r="B2245">
            <v>45668</v>
          </cell>
          <cell r="C2245" t="str">
            <v>C43965</v>
          </cell>
          <cell r="D2245" t="str">
            <v>Tablet</v>
          </cell>
          <cell r="E2245">
            <v>2</v>
          </cell>
          <cell r="F2245">
            <v>179.96</v>
          </cell>
          <cell r="G2245" t="str">
            <v>675 Main St</v>
          </cell>
          <cell r="H2245" t="str">
            <v>Gift Card</v>
          </cell>
          <cell r="I2245" t="str">
            <v>Shipped</v>
          </cell>
          <cell r="J2245" t="str">
            <v>TRK94346739</v>
          </cell>
          <cell r="K2245">
            <v>5</v>
          </cell>
          <cell r="L2245" t="str">
            <v>No Coupon</v>
          </cell>
          <cell r="M2245" t="str">
            <v>Instagram</v>
          </cell>
          <cell r="N2245">
            <v>359.92</v>
          </cell>
        </row>
        <row r="2246">
          <cell r="A2246" t="str">
            <v>ORD201044</v>
          </cell>
          <cell r="B2246">
            <v>45830</v>
          </cell>
          <cell r="C2246" t="str">
            <v>C63018</v>
          </cell>
          <cell r="D2246" t="str">
            <v>Printer</v>
          </cell>
          <cell r="E2246">
            <v>1</v>
          </cell>
          <cell r="F2246">
            <v>38.49</v>
          </cell>
          <cell r="G2246" t="str">
            <v>215 Main St</v>
          </cell>
          <cell r="H2246" t="str">
            <v>Credit Card</v>
          </cell>
          <cell r="I2246" t="str">
            <v>Delivered</v>
          </cell>
          <cell r="J2246" t="str">
            <v>TRK52335337</v>
          </cell>
          <cell r="K2246">
            <v>4</v>
          </cell>
          <cell r="L2246" t="str">
            <v>FREESHIP</v>
          </cell>
          <cell r="M2246" t="str">
            <v>Referral</v>
          </cell>
          <cell r="N2246">
            <v>38.49</v>
          </cell>
        </row>
        <row r="2247">
          <cell r="A2247" t="str">
            <v>ORD201045</v>
          </cell>
          <cell r="B2247">
            <v>45555</v>
          </cell>
          <cell r="C2247" t="str">
            <v>C11893</v>
          </cell>
          <cell r="D2247" t="str">
            <v>Laptop</v>
          </cell>
          <cell r="E2247">
            <v>5</v>
          </cell>
          <cell r="F2247">
            <v>316.39999999999998</v>
          </cell>
          <cell r="G2247" t="str">
            <v>671 Main St</v>
          </cell>
          <cell r="H2247" t="str">
            <v>Gift Card</v>
          </cell>
          <cell r="I2247" t="str">
            <v>Returned</v>
          </cell>
          <cell r="J2247" t="str">
            <v>TRK72012758</v>
          </cell>
          <cell r="K2247">
            <v>7</v>
          </cell>
          <cell r="L2247" t="str">
            <v>No Coupon</v>
          </cell>
          <cell r="M2247" t="str">
            <v>Email</v>
          </cell>
          <cell r="N2247">
            <v>1582</v>
          </cell>
        </row>
        <row r="2248">
          <cell r="A2248" t="str">
            <v>ORD201046</v>
          </cell>
          <cell r="B2248">
            <v>45572</v>
          </cell>
          <cell r="C2248" t="str">
            <v>C85421</v>
          </cell>
          <cell r="D2248" t="str">
            <v>Tablet</v>
          </cell>
          <cell r="E2248">
            <v>3</v>
          </cell>
          <cell r="F2248">
            <v>547.15</v>
          </cell>
          <cell r="G2248" t="str">
            <v>466 Main St</v>
          </cell>
          <cell r="H2248" t="str">
            <v>Online</v>
          </cell>
          <cell r="I2248" t="str">
            <v>Shipped</v>
          </cell>
          <cell r="J2248" t="str">
            <v>TRK16524006</v>
          </cell>
          <cell r="K2248">
            <v>4</v>
          </cell>
          <cell r="L2248" t="str">
            <v>WINTER15</v>
          </cell>
          <cell r="M2248" t="str">
            <v>Instagram</v>
          </cell>
          <cell r="N2248">
            <v>1641.45</v>
          </cell>
        </row>
        <row r="2249">
          <cell r="A2249" t="str">
            <v>ORD201047</v>
          </cell>
          <cell r="B2249">
            <v>45100</v>
          </cell>
          <cell r="C2249" t="str">
            <v>C81726</v>
          </cell>
          <cell r="D2249" t="str">
            <v>Chair</v>
          </cell>
          <cell r="E2249">
            <v>4</v>
          </cell>
          <cell r="F2249">
            <v>540.34</v>
          </cell>
          <cell r="G2249" t="str">
            <v>394 Main St</v>
          </cell>
          <cell r="H2249" t="str">
            <v>Gift Card</v>
          </cell>
          <cell r="I2249" t="str">
            <v>Shipped</v>
          </cell>
          <cell r="J2249" t="str">
            <v>TRK69872994</v>
          </cell>
          <cell r="K2249">
            <v>6</v>
          </cell>
          <cell r="L2249" t="str">
            <v>WINTER15</v>
          </cell>
          <cell r="M2249" t="str">
            <v>Referral</v>
          </cell>
          <cell r="N2249">
            <v>2161.36</v>
          </cell>
        </row>
        <row r="2250">
          <cell r="A2250" t="str">
            <v>ORD201048</v>
          </cell>
          <cell r="B2250">
            <v>45544</v>
          </cell>
          <cell r="C2250" t="str">
            <v>C57601</v>
          </cell>
          <cell r="D2250" t="str">
            <v>Monitor</v>
          </cell>
          <cell r="E2250">
            <v>4</v>
          </cell>
          <cell r="F2250">
            <v>73.650000000000006</v>
          </cell>
          <cell r="G2250" t="str">
            <v>889 Main St</v>
          </cell>
          <cell r="H2250" t="str">
            <v>Debit Card</v>
          </cell>
          <cell r="I2250" t="str">
            <v>Shipped</v>
          </cell>
          <cell r="J2250" t="str">
            <v>TRK21153699</v>
          </cell>
          <cell r="K2250">
            <v>9</v>
          </cell>
          <cell r="L2250" t="str">
            <v>No Coupon</v>
          </cell>
          <cell r="M2250" t="str">
            <v>Google</v>
          </cell>
          <cell r="N2250">
            <v>294.60000000000002</v>
          </cell>
        </row>
        <row r="2251">
          <cell r="A2251" t="str">
            <v>ORD201049</v>
          </cell>
          <cell r="B2251">
            <v>45491</v>
          </cell>
          <cell r="C2251" t="str">
            <v>C60575</v>
          </cell>
          <cell r="D2251" t="str">
            <v>Desk</v>
          </cell>
          <cell r="E2251">
            <v>5</v>
          </cell>
          <cell r="F2251">
            <v>391.86</v>
          </cell>
          <cell r="G2251" t="str">
            <v>587 Main St</v>
          </cell>
          <cell r="H2251" t="str">
            <v>Credit Card</v>
          </cell>
          <cell r="I2251" t="str">
            <v>Shipped</v>
          </cell>
          <cell r="J2251" t="str">
            <v>TRK44468232</v>
          </cell>
          <cell r="K2251">
            <v>6</v>
          </cell>
          <cell r="L2251" t="str">
            <v>No Coupon</v>
          </cell>
          <cell r="M2251" t="str">
            <v>Instagram</v>
          </cell>
          <cell r="N2251">
            <v>1959.3</v>
          </cell>
        </row>
        <row r="2252">
          <cell r="A2252" t="str">
            <v>ORD201050</v>
          </cell>
          <cell r="B2252">
            <v>45158</v>
          </cell>
          <cell r="C2252" t="str">
            <v>C70659</v>
          </cell>
          <cell r="D2252" t="str">
            <v>Laptop</v>
          </cell>
          <cell r="E2252">
            <v>5</v>
          </cell>
          <cell r="F2252">
            <v>69.7</v>
          </cell>
          <cell r="G2252" t="str">
            <v>722 Main St</v>
          </cell>
          <cell r="H2252" t="str">
            <v>Online</v>
          </cell>
          <cell r="I2252" t="str">
            <v>Returned</v>
          </cell>
          <cell r="J2252" t="str">
            <v>TRK49663597</v>
          </cell>
          <cell r="K2252">
            <v>9</v>
          </cell>
          <cell r="L2252" t="str">
            <v>No Coupon</v>
          </cell>
          <cell r="M2252" t="str">
            <v>Instagram</v>
          </cell>
          <cell r="N2252">
            <v>348.5</v>
          </cell>
        </row>
        <row r="2253">
          <cell r="A2253" t="str">
            <v>ORD201051</v>
          </cell>
          <cell r="B2253">
            <v>45721</v>
          </cell>
          <cell r="C2253" t="str">
            <v>C35043</v>
          </cell>
          <cell r="D2253" t="str">
            <v>Monitor</v>
          </cell>
          <cell r="E2253">
            <v>5</v>
          </cell>
          <cell r="F2253">
            <v>26.43</v>
          </cell>
          <cell r="G2253" t="str">
            <v>820 Main St</v>
          </cell>
          <cell r="H2253" t="str">
            <v>Gift Card</v>
          </cell>
          <cell r="I2253" t="str">
            <v>Shipped</v>
          </cell>
          <cell r="J2253" t="str">
            <v>TRK65097450</v>
          </cell>
          <cell r="K2253">
            <v>5</v>
          </cell>
          <cell r="L2253" t="str">
            <v>FREESHIP</v>
          </cell>
          <cell r="M2253" t="str">
            <v>Facebook</v>
          </cell>
          <cell r="N2253">
            <v>132.15</v>
          </cell>
        </row>
        <row r="2254">
          <cell r="A2254" t="str">
            <v>ORD201052</v>
          </cell>
          <cell r="B2254">
            <v>45180</v>
          </cell>
          <cell r="C2254" t="str">
            <v>C12301</v>
          </cell>
          <cell r="D2254" t="str">
            <v>Tablet</v>
          </cell>
          <cell r="E2254">
            <v>1</v>
          </cell>
          <cell r="F2254">
            <v>531.74</v>
          </cell>
          <cell r="G2254" t="str">
            <v>493 Main St</v>
          </cell>
          <cell r="H2254" t="str">
            <v>Online</v>
          </cell>
          <cell r="I2254" t="str">
            <v>Shipped</v>
          </cell>
          <cell r="J2254" t="str">
            <v>TRK25145796</v>
          </cell>
          <cell r="K2254">
            <v>1</v>
          </cell>
          <cell r="L2254" t="str">
            <v>WINTER15</v>
          </cell>
          <cell r="M2254" t="str">
            <v>Google</v>
          </cell>
          <cell r="N2254">
            <v>531.74</v>
          </cell>
        </row>
        <row r="2255">
          <cell r="A2255" t="str">
            <v>ORD201053</v>
          </cell>
          <cell r="B2255">
            <v>45550</v>
          </cell>
          <cell r="C2255" t="str">
            <v>C32798</v>
          </cell>
          <cell r="D2255" t="str">
            <v>Phone</v>
          </cell>
          <cell r="E2255">
            <v>2</v>
          </cell>
          <cell r="F2255">
            <v>496.62</v>
          </cell>
          <cell r="G2255" t="str">
            <v>679 Main St</v>
          </cell>
          <cell r="H2255" t="str">
            <v>Online</v>
          </cell>
          <cell r="I2255" t="str">
            <v>Pending</v>
          </cell>
          <cell r="J2255" t="str">
            <v>TRK37375451</v>
          </cell>
          <cell r="K2255">
            <v>2</v>
          </cell>
          <cell r="L2255" t="str">
            <v>SAVE10</v>
          </cell>
          <cell r="M2255" t="str">
            <v>Instagram</v>
          </cell>
          <cell r="N2255">
            <v>993.24</v>
          </cell>
        </row>
        <row r="2256">
          <cell r="A2256" t="str">
            <v>ORD201054</v>
          </cell>
          <cell r="B2256">
            <v>45259</v>
          </cell>
          <cell r="C2256" t="str">
            <v>C42949</v>
          </cell>
          <cell r="D2256" t="str">
            <v>Printer</v>
          </cell>
          <cell r="E2256">
            <v>1</v>
          </cell>
          <cell r="F2256">
            <v>660.66</v>
          </cell>
          <cell r="G2256" t="str">
            <v>447 Main St</v>
          </cell>
          <cell r="H2256" t="str">
            <v>Debit Card</v>
          </cell>
          <cell r="I2256" t="str">
            <v>Delivered</v>
          </cell>
          <cell r="J2256" t="str">
            <v>TRK46415143</v>
          </cell>
          <cell r="K2256">
            <v>3</v>
          </cell>
          <cell r="L2256" t="str">
            <v>WINTER15</v>
          </cell>
          <cell r="M2256" t="str">
            <v>Instagram</v>
          </cell>
          <cell r="N2256">
            <v>660.66</v>
          </cell>
        </row>
        <row r="2257">
          <cell r="A2257" t="str">
            <v>ORD201055</v>
          </cell>
          <cell r="B2257">
            <v>45222</v>
          </cell>
          <cell r="C2257" t="str">
            <v>C10787</v>
          </cell>
          <cell r="D2257" t="str">
            <v>Monitor</v>
          </cell>
          <cell r="E2257">
            <v>4</v>
          </cell>
          <cell r="F2257">
            <v>274.82</v>
          </cell>
          <cell r="G2257" t="str">
            <v>932 Main St</v>
          </cell>
          <cell r="H2257" t="str">
            <v>Debit Card</v>
          </cell>
          <cell r="I2257" t="str">
            <v>Delivered</v>
          </cell>
          <cell r="J2257" t="str">
            <v>TRK91512567</v>
          </cell>
          <cell r="K2257">
            <v>9</v>
          </cell>
          <cell r="L2257" t="str">
            <v>WINTER15</v>
          </cell>
          <cell r="M2257" t="str">
            <v>Email</v>
          </cell>
          <cell r="N2257">
            <v>1099.28</v>
          </cell>
        </row>
        <row r="2258">
          <cell r="A2258" t="str">
            <v>ORD201056</v>
          </cell>
          <cell r="B2258">
            <v>45457</v>
          </cell>
          <cell r="C2258" t="str">
            <v>C26152</v>
          </cell>
          <cell r="D2258" t="str">
            <v>Phone</v>
          </cell>
          <cell r="E2258">
            <v>2</v>
          </cell>
          <cell r="F2258">
            <v>486.35</v>
          </cell>
          <cell r="G2258" t="str">
            <v>790 Main St</v>
          </cell>
          <cell r="H2258" t="str">
            <v>Online</v>
          </cell>
          <cell r="I2258" t="str">
            <v>Pending</v>
          </cell>
          <cell r="J2258" t="str">
            <v>TRK49382455</v>
          </cell>
          <cell r="K2258">
            <v>6</v>
          </cell>
          <cell r="L2258" t="str">
            <v>SAVE10</v>
          </cell>
          <cell r="M2258" t="str">
            <v>Referral</v>
          </cell>
          <cell r="N2258">
            <v>972.7</v>
          </cell>
        </row>
        <row r="2259">
          <cell r="A2259" t="str">
            <v>ORD201057</v>
          </cell>
          <cell r="B2259">
            <v>45559</v>
          </cell>
          <cell r="C2259" t="str">
            <v>C46210</v>
          </cell>
          <cell r="D2259" t="str">
            <v>Laptop</v>
          </cell>
          <cell r="E2259">
            <v>3</v>
          </cell>
          <cell r="F2259">
            <v>428.88</v>
          </cell>
          <cell r="G2259" t="str">
            <v>535 Main St</v>
          </cell>
          <cell r="H2259" t="str">
            <v>Debit Card</v>
          </cell>
          <cell r="I2259" t="str">
            <v>Shipped</v>
          </cell>
          <cell r="J2259" t="str">
            <v>TRK81611937</v>
          </cell>
          <cell r="K2259">
            <v>3</v>
          </cell>
          <cell r="L2259" t="str">
            <v>WINTER15</v>
          </cell>
          <cell r="M2259" t="str">
            <v>Facebook</v>
          </cell>
          <cell r="N2259">
            <v>1286.6400000000001</v>
          </cell>
        </row>
        <row r="2260">
          <cell r="A2260" t="str">
            <v>ORD201058</v>
          </cell>
          <cell r="B2260">
            <v>45177</v>
          </cell>
          <cell r="C2260" t="str">
            <v>C32943</v>
          </cell>
          <cell r="D2260" t="str">
            <v>Desk</v>
          </cell>
          <cell r="E2260">
            <v>2</v>
          </cell>
          <cell r="F2260">
            <v>412.14</v>
          </cell>
          <cell r="G2260" t="str">
            <v>127 Main St</v>
          </cell>
          <cell r="H2260" t="str">
            <v>Credit Card</v>
          </cell>
          <cell r="I2260" t="str">
            <v>Returned</v>
          </cell>
          <cell r="J2260" t="str">
            <v>TRK26949106</v>
          </cell>
          <cell r="K2260">
            <v>2</v>
          </cell>
          <cell r="L2260" t="str">
            <v>FREESHIP</v>
          </cell>
          <cell r="M2260" t="str">
            <v>Instagram</v>
          </cell>
          <cell r="N2260">
            <v>824.28</v>
          </cell>
        </row>
        <row r="2261">
          <cell r="A2261" t="str">
            <v>ORD201059</v>
          </cell>
          <cell r="B2261">
            <v>45557</v>
          </cell>
          <cell r="C2261" t="str">
            <v>C73629</v>
          </cell>
          <cell r="D2261" t="str">
            <v>Desk</v>
          </cell>
          <cell r="E2261">
            <v>1</v>
          </cell>
          <cell r="F2261">
            <v>265.64</v>
          </cell>
          <cell r="G2261" t="str">
            <v>601 Main St</v>
          </cell>
          <cell r="H2261" t="str">
            <v>Credit Card</v>
          </cell>
          <cell r="I2261" t="str">
            <v>Returned</v>
          </cell>
          <cell r="J2261" t="str">
            <v>TRK11492924</v>
          </cell>
          <cell r="K2261">
            <v>3</v>
          </cell>
          <cell r="L2261" t="str">
            <v>WINTER15</v>
          </cell>
          <cell r="M2261" t="str">
            <v>Instagram</v>
          </cell>
          <cell r="N2261">
            <v>265.64</v>
          </cell>
        </row>
        <row r="2262">
          <cell r="A2262" t="str">
            <v>ORD201060</v>
          </cell>
          <cell r="B2262">
            <v>45419</v>
          </cell>
          <cell r="C2262" t="str">
            <v>C38024</v>
          </cell>
          <cell r="D2262" t="str">
            <v>Tablet</v>
          </cell>
          <cell r="E2262">
            <v>2</v>
          </cell>
          <cell r="F2262">
            <v>273.43</v>
          </cell>
          <cell r="G2262" t="str">
            <v>824 Main St</v>
          </cell>
          <cell r="H2262" t="str">
            <v>Cash</v>
          </cell>
          <cell r="I2262" t="str">
            <v>Shipped</v>
          </cell>
          <cell r="J2262" t="str">
            <v>TRK93370912</v>
          </cell>
          <cell r="K2262">
            <v>7</v>
          </cell>
          <cell r="L2262" t="str">
            <v>WINTER15</v>
          </cell>
          <cell r="M2262" t="str">
            <v>Referral</v>
          </cell>
          <cell r="N2262">
            <v>546.86</v>
          </cell>
        </row>
        <row r="2263">
          <cell r="A2263" t="str">
            <v>ORD201061</v>
          </cell>
          <cell r="B2263">
            <v>45686</v>
          </cell>
          <cell r="C2263" t="str">
            <v>C25445</v>
          </cell>
          <cell r="D2263" t="str">
            <v>Laptop</v>
          </cell>
          <cell r="E2263">
            <v>5</v>
          </cell>
          <cell r="F2263">
            <v>131.69999999999999</v>
          </cell>
          <cell r="G2263" t="str">
            <v>830 Main St</v>
          </cell>
          <cell r="H2263" t="str">
            <v>Cash</v>
          </cell>
          <cell r="I2263" t="str">
            <v>Shipped</v>
          </cell>
          <cell r="J2263" t="str">
            <v>TRK12402431</v>
          </cell>
          <cell r="K2263">
            <v>8</v>
          </cell>
          <cell r="L2263" t="str">
            <v>FREESHIP</v>
          </cell>
          <cell r="M2263" t="str">
            <v>Google</v>
          </cell>
          <cell r="N2263">
            <v>658.5</v>
          </cell>
        </row>
        <row r="2264">
          <cell r="A2264" t="str">
            <v>ORD201062</v>
          </cell>
          <cell r="B2264">
            <v>45161</v>
          </cell>
          <cell r="C2264" t="str">
            <v>C13501</v>
          </cell>
          <cell r="D2264" t="str">
            <v>Chair</v>
          </cell>
          <cell r="E2264">
            <v>5</v>
          </cell>
          <cell r="F2264">
            <v>85.52</v>
          </cell>
          <cell r="G2264" t="str">
            <v>301 Main St</v>
          </cell>
          <cell r="H2264" t="str">
            <v>Gift Card</v>
          </cell>
          <cell r="I2264" t="str">
            <v>Cancelled</v>
          </cell>
          <cell r="J2264" t="str">
            <v>TRK65149372</v>
          </cell>
          <cell r="K2264">
            <v>5</v>
          </cell>
          <cell r="L2264" t="str">
            <v>No Coupon</v>
          </cell>
          <cell r="M2264" t="str">
            <v>Facebook</v>
          </cell>
          <cell r="N2264">
            <v>427.6</v>
          </cell>
        </row>
        <row r="2265">
          <cell r="A2265" t="str">
            <v>ORD201063</v>
          </cell>
          <cell r="B2265">
            <v>45462</v>
          </cell>
          <cell r="C2265" t="str">
            <v>C42108</v>
          </cell>
          <cell r="D2265" t="str">
            <v>Desk</v>
          </cell>
          <cell r="E2265">
            <v>2</v>
          </cell>
          <cell r="F2265">
            <v>320.68</v>
          </cell>
          <cell r="G2265" t="str">
            <v>336 Main St</v>
          </cell>
          <cell r="H2265" t="str">
            <v>Credit Card</v>
          </cell>
          <cell r="I2265" t="str">
            <v>Shipped</v>
          </cell>
          <cell r="J2265" t="str">
            <v>TRK58407918</v>
          </cell>
          <cell r="K2265">
            <v>5</v>
          </cell>
          <cell r="L2265" t="str">
            <v>FREESHIP</v>
          </cell>
          <cell r="M2265" t="str">
            <v>Referral</v>
          </cell>
          <cell r="N2265">
            <v>641.36</v>
          </cell>
        </row>
        <row r="2266">
          <cell r="A2266" t="str">
            <v>ORD201064</v>
          </cell>
          <cell r="B2266">
            <v>45700</v>
          </cell>
          <cell r="C2266" t="str">
            <v>C32121</v>
          </cell>
          <cell r="D2266" t="str">
            <v>Laptop</v>
          </cell>
          <cell r="E2266">
            <v>4</v>
          </cell>
          <cell r="F2266">
            <v>198.81</v>
          </cell>
          <cell r="G2266" t="str">
            <v>654 Main St</v>
          </cell>
          <cell r="H2266" t="str">
            <v>Cash</v>
          </cell>
          <cell r="I2266" t="str">
            <v>Returned</v>
          </cell>
          <cell r="J2266" t="str">
            <v>TRK96074264</v>
          </cell>
          <cell r="K2266">
            <v>9</v>
          </cell>
          <cell r="L2266" t="str">
            <v>FREESHIP</v>
          </cell>
          <cell r="M2266" t="str">
            <v>Referral</v>
          </cell>
          <cell r="N2266">
            <v>795.24</v>
          </cell>
        </row>
        <row r="2267">
          <cell r="A2267" t="str">
            <v>ORD201065</v>
          </cell>
          <cell r="B2267">
            <v>45229</v>
          </cell>
          <cell r="C2267" t="str">
            <v>C47778</v>
          </cell>
          <cell r="D2267" t="str">
            <v>Printer</v>
          </cell>
          <cell r="E2267">
            <v>5</v>
          </cell>
          <cell r="F2267">
            <v>666.8</v>
          </cell>
          <cell r="G2267" t="str">
            <v>488 Main St</v>
          </cell>
          <cell r="H2267" t="str">
            <v>Debit Card</v>
          </cell>
          <cell r="I2267" t="str">
            <v>Delivered</v>
          </cell>
          <cell r="J2267" t="str">
            <v>TRK79504329</v>
          </cell>
          <cell r="K2267">
            <v>7</v>
          </cell>
          <cell r="L2267" t="str">
            <v>SAVE10</v>
          </cell>
          <cell r="M2267" t="str">
            <v>Referral</v>
          </cell>
          <cell r="N2267">
            <v>3334</v>
          </cell>
        </row>
        <row r="2268">
          <cell r="A2268" t="str">
            <v>ORD201066</v>
          </cell>
          <cell r="B2268">
            <v>45280</v>
          </cell>
          <cell r="C2268" t="str">
            <v>C10791</v>
          </cell>
          <cell r="D2268" t="str">
            <v>Desk</v>
          </cell>
          <cell r="E2268">
            <v>1</v>
          </cell>
          <cell r="F2268">
            <v>355.09</v>
          </cell>
          <cell r="G2268" t="str">
            <v>674 Main St</v>
          </cell>
          <cell r="H2268" t="str">
            <v>Debit Card</v>
          </cell>
          <cell r="I2268" t="str">
            <v>Cancelled</v>
          </cell>
          <cell r="J2268" t="str">
            <v>TRK20321248</v>
          </cell>
          <cell r="K2268">
            <v>5</v>
          </cell>
          <cell r="L2268" t="str">
            <v>SAVE10</v>
          </cell>
          <cell r="M2268" t="str">
            <v>Instagram</v>
          </cell>
          <cell r="N2268">
            <v>355.09</v>
          </cell>
        </row>
        <row r="2269">
          <cell r="A2269" t="str">
            <v>ORD201067</v>
          </cell>
          <cell r="B2269">
            <v>45083</v>
          </cell>
          <cell r="C2269" t="str">
            <v>C78959</v>
          </cell>
          <cell r="D2269" t="str">
            <v>Phone</v>
          </cell>
          <cell r="E2269">
            <v>2</v>
          </cell>
          <cell r="F2269">
            <v>316.2</v>
          </cell>
          <cell r="G2269" t="str">
            <v>384 Main St</v>
          </cell>
          <cell r="H2269" t="str">
            <v>Online</v>
          </cell>
          <cell r="I2269" t="str">
            <v>Returned</v>
          </cell>
          <cell r="J2269" t="str">
            <v>TRK37426359</v>
          </cell>
          <cell r="K2269">
            <v>2</v>
          </cell>
          <cell r="L2269" t="str">
            <v>No Coupon</v>
          </cell>
          <cell r="M2269" t="str">
            <v>Instagram</v>
          </cell>
          <cell r="N2269">
            <v>632.4</v>
          </cell>
        </row>
        <row r="2270">
          <cell r="A2270" t="str">
            <v>ORD201068</v>
          </cell>
          <cell r="B2270">
            <v>45507</v>
          </cell>
          <cell r="C2270" t="str">
            <v>C29914</v>
          </cell>
          <cell r="D2270" t="str">
            <v>Laptop</v>
          </cell>
          <cell r="E2270">
            <v>1</v>
          </cell>
          <cell r="F2270">
            <v>133.38999999999999</v>
          </cell>
          <cell r="G2270" t="str">
            <v>469 Main St</v>
          </cell>
          <cell r="H2270" t="str">
            <v>Debit Card</v>
          </cell>
          <cell r="I2270" t="str">
            <v>Shipped</v>
          </cell>
          <cell r="J2270" t="str">
            <v>TRK22073506</v>
          </cell>
          <cell r="K2270">
            <v>2</v>
          </cell>
          <cell r="L2270" t="str">
            <v>SAVE10</v>
          </cell>
          <cell r="M2270" t="str">
            <v>Referral</v>
          </cell>
          <cell r="N2270">
            <v>133.38999999999999</v>
          </cell>
        </row>
        <row r="2271">
          <cell r="A2271" t="str">
            <v>ORD201069</v>
          </cell>
          <cell r="B2271">
            <v>44982</v>
          </cell>
          <cell r="C2271" t="str">
            <v>C70506</v>
          </cell>
          <cell r="D2271" t="str">
            <v>Monitor</v>
          </cell>
          <cell r="E2271">
            <v>1</v>
          </cell>
          <cell r="F2271">
            <v>454.23</v>
          </cell>
          <cell r="G2271" t="str">
            <v>255 Main St</v>
          </cell>
          <cell r="H2271" t="str">
            <v>Gift Card</v>
          </cell>
          <cell r="I2271" t="str">
            <v>Returned</v>
          </cell>
          <cell r="J2271" t="str">
            <v>TRK12518384</v>
          </cell>
          <cell r="K2271">
            <v>3</v>
          </cell>
          <cell r="L2271" t="str">
            <v>No Coupon</v>
          </cell>
          <cell r="M2271" t="str">
            <v>Facebook</v>
          </cell>
          <cell r="N2271">
            <v>454.23</v>
          </cell>
        </row>
        <row r="2272">
          <cell r="A2272" t="str">
            <v>ORD201070</v>
          </cell>
          <cell r="B2272">
            <v>45541</v>
          </cell>
          <cell r="C2272" t="str">
            <v>C46873</v>
          </cell>
          <cell r="D2272" t="str">
            <v>Desk</v>
          </cell>
          <cell r="E2272">
            <v>4</v>
          </cell>
          <cell r="F2272">
            <v>491.29</v>
          </cell>
          <cell r="G2272" t="str">
            <v>496 Main St</v>
          </cell>
          <cell r="H2272" t="str">
            <v>Debit Card</v>
          </cell>
          <cell r="I2272" t="str">
            <v>Pending</v>
          </cell>
          <cell r="J2272" t="str">
            <v>TRK10926575</v>
          </cell>
          <cell r="K2272">
            <v>6</v>
          </cell>
          <cell r="L2272" t="str">
            <v>No Coupon</v>
          </cell>
          <cell r="M2272" t="str">
            <v>Email</v>
          </cell>
          <cell r="N2272">
            <v>1965.16</v>
          </cell>
        </row>
        <row r="2273">
          <cell r="A2273" t="str">
            <v>ORD201071</v>
          </cell>
          <cell r="B2273">
            <v>45832</v>
          </cell>
          <cell r="C2273" t="str">
            <v>C94037</v>
          </cell>
          <cell r="D2273" t="str">
            <v>Phone</v>
          </cell>
          <cell r="E2273">
            <v>2</v>
          </cell>
          <cell r="F2273">
            <v>255.14</v>
          </cell>
          <cell r="G2273" t="str">
            <v>216 Main St</v>
          </cell>
          <cell r="H2273" t="str">
            <v>Cash</v>
          </cell>
          <cell r="I2273" t="str">
            <v>Shipped</v>
          </cell>
          <cell r="J2273" t="str">
            <v>TRK47536985</v>
          </cell>
          <cell r="K2273">
            <v>2</v>
          </cell>
          <cell r="L2273" t="str">
            <v>No Coupon</v>
          </cell>
          <cell r="M2273" t="str">
            <v>Google</v>
          </cell>
          <cell r="N2273">
            <v>510.28</v>
          </cell>
        </row>
        <row r="2274">
          <cell r="A2274" t="str">
            <v>ORD201072</v>
          </cell>
          <cell r="B2274">
            <v>44983</v>
          </cell>
          <cell r="C2274" t="str">
            <v>C88644</v>
          </cell>
          <cell r="D2274" t="str">
            <v>Monitor</v>
          </cell>
          <cell r="E2274">
            <v>1</v>
          </cell>
          <cell r="F2274">
            <v>392.61</v>
          </cell>
          <cell r="G2274" t="str">
            <v>977 Main St</v>
          </cell>
          <cell r="H2274" t="str">
            <v>Gift Card</v>
          </cell>
          <cell r="I2274" t="str">
            <v>Cancelled</v>
          </cell>
          <cell r="J2274" t="str">
            <v>TRK14900878</v>
          </cell>
          <cell r="K2274">
            <v>4</v>
          </cell>
          <cell r="L2274" t="str">
            <v>SAVE10</v>
          </cell>
          <cell r="M2274" t="str">
            <v>Referral</v>
          </cell>
          <cell r="N2274">
            <v>392.61</v>
          </cell>
        </row>
        <row r="2275">
          <cell r="A2275" t="str">
            <v>ORD201073</v>
          </cell>
          <cell r="B2275">
            <v>45576</v>
          </cell>
          <cell r="C2275" t="str">
            <v>C69471</v>
          </cell>
          <cell r="D2275" t="str">
            <v>Tablet</v>
          </cell>
          <cell r="E2275">
            <v>4</v>
          </cell>
          <cell r="F2275">
            <v>362.06</v>
          </cell>
          <cell r="G2275" t="str">
            <v>294 Main St</v>
          </cell>
          <cell r="H2275" t="str">
            <v>Debit Card</v>
          </cell>
          <cell r="I2275" t="str">
            <v>Returned</v>
          </cell>
          <cell r="J2275" t="str">
            <v>TRK11107152</v>
          </cell>
          <cell r="K2275">
            <v>4</v>
          </cell>
          <cell r="L2275" t="str">
            <v>No Coupon</v>
          </cell>
          <cell r="M2275" t="str">
            <v>Facebook</v>
          </cell>
          <cell r="N2275">
            <v>1448.24</v>
          </cell>
        </row>
        <row r="2276">
          <cell r="A2276" t="str">
            <v>ORD201074</v>
          </cell>
          <cell r="B2276">
            <v>45422</v>
          </cell>
          <cell r="C2276" t="str">
            <v>C21437</v>
          </cell>
          <cell r="D2276" t="str">
            <v>Phone</v>
          </cell>
          <cell r="E2276">
            <v>1</v>
          </cell>
          <cell r="F2276">
            <v>222.73</v>
          </cell>
          <cell r="G2276" t="str">
            <v>120 Main St</v>
          </cell>
          <cell r="H2276" t="str">
            <v>Online</v>
          </cell>
          <cell r="I2276" t="str">
            <v>Returned</v>
          </cell>
          <cell r="J2276" t="str">
            <v>TRK81624772</v>
          </cell>
          <cell r="K2276">
            <v>4</v>
          </cell>
          <cell r="L2276" t="str">
            <v>No Coupon</v>
          </cell>
          <cell r="M2276" t="str">
            <v>Google</v>
          </cell>
          <cell r="N2276">
            <v>222.73</v>
          </cell>
        </row>
        <row r="2277">
          <cell r="A2277" t="str">
            <v>ORD201075</v>
          </cell>
          <cell r="B2277">
            <v>45535</v>
          </cell>
          <cell r="C2277" t="str">
            <v>C40949</v>
          </cell>
          <cell r="D2277" t="str">
            <v>Monitor</v>
          </cell>
          <cell r="E2277">
            <v>2</v>
          </cell>
          <cell r="F2277">
            <v>552.63</v>
          </cell>
          <cell r="G2277" t="str">
            <v>609 Main St</v>
          </cell>
          <cell r="H2277" t="str">
            <v>Debit Card</v>
          </cell>
          <cell r="I2277" t="str">
            <v>Delivered</v>
          </cell>
          <cell r="J2277" t="str">
            <v>TRK43066749</v>
          </cell>
          <cell r="K2277">
            <v>7</v>
          </cell>
          <cell r="L2277" t="str">
            <v>WINTER15</v>
          </cell>
          <cell r="M2277" t="str">
            <v>Instagram</v>
          </cell>
          <cell r="N2277">
            <v>1105.26</v>
          </cell>
        </row>
        <row r="2278">
          <cell r="A2278" t="str">
            <v>ORD201076</v>
          </cell>
          <cell r="B2278">
            <v>45054</v>
          </cell>
          <cell r="C2278" t="str">
            <v>C99116</v>
          </cell>
          <cell r="D2278" t="str">
            <v>Laptop</v>
          </cell>
          <cell r="E2278">
            <v>4</v>
          </cell>
          <cell r="F2278">
            <v>686.61</v>
          </cell>
          <cell r="G2278" t="str">
            <v>176 Main St</v>
          </cell>
          <cell r="H2278" t="str">
            <v>Cash</v>
          </cell>
          <cell r="I2278" t="str">
            <v>Shipped</v>
          </cell>
          <cell r="J2278" t="str">
            <v>TRK52711973</v>
          </cell>
          <cell r="K2278">
            <v>6</v>
          </cell>
          <cell r="L2278" t="str">
            <v>No Coupon</v>
          </cell>
          <cell r="M2278" t="str">
            <v>Referral</v>
          </cell>
          <cell r="N2278">
            <v>2746.44</v>
          </cell>
        </row>
        <row r="2279">
          <cell r="A2279" t="str">
            <v>ORD201077</v>
          </cell>
          <cell r="B2279">
            <v>45723</v>
          </cell>
          <cell r="C2279" t="str">
            <v>C57861</v>
          </cell>
          <cell r="D2279" t="str">
            <v>Printer</v>
          </cell>
          <cell r="E2279">
            <v>3</v>
          </cell>
          <cell r="F2279">
            <v>305.16000000000003</v>
          </cell>
          <cell r="G2279" t="str">
            <v>115 Main St</v>
          </cell>
          <cell r="H2279" t="str">
            <v>Credit Card</v>
          </cell>
          <cell r="I2279" t="str">
            <v>Cancelled</v>
          </cell>
          <cell r="J2279" t="str">
            <v>TRK47775217</v>
          </cell>
          <cell r="K2279">
            <v>8</v>
          </cell>
          <cell r="L2279" t="str">
            <v>SAVE10</v>
          </cell>
          <cell r="M2279" t="str">
            <v>Referral</v>
          </cell>
          <cell r="N2279">
            <v>915.48</v>
          </cell>
        </row>
        <row r="2280">
          <cell r="A2280" t="str">
            <v>ORD201078</v>
          </cell>
          <cell r="B2280">
            <v>45003</v>
          </cell>
          <cell r="C2280" t="str">
            <v>C62627</v>
          </cell>
          <cell r="D2280" t="str">
            <v>Desk</v>
          </cell>
          <cell r="E2280">
            <v>1</v>
          </cell>
          <cell r="F2280">
            <v>41.09</v>
          </cell>
          <cell r="G2280" t="str">
            <v>881 Main St</v>
          </cell>
          <cell r="H2280" t="str">
            <v>Online</v>
          </cell>
          <cell r="I2280" t="str">
            <v>Returned</v>
          </cell>
          <cell r="J2280" t="str">
            <v>TRK90060232</v>
          </cell>
          <cell r="K2280">
            <v>4</v>
          </cell>
          <cell r="L2280" t="str">
            <v>WINTER15</v>
          </cell>
          <cell r="M2280" t="str">
            <v>Email</v>
          </cell>
          <cell r="N2280">
            <v>41.09</v>
          </cell>
        </row>
        <row r="2281">
          <cell r="A2281" t="str">
            <v>ORD201079</v>
          </cell>
          <cell r="B2281">
            <v>45463</v>
          </cell>
          <cell r="C2281" t="str">
            <v>C89979</v>
          </cell>
          <cell r="D2281" t="str">
            <v>Phone</v>
          </cell>
          <cell r="E2281">
            <v>5</v>
          </cell>
          <cell r="F2281">
            <v>634</v>
          </cell>
          <cell r="G2281" t="str">
            <v>144 Main St</v>
          </cell>
          <cell r="H2281" t="str">
            <v>Gift Card</v>
          </cell>
          <cell r="I2281" t="str">
            <v>Delivered</v>
          </cell>
          <cell r="J2281" t="str">
            <v>TRK99055909</v>
          </cell>
          <cell r="K2281">
            <v>8</v>
          </cell>
          <cell r="L2281" t="str">
            <v>No Coupon</v>
          </cell>
          <cell r="M2281" t="str">
            <v>Email</v>
          </cell>
          <cell r="N2281">
            <v>3170</v>
          </cell>
        </row>
        <row r="2282">
          <cell r="A2282" t="str">
            <v>ORD201080</v>
          </cell>
          <cell r="B2282">
            <v>44946</v>
          </cell>
          <cell r="C2282" t="str">
            <v>C70613</v>
          </cell>
          <cell r="D2282" t="str">
            <v>Laptop</v>
          </cell>
          <cell r="E2282">
            <v>5</v>
          </cell>
          <cell r="F2282">
            <v>464.74</v>
          </cell>
          <cell r="G2282" t="str">
            <v>438 Main St</v>
          </cell>
          <cell r="H2282" t="str">
            <v>Gift Card</v>
          </cell>
          <cell r="I2282" t="str">
            <v>Delivered</v>
          </cell>
          <cell r="J2282" t="str">
            <v>TRK33140293</v>
          </cell>
          <cell r="K2282">
            <v>7</v>
          </cell>
          <cell r="L2282" t="str">
            <v>No Coupon</v>
          </cell>
          <cell r="M2282" t="str">
            <v>Referral</v>
          </cell>
          <cell r="N2282">
            <v>2323.6999999999998</v>
          </cell>
        </row>
        <row r="2283">
          <cell r="A2283" t="str">
            <v>ORD201081</v>
          </cell>
          <cell r="B2283">
            <v>45037</v>
          </cell>
          <cell r="C2283" t="str">
            <v>C55636</v>
          </cell>
          <cell r="D2283" t="str">
            <v>Monitor</v>
          </cell>
          <cell r="E2283">
            <v>4</v>
          </cell>
          <cell r="F2283">
            <v>425.6</v>
          </cell>
          <cell r="G2283" t="str">
            <v>494 Main St</v>
          </cell>
          <cell r="H2283" t="str">
            <v>Credit Card</v>
          </cell>
          <cell r="I2283" t="str">
            <v>Pending</v>
          </cell>
          <cell r="J2283" t="str">
            <v>TRK85897054</v>
          </cell>
          <cell r="K2283">
            <v>5</v>
          </cell>
          <cell r="L2283" t="str">
            <v>FREESHIP</v>
          </cell>
          <cell r="M2283" t="str">
            <v>Google</v>
          </cell>
          <cell r="N2283">
            <v>1702.4</v>
          </cell>
        </row>
        <row r="2284">
          <cell r="A2284" t="str">
            <v>ORD201082</v>
          </cell>
          <cell r="B2284">
            <v>45205</v>
          </cell>
          <cell r="C2284" t="str">
            <v>C96595</v>
          </cell>
          <cell r="D2284" t="str">
            <v>Chair</v>
          </cell>
          <cell r="E2284">
            <v>3</v>
          </cell>
          <cell r="F2284">
            <v>573.22</v>
          </cell>
          <cell r="G2284" t="str">
            <v>177 Main St</v>
          </cell>
          <cell r="H2284" t="str">
            <v>Debit Card</v>
          </cell>
          <cell r="I2284" t="str">
            <v>Pending</v>
          </cell>
          <cell r="J2284" t="str">
            <v>TRK59779174</v>
          </cell>
          <cell r="K2284">
            <v>5</v>
          </cell>
          <cell r="L2284" t="str">
            <v>SAVE10</v>
          </cell>
          <cell r="M2284" t="str">
            <v>Email</v>
          </cell>
          <cell r="N2284">
            <v>1719.66</v>
          </cell>
        </row>
        <row r="2285">
          <cell r="A2285" t="str">
            <v>ORD201083</v>
          </cell>
          <cell r="B2285">
            <v>45482</v>
          </cell>
          <cell r="C2285" t="str">
            <v>C68508</v>
          </cell>
          <cell r="D2285" t="str">
            <v>Chair</v>
          </cell>
          <cell r="E2285">
            <v>1</v>
          </cell>
          <cell r="F2285">
            <v>123.28</v>
          </cell>
          <cell r="G2285" t="str">
            <v>895 Main St</v>
          </cell>
          <cell r="H2285" t="str">
            <v>Credit Card</v>
          </cell>
          <cell r="I2285" t="str">
            <v>Delivered</v>
          </cell>
          <cell r="J2285" t="str">
            <v>TRK98960285</v>
          </cell>
          <cell r="K2285">
            <v>3</v>
          </cell>
          <cell r="L2285" t="str">
            <v>SAVE10</v>
          </cell>
          <cell r="M2285" t="str">
            <v>Email</v>
          </cell>
          <cell r="N2285">
            <v>123.28</v>
          </cell>
        </row>
        <row r="2286">
          <cell r="A2286" t="str">
            <v>ORD201084</v>
          </cell>
          <cell r="B2286">
            <v>44934</v>
          </cell>
          <cell r="C2286" t="str">
            <v>C45175</v>
          </cell>
          <cell r="D2286" t="str">
            <v>Phone</v>
          </cell>
          <cell r="E2286">
            <v>1</v>
          </cell>
          <cell r="F2286">
            <v>70.819999999999993</v>
          </cell>
          <cell r="G2286" t="str">
            <v>128 Main St</v>
          </cell>
          <cell r="H2286" t="str">
            <v>Gift Card</v>
          </cell>
          <cell r="I2286" t="str">
            <v>Pending</v>
          </cell>
          <cell r="J2286" t="str">
            <v>TRK41792296</v>
          </cell>
          <cell r="K2286">
            <v>1</v>
          </cell>
          <cell r="L2286" t="str">
            <v>WINTER15</v>
          </cell>
          <cell r="M2286" t="str">
            <v>Instagram</v>
          </cell>
          <cell r="N2286">
            <v>70.819999999999993</v>
          </cell>
        </row>
        <row r="2287">
          <cell r="A2287" t="str">
            <v>ORD201085</v>
          </cell>
          <cell r="B2287">
            <v>45067</v>
          </cell>
          <cell r="C2287" t="str">
            <v>C28049</v>
          </cell>
          <cell r="D2287" t="str">
            <v>Printer</v>
          </cell>
          <cell r="E2287">
            <v>2</v>
          </cell>
          <cell r="F2287">
            <v>646.69000000000005</v>
          </cell>
          <cell r="G2287" t="str">
            <v>404 Main St</v>
          </cell>
          <cell r="H2287" t="str">
            <v>Debit Card</v>
          </cell>
          <cell r="I2287" t="str">
            <v>Shipped</v>
          </cell>
          <cell r="J2287" t="str">
            <v>TRK91426444</v>
          </cell>
          <cell r="K2287">
            <v>7</v>
          </cell>
          <cell r="L2287" t="str">
            <v>WINTER15</v>
          </cell>
          <cell r="M2287" t="str">
            <v>Instagram</v>
          </cell>
          <cell r="N2287">
            <v>1293.3800000000001</v>
          </cell>
        </row>
        <row r="2288">
          <cell r="A2288" t="str">
            <v>ORD201086</v>
          </cell>
          <cell r="B2288">
            <v>45283</v>
          </cell>
          <cell r="C2288" t="str">
            <v>C46967</v>
          </cell>
          <cell r="D2288" t="str">
            <v>Tablet</v>
          </cell>
          <cell r="E2288">
            <v>2</v>
          </cell>
          <cell r="F2288">
            <v>513.41999999999996</v>
          </cell>
          <cell r="G2288" t="str">
            <v>401 Main St</v>
          </cell>
          <cell r="H2288" t="str">
            <v>Online</v>
          </cell>
          <cell r="I2288" t="str">
            <v>Pending</v>
          </cell>
          <cell r="J2288" t="str">
            <v>TRK91439791</v>
          </cell>
          <cell r="K2288">
            <v>5</v>
          </cell>
          <cell r="L2288" t="str">
            <v>WINTER15</v>
          </cell>
          <cell r="M2288" t="str">
            <v>Instagram</v>
          </cell>
          <cell r="N2288">
            <v>1026.8399999999999</v>
          </cell>
        </row>
        <row r="2289">
          <cell r="A2289" t="str">
            <v>ORD201087</v>
          </cell>
          <cell r="B2289">
            <v>45739</v>
          </cell>
          <cell r="C2289" t="str">
            <v>C84134</v>
          </cell>
          <cell r="D2289" t="str">
            <v>Laptop</v>
          </cell>
          <cell r="E2289">
            <v>4</v>
          </cell>
          <cell r="F2289">
            <v>693.07</v>
          </cell>
          <cell r="G2289" t="str">
            <v>530 Main St</v>
          </cell>
          <cell r="H2289" t="str">
            <v>Online</v>
          </cell>
          <cell r="I2289" t="str">
            <v>Shipped</v>
          </cell>
          <cell r="J2289" t="str">
            <v>TRK48659380</v>
          </cell>
          <cell r="K2289">
            <v>8</v>
          </cell>
          <cell r="L2289" t="str">
            <v>SAVE10</v>
          </cell>
          <cell r="M2289" t="str">
            <v>Instagram</v>
          </cell>
          <cell r="N2289">
            <v>2772.28</v>
          </cell>
        </row>
        <row r="2290">
          <cell r="A2290" t="str">
            <v>ORD201088</v>
          </cell>
          <cell r="B2290">
            <v>45260</v>
          </cell>
          <cell r="C2290" t="str">
            <v>C49831</v>
          </cell>
          <cell r="D2290" t="str">
            <v>Desk</v>
          </cell>
          <cell r="E2290">
            <v>3</v>
          </cell>
          <cell r="F2290">
            <v>491.43</v>
          </cell>
          <cell r="G2290" t="str">
            <v>213 Main St</v>
          </cell>
          <cell r="H2290" t="str">
            <v>Gift Card</v>
          </cell>
          <cell r="I2290" t="str">
            <v>Shipped</v>
          </cell>
          <cell r="J2290" t="str">
            <v>TRK21232601</v>
          </cell>
          <cell r="K2290">
            <v>6</v>
          </cell>
          <cell r="L2290" t="str">
            <v>WINTER15</v>
          </cell>
          <cell r="M2290" t="str">
            <v>Instagram</v>
          </cell>
          <cell r="N2290">
            <v>1474.29</v>
          </cell>
        </row>
        <row r="2291">
          <cell r="A2291" t="str">
            <v>ORD201089</v>
          </cell>
          <cell r="B2291">
            <v>45731</v>
          </cell>
          <cell r="C2291" t="str">
            <v>C13324</v>
          </cell>
          <cell r="D2291" t="str">
            <v>Tablet</v>
          </cell>
          <cell r="E2291">
            <v>2</v>
          </cell>
          <cell r="F2291">
            <v>599.74</v>
          </cell>
          <cell r="G2291" t="str">
            <v>440 Main St</v>
          </cell>
          <cell r="H2291" t="str">
            <v>Gift Card</v>
          </cell>
          <cell r="I2291" t="str">
            <v>Shipped</v>
          </cell>
          <cell r="J2291" t="str">
            <v>TRK66967997</v>
          </cell>
          <cell r="K2291">
            <v>2</v>
          </cell>
          <cell r="L2291" t="str">
            <v>No Coupon</v>
          </cell>
          <cell r="M2291" t="str">
            <v>Instagram</v>
          </cell>
          <cell r="N2291">
            <v>1199.48</v>
          </cell>
        </row>
        <row r="2292">
          <cell r="A2292" t="str">
            <v>ORD201090</v>
          </cell>
          <cell r="B2292">
            <v>44982</v>
          </cell>
          <cell r="C2292" t="str">
            <v>C61225</v>
          </cell>
          <cell r="D2292" t="str">
            <v>Monitor</v>
          </cell>
          <cell r="E2292">
            <v>2</v>
          </cell>
          <cell r="F2292">
            <v>650.25</v>
          </cell>
          <cell r="G2292" t="str">
            <v>996 Main St</v>
          </cell>
          <cell r="H2292" t="str">
            <v>Gift Card</v>
          </cell>
          <cell r="I2292" t="str">
            <v>Returned</v>
          </cell>
          <cell r="J2292" t="str">
            <v>TRK37022954</v>
          </cell>
          <cell r="K2292">
            <v>6</v>
          </cell>
          <cell r="L2292" t="str">
            <v>No Coupon</v>
          </cell>
          <cell r="M2292" t="str">
            <v>Instagram</v>
          </cell>
          <cell r="N2292">
            <v>1300.5</v>
          </cell>
        </row>
        <row r="2293">
          <cell r="A2293" t="str">
            <v>ORD201091</v>
          </cell>
          <cell r="B2293">
            <v>45573</v>
          </cell>
          <cell r="C2293" t="str">
            <v>C16400</v>
          </cell>
          <cell r="D2293" t="str">
            <v>Laptop</v>
          </cell>
          <cell r="E2293">
            <v>3</v>
          </cell>
          <cell r="F2293">
            <v>209.48</v>
          </cell>
          <cell r="G2293" t="str">
            <v>123 Main St</v>
          </cell>
          <cell r="H2293" t="str">
            <v>Debit Card</v>
          </cell>
          <cell r="I2293" t="str">
            <v>Pending</v>
          </cell>
          <cell r="J2293" t="str">
            <v>TRK57771859</v>
          </cell>
          <cell r="K2293">
            <v>4</v>
          </cell>
          <cell r="L2293" t="str">
            <v>No Coupon</v>
          </cell>
          <cell r="M2293" t="str">
            <v>Email</v>
          </cell>
          <cell r="N2293">
            <v>628.44000000000005</v>
          </cell>
        </row>
        <row r="2294">
          <cell r="A2294" t="str">
            <v>ORD201092</v>
          </cell>
          <cell r="B2294">
            <v>45159</v>
          </cell>
          <cell r="C2294" t="str">
            <v>C38642</v>
          </cell>
          <cell r="D2294" t="str">
            <v>Laptop</v>
          </cell>
          <cell r="E2294">
            <v>5</v>
          </cell>
          <cell r="F2294">
            <v>209.2</v>
          </cell>
          <cell r="G2294" t="str">
            <v>930 Main St</v>
          </cell>
          <cell r="H2294" t="str">
            <v>Debit Card</v>
          </cell>
          <cell r="I2294" t="str">
            <v>Delivered</v>
          </cell>
          <cell r="J2294" t="str">
            <v>TRK47744396</v>
          </cell>
          <cell r="K2294">
            <v>6</v>
          </cell>
          <cell r="L2294" t="str">
            <v>WINTER15</v>
          </cell>
          <cell r="M2294" t="str">
            <v>Email</v>
          </cell>
          <cell r="N2294">
            <v>1046</v>
          </cell>
        </row>
        <row r="2295">
          <cell r="A2295" t="str">
            <v>ORD201093</v>
          </cell>
          <cell r="B2295">
            <v>45086</v>
          </cell>
          <cell r="C2295" t="str">
            <v>C86773</v>
          </cell>
          <cell r="D2295" t="str">
            <v>Phone</v>
          </cell>
          <cell r="E2295">
            <v>4</v>
          </cell>
          <cell r="F2295">
            <v>197.36</v>
          </cell>
          <cell r="G2295" t="str">
            <v>557 Main St</v>
          </cell>
          <cell r="H2295" t="str">
            <v>Gift Card</v>
          </cell>
          <cell r="I2295" t="str">
            <v>Returned</v>
          </cell>
          <cell r="J2295" t="str">
            <v>TRK22612240</v>
          </cell>
          <cell r="K2295">
            <v>9</v>
          </cell>
          <cell r="L2295" t="str">
            <v>FREESHIP</v>
          </cell>
          <cell r="M2295" t="str">
            <v>Instagram</v>
          </cell>
          <cell r="N2295">
            <v>789.44</v>
          </cell>
        </row>
        <row r="2296">
          <cell r="A2296" t="str">
            <v>ORD201094</v>
          </cell>
          <cell r="B2296">
            <v>45105</v>
          </cell>
          <cell r="C2296" t="str">
            <v>C66093</v>
          </cell>
          <cell r="D2296" t="str">
            <v>Printer</v>
          </cell>
          <cell r="E2296">
            <v>4</v>
          </cell>
          <cell r="F2296">
            <v>648.91</v>
          </cell>
          <cell r="G2296" t="str">
            <v>615 Main St</v>
          </cell>
          <cell r="H2296" t="str">
            <v>Credit Card</v>
          </cell>
          <cell r="I2296" t="str">
            <v>Shipped</v>
          </cell>
          <cell r="J2296" t="str">
            <v>TRK54950785</v>
          </cell>
          <cell r="K2296">
            <v>6</v>
          </cell>
          <cell r="L2296" t="str">
            <v>SAVE10</v>
          </cell>
          <cell r="M2296" t="str">
            <v>Instagram</v>
          </cell>
          <cell r="N2296">
            <v>2595.64</v>
          </cell>
        </row>
        <row r="2297">
          <cell r="A2297" t="str">
            <v>ORD201095</v>
          </cell>
          <cell r="B2297">
            <v>45405</v>
          </cell>
          <cell r="C2297" t="str">
            <v>C33051</v>
          </cell>
          <cell r="D2297" t="str">
            <v>Phone</v>
          </cell>
          <cell r="E2297">
            <v>2</v>
          </cell>
          <cell r="F2297">
            <v>441.54</v>
          </cell>
          <cell r="G2297" t="str">
            <v>397 Main St</v>
          </cell>
          <cell r="H2297" t="str">
            <v>Online</v>
          </cell>
          <cell r="I2297" t="str">
            <v>Delivered</v>
          </cell>
          <cell r="J2297" t="str">
            <v>TRK92929755</v>
          </cell>
          <cell r="K2297">
            <v>2</v>
          </cell>
          <cell r="L2297" t="str">
            <v>SAVE10</v>
          </cell>
          <cell r="M2297" t="str">
            <v>Email</v>
          </cell>
          <cell r="N2297">
            <v>883.08</v>
          </cell>
        </row>
        <row r="2298">
          <cell r="A2298" t="str">
            <v>ORD201096</v>
          </cell>
          <cell r="B2298">
            <v>45780</v>
          </cell>
          <cell r="C2298" t="str">
            <v>C18169</v>
          </cell>
          <cell r="D2298" t="str">
            <v>Tablet</v>
          </cell>
          <cell r="E2298">
            <v>2</v>
          </cell>
          <cell r="F2298">
            <v>464.92</v>
          </cell>
          <cell r="G2298" t="str">
            <v>782 Main St</v>
          </cell>
          <cell r="H2298" t="str">
            <v>Debit Card</v>
          </cell>
          <cell r="I2298" t="str">
            <v>Returned</v>
          </cell>
          <cell r="J2298" t="str">
            <v>TRK49482923</v>
          </cell>
          <cell r="K2298">
            <v>2</v>
          </cell>
          <cell r="L2298" t="str">
            <v>No Coupon</v>
          </cell>
          <cell r="M2298" t="str">
            <v>Facebook</v>
          </cell>
          <cell r="N2298">
            <v>929.84</v>
          </cell>
        </row>
        <row r="2299">
          <cell r="A2299" t="str">
            <v>ORD201097</v>
          </cell>
          <cell r="B2299">
            <v>45652</v>
          </cell>
          <cell r="C2299" t="str">
            <v>C81370</v>
          </cell>
          <cell r="D2299" t="str">
            <v>Monitor</v>
          </cell>
          <cell r="E2299">
            <v>5</v>
          </cell>
          <cell r="F2299">
            <v>506.45</v>
          </cell>
          <cell r="G2299" t="str">
            <v>344 Main St</v>
          </cell>
          <cell r="H2299" t="str">
            <v>Gift Card</v>
          </cell>
          <cell r="I2299" t="str">
            <v>Shipped</v>
          </cell>
          <cell r="J2299" t="str">
            <v>TRK99682998</v>
          </cell>
          <cell r="K2299">
            <v>7</v>
          </cell>
          <cell r="L2299" t="str">
            <v>WINTER15</v>
          </cell>
          <cell r="M2299" t="str">
            <v>Google</v>
          </cell>
          <cell r="N2299">
            <v>2532.25</v>
          </cell>
        </row>
        <row r="2300">
          <cell r="A2300" t="str">
            <v>ORD201098</v>
          </cell>
          <cell r="B2300">
            <v>45094</v>
          </cell>
          <cell r="C2300" t="str">
            <v>C91103</v>
          </cell>
          <cell r="D2300" t="str">
            <v>Monitor</v>
          </cell>
          <cell r="E2300">
            <v>4</v>
          </cell>
          <cell r="F2300">
            <v>255.86</v>
          </cell>
          <cell r="G2300" t="str">
            <v>155 Main St</v>
          </cell>
          <cell r="H2300" t="str">
            <v>Credit Card</v>
          </cell>
          <cell r="I2300" t="str">
            <v>Delivered</v>
          </cell>
          <cell r="J2300" t="str">
            <v>TRK91653000</v>
          </cell>
          <cell r="K2300">
            <v>7</v>
          </cell>
          <cell r="L2300" t="str">
            <v>No Coupon</v>
          </cell>
          <cell r="M2300" t="str">
            <v>Email</v>
          </cell>
          <cell r="N2300">
            <v>1023.44</v>
          </cell>
        </row>
        <row r="2301">
          <cell r="A2301" t="str">
            <v>ORD201099</v>
          </cell>
          <cell r="B2301">
            <v>45554</v>
          </cell>
          <cell r="C2301" t="str">
            <v>C21953</v>
          </cell>
          <cell r="D2301" t="str">
            <v>Laptop</v>
          </cell>
          <cell r="E2301">
            <v>2</v>
          </cell>
          <cell r="F2301">
            <v>125.23</v>
          </cell>
          <cell r="G2301" t="str">
            <v>272 Main St</v>
          </cell>
          <cell r="H2301" t="str">
            <v>Cash</v>
          </cell>
          <cell r="I2301" t="str">
            <v>Cancelled</v>
          </cell>
          <cell r="J2301" t="str">
            <v>TRK60774796</v>
          </cell>
          <cell r="K2301">
            <v>3</v>
          </cell>
          <cell r="L2301" t="str">
            <v>FREESHIP</v>
          </cell>
          <cell r="M2301" t="str">
            <v>Email</v>
          </cell>
          <cell r="N2301">
            <v>250.46</v>
          </cell>
        </row>
        <row r="2302">
          <cell r="A2302" t="str">
            <v>ORD201100</v>
          </cell>
          <cell r="B2302">
            <v>45155</v>
          </cell>
          <cell r="C2302" t="str">
            <v>C15146</v>
          </cell>
          <cell r="D2302" t="str">
            <v>Laptop</v>
          </cell>
          <cell r="E2302">
            <v>5</v>
          </cell>
          <cell r="F2302">
            <v>38.11</v>
          </cell>
          <cell r="G2302" t="str">
            <v>428 Main St</v>
          </cell>
          <cell r="H2302" t="str">
            <v>Debit Card</v>
          </cell>
          <cell r="I2302" t="str">
            <v>Cancelled</v>
          </cell>
          <cell r="J2302" t="str">
            <v>TRK79790530</v>
          </cell>
          <cell r="K2302">
            <v>6</v>
          </cell>
          <cell r="L2302" t="str">
            <v>WINTER15</v>
          </cell>
          <cell r="M2302" t="str">
            <v>Instagram</v>
          </cell>
          <cell r="N2302">
            <v>190.55</v>
          </cell>
        </row>
        <row r="2303">
          <cell r="A2303" t="str">
            <v>ORD201101</v>
          </cell>
          <cell r="B2303">
            <v>45816</v>
          </cell>
          <cell r="C2303" t="str">
            <v>C43546</v>
          </cell>
          <cell r="D2303" t="str">
            <v>Monitor</v>
          </cell>
          <cell r="E2303">
            <v>3</v>
          </cell>
          <cell r="F2303">
            <v>161.97</v>
          </cell>
          <cell r="G2303" t="str">
            <v>904 Main St</v>
          </cell>
          <cell r="H2303" t="str">
            <v>Cash</v>
          </cell>
          <cell r="I2303" t="str">
            <v>Pending</v>
          </cell>
          <cell r="J2303" t="str">
            <v>TRK85871121</v>
          </cell>
          <cell r="K2303">
            <v>4</v>
          </cell>
          <cell r="L2303" t="str">
            <v>SAVE10</v>
          </cell>
          <cell r="M2303" t="str">
            <v>Email</v>
          </cell>
          <cell r="N2303">
            <v>485.91</v>
          </cell>
        </row>
        <row r="2304">
          <cell r="A2304" t="str">
            <v>ORD201102</v>
          </cell>
          <cell r="B2304">
            <v>45446</v>
          </cell>
          <cell r="C2304" t="str">
            <v>C98474</v>
          </cell>
          <cell r="D2304" t="str">
            <v>Chair</v>
          </cell>
          <cell r="E2304">
            <v>4</v>
          </cell>
          <cell r="F2304">
            <v>347.17</v>
          </cell>
          <cell r="G2304" t="str">
            <v>997 Main St</v>
          </cell>
          <cell r="H2304" t="str">
            <v>Debit Card</v>
          </cell>
          <cell r="I2304" t="str">
            <v>Shipped</v>
          </cell>
          <cell r="J2304" t="str">
            <v>TRK86192984</v>
          </cell>
          <cell r="K2304">
            <v>8</v>
          </cell>
          <cell r="L2304" t="str">
            <v>No Coupon</v>
          </cell>
          <cell r="M2304" t="str">
            <v>Instagram</v>
          </cell>
          <cell r="N2304">
            <v>1388.68</v>
          </cell>
        </row>
        <row r="2305">
          <cell r="A2305" t="str">
            <v>ORD201103</v>
          </cell>
          <cell r="B2305">
            <v>45040</v>
          </cell>
          <cell r="C2305" t="str">
            <v>C90292</v>
          </cell>
          <cell r="D2305" t="str">
            <v>Laptop</v>
          </cell>
          <cell r="E2305">
            <v>4</v>
          </cell>
          <cell r="F2305">
            <v>276.32</v>
          </cell>
          <cell r="G2305" t="str">
            <v>129 Main St</v>
          </cell>
          <cell r="H2305" t="str">
            <v>Online</v>
          </cell>
          <cell r="I2305" t="str">
            <v>Delivered</v>
          </cell>
          <cell r="J2305" t="str">
            <v>TRK26270357</v>
          </cell>
          <cell r="K2305">
            <v>5</v>
          </cell>
          <cell r="L2305" t="str">
            <v>No Coupon</v>
          </cell>
          <cell r="M2305" t="str">
            <v>Google</v>
          </cell>
          <cell r="N2305">
            <v>1105.28</v>
          </cell>
        </row>
        <row r="2306">
          <cell r="A2306" t="str">
            <v>ORD201104</v>
          </cell>
          <cell r="B2306">
            <v>45498</v>
          </cell>
          <cell r="C2306" t="str">
            <v>C17075</v>
          </cell>
          <cell r="D2306" t="str">
            <v>Tablet</v>
          </cell>
          <cell r="E2306">
            <v>4</v>
          </cell>
          <cell r="F2306">
            <v>314.76</v>
          </cell>
          <cell r="G2306" t="str">
            <v>850 Main St</v>
          </cell>
          <cell r="H2306" t="str">
            <v>Online</v>
          </cell>
          <cell r="I2306" t="str">
            <v>Shipped</v>
          </cell>
          <cell r="J2306" t="str">
            <v>TRK63547510</v>
          </cell>
          <cell r="K2306">
            <v>8</v>
          </cell>
          <cell r="L2306" t="str">
            <v>No Coupon</v>
          </cell>
          <cell r="M2306" t="str">
            <v>Instagram</v>
          </cell>
          <cell r="N2306">
            <v>1259.04</v>
          </cell>
        </row>
        <row r="2307">
          <cell r="A2307" t="str">
            <v>ORD201105</v>
          </cell>
          <cell r="B2307">
            <v>45299</v>
          </cell>
          <cell r="C2307" t="str">
            <v>C12487</v>
          </cell>
          <cell r="D2307" t="str">
            <v>Tablet</v>
          </cell>
          <cell r="E2307">
            <v>3</v>
          </cell>
          <cell r="F2307">
            <v>475.69</v>
          </cell>
          <cell r="G2307" t="str">
            <v>884 Main St</v>
          </cell>
          <cell r="H2307" t="str">
            <v>Gift Card</v>
          </cell>
          <cell r="I2307" t="str">
            <v>Cancelled</v>
          </cell>
          <cell r="J2307" t="str">
            <v>TRK23324770</v>
          </cell>
          <cell r="K2307">
            <v>3</v>
          </cell>
          <cell r="L2307" t="str">
            <v>FREESHIP</v>
          </cell>
          <cell r="M2307" t="str">
            <v>Google</v>
          </cell>
          <cell r="N2307">
            <v>1427.07</v>
          </cell>
        </row>
        <row r="2308">
          <cell r="A2308" t="str">
            <v>ORD201106</v>
          </cell>
          <cell r="B2308">
            <v>44997</v>
          </cell>
          <cell r="C2308" t="str">
            <v>C34555</v>
          </cell>
          <cell r="D2308" t="str">
            <v>Chair</v>
          </cell>
          <cell r="E2308">
            <v>1</v>
          </cell>
          <cell r="F2308">
            <v>372.8</v>
          </cell>
          <cell r="G2308" t="str">
            <v>903 Main St</v>
          </cell>
          <cell r="H2308" t="str">
            <v>Cash</v>
          </cell>
          <cell r="I2308" t="str">
            <v>Cancelled</v>
          </cell>
          <cell r="J2308" t="str">
            <v>TRK72859458</v>
          </cell>
          <cell r="K2308">
            <v>6</v>
          </cell>
          <cell r="L2308" t="str">
            <v>SAVE10</v>
          </cell>
          <cell r="M2308" t="str">
            <v>Facebook</v>
          </cell>
          <cell r="N2308">
            <v>372.8</v>
          </cell>
        </row>
        <row r="2309">
          <cell r="A2309" t="str">
            <v>ORD201107</v>
          </cell>
          <cell r="B2309">
            <v>45838</v>
          </cell>
          <cell r="C2309" t="str">
            <v>C25110</v>
          </cell>
          <cell r="D2309" t="str">
            <v>Tablet</v>
          </cell>
          <cell r="E2309">
            <v>2</v>
          </cell>
          <cell r="F2309">
            <v>63.21</v>
          </cell>
          <cell r="G2309" t="str">
            <v>282 Main St</v>
          </cell>
          <cell r="H2309" t="str">
            <v>Online</v>
          </cell>
          <cell r="I2309" t="str">
            <v>Cancelled</v>
          </cell>
          <cell r="J2309" t="str">
            <v>TRK80963328</v>
          </cell>
          <cell r="K2309">
            <v>4</v>
          </cell>
          <cell r="L2309" t="str">
            <v>SAVE10</v>
          </cell>
          <cell r="M2309" t="str">
            <v>Google</v>
          </cell>
          <cell r="N2309">
            <v>126.42</v>
          </cell>
        </row>
        <row r="2310">
          <cell r="A2310" t="str">
            <v>ORD201108</v>
          </cell>
          <cell r="B2310">
            <v>45005</v>
          </cell>
          <cell r="C2310" t="str">
            <v>C35136</v>
          </cell>
          <cell r="D2310" t="str">
            <v>Laptop</v>
          </cell>
          <cell r="E2310">
            <v>1</v>
          </cell>
          <cell r="F2310">
            <v>634.94000000000005</v>
          </cell>
          <cell r="G2310" t="str">
            <v>462 Main St</v>
          </cell>
          <cell r="H2310" t="str">
            <v>Online</v>
          </cell>
          <cell r="I2310" t="str">
            <v>Cancelled</v>
          </cell>
          <cell r="J2310" t="str">
            <v>TRK49753703</v>
          </cell>
          <cell r="K2310">
            <v>5</v>
          </cell>
          <cell r="L2310" t="str">
            <v>WINTER15</v>
          </cell>
          <cell r="M2310" t="str">
            <v>Instagram</v>
          </cell>
          <cell r="N2310">
            <v>634.94000000000005</v>
          </cell>
        </row>
        <row r="2311">
          <cell r="A2311" t="str">
            <v>ORD201109</v>
          </cell>
          <cell r="B2311">
            <v>45390</v>
          </cell>
          <cell r="C2311" t="str">
            <v>C62277</v>
          </cell>
          <cell r="D2311" t="str">
            <v>Printer</v>
          </cell>
          <cell r="E2311">
            <v>4</v>
          </cell>
          <cell r="F2311">
            <v>77.47</v>
          </cell>
          <cell r="G2311" t="str">
            <v>474 Main St</v>
          </cell>
          <cell r="H2311" t="str">
            <v>Gift Card</v>
          </cell>
          <cell r="I2311" t="str">
            <v>Returned</v>
          </cell>
          <cell r="J2311" t="str">
            <v>TRK32026174</v>
          </cell>
          <cell r="K2311">
            <v>7</v>
          </cell>
          <cell r="L2311" t="str">
            <v>SAVE10</v>
          </cell>
          <cell r="M2311" t="str">
            <v>Instagram</v>
          </cell>
          <cell r="N2311">
            <v>309.88</v>
          </cell>
        </row>
        <row r="2312">
          <cell r="A2312" t="str">
            <v>ORD201110</v>
          </cell>
          <cell r="B2312">
            <v>45347</v>
          </cell>
          <cell r="C2312" t="str">
            <v>C12472</v>
          </cell>
          <cell r="D2312" t="str">
            <v>Chair</v>
          </cell>
          <cell r="E2312">
            <v>3</v>
          </cell>
          <cell r="F2312">
            <v>84.31</v>
          </cell>
          <cell r="G2312" t="str">
            <v>912 Main St</v>
          </cell>
          <cell r="H2312" t="str">
            <v>Credit Card</v>
          </cell>
          <cell r="I2312" t="str">
            <v>Shipped</v>
          </cell>
          <cell r="J2312" t="str">
            <v>TRK36103184</v>
          </cell>
          <cell r="K2312">
            <v>3</v>
          </cell>
          <cell r="L2312" t="str">
            <v>SAVE10</v>
          </cell>
          <cell r="M2312" t="str">
            <v>Email</v>
          </cell>
          <cell r="N2312">
            <v>252.93</v>
          </cell>
        </row>
        <row r="2313">
          <cell r="A2313" t="str">
            <v>ORD201111</v>
          </cell>
          <cell r="B2313">
            <v>45052</v>
          </cell>
          <cell r="C2313" t="str">
            <v>C24047</v>
          </cell>
          <cell r="D2313" t="str">
            <v>Monitor</v>
          </cell>
          <cell r="E2313">
            <v>4</v>
          </cell>
          <cell r="F2313">
            <v>234.45</v>
          </cell>
          <cell r="G2313" t="str">
            <v>362 Main St</v>
          </cell>
          <cell r="H2313" t="str">
            <v>Online</v>
          </cell>
          <cell r="I2313" t="str">
            <v>Cancelled</v>
          </cell>
          <cell r="J2313" t="str">
            <v>TRK91338580</v>
          </cell>
          <cell r="K2313">
            <v>9</v>
          </cell>
          <cell r="L2313" t="str">
            <v>FREESHIP</v>
          </cell>
          <cell r="M2313" t="str">
            <v>Instagram</v>
          </cell>
          <cell r="N2313">
            <v>937.8</v>
          </cell>
        </row>
        <row r="2314">
          <cell r="A2314" t="str">
            <v>ORD201112</v>
          </cell>
          <cell r="B2314">
            <v>45212</v>
          </cell>
          <cell r="C2314" t="str">
            <v>C76929</v>
          </cell>
          <cell r="D2314" t="str">
            <v>Desk</v>
          </cell>
          <cell r="E2314">
            <v>1</v>
          </cell>
          <cell r="F2314">
            <v>356.81</v>
          </cell>
          <cell r="G2314" t="str">
            <v>563 Main St</v>
          </cell>
          <cell r="H2314" t="str">
            <v>Online</v>
          </cell>
          <cell r="I2314" t="str">
            <v>Delivered</v>
          </cell>
          <cell r="J2314" t="str">
            <v>TRK80694400</v>
          </cell>
          <cell r="K2314">
            <v>1</v>
          </cell>
          <cell r="L2314" t="str">
            <v>WINTER15</v>
          </cell>
          <cell r="M2314" t="str">
            <v>Instagram</v>
          </cell>
          <cell r="N2314">
            <v>356.81</v>
          </cell>
        </row>
        <row r="2315">
          <cell r="A2315" t="str">
            <v>ORD201113</v>
          </cell>
          <cell r="B2315">
            <v>45004</v>
          </cell>
          <cell r="C2315" t="str">
            <v>C52914</v>
          </cell>
          <cell r="D2315" t="str">
            <v>Desk</v>
          </cell>
          <cell r="E2315">
            <v>4</v>
          </cell>
          <cell r="F2315">
            <v>209.99</v>
          </cell>
          <cell r="G2315" t="str">
            <v>168 Main St</v>
          </cell>
          <cell r="H2315" t="str">
            <v>Cash</v>
          </cell>
          <cell r="I2315" t="str">
            <v>Delivered</v>
          </cell>
          <cell r="J2315" t="str">
            <v>TRK80819053</v>
          </cell>
          <cell r="K2315">
            <v>8</v>
          </cell>
          <cell r="L2315" t="str">
            <v>No Coupon</v>
          </cell>
          <cell r="M2315" t="str">
            <v>Google</v>
          </cell>
          <cell r="N2315">
            <v>839.96</v>
          </cell>
        </row>
        <row r="2316">
          <cell r="A2316" t="str">
            <v>ORD201114</v>
          </cell>
          <cell r="B2316">
            <v>45001</v>
          </cell>
          <cell r="C2316" t="str">
            <v>C55164</v>
          </cell>
          <cell r="D2316" t="str">
            <v>Tablet</v>
          </cell>
          <cell r="E2316">
            <v>3</v>
          </cell>
          <cell r="F2316">
            <v>659.88</v>
          </cell>
          <cell r="G2316" t="str">
            <v>609 Main St</v>
          </cell>
          <cell r="H2316" t="str">
            <v>Gift Card</v>
          </cell>
          <cell r="I2316" t="str">
            <v>Cancelled</v>
          </cell>
          <cell r="J2316" t="str">
            <v>TRK79610967</v>
          </cell>
          <cell r="K2316">
            <v>3</v>
          </cell>
          <cell r="L2316" t="str">
            <v>No Coupon</v>
          </cell>
          <cell r="M2316" t="str">
            <v>Google</v>
          </cell>
          <cell r="N2316">
            <v>1979.64</v>
          </cell>
        </row>
        <row r="2317">
          <cell r="A2317" t="str">
            <v>ORD201115</v>
          </cell>
          <cell r="B2317">
            <v>45828</v>
          </cell>
          <cell r="C2317" t="str">
            <v>C70426</v>
          </cell>
          <cell r="D2317" t="str">
            <v>Laptop</v>
          </cell>
          <cell r="E2317">
            <v>2</v>
          </cell>
          <cell r="F2317">
            <v>336.32</v>
          </cell>
          <cell r="G2317" t="str">
            <v>562 Main St</v>
          </cell>
          <cell r="H2317" t="str">
            <v>Online</v>
          </cell>
          <cell r="I2317" t="str">
            <v>Returned</v>
          </cell>
          <cell r="J2317" t="str">
            <v>TRK89687816</v>
          </cell>
          <cell r="K2317">
            <v>3</v>
          </cell>
          <cell r="L2317" t="str">
            <v>No Coupon</v>
          </cell>
          <cell r="M2317" t="str">
            <v>Google</v>
          </cell>
          <cell r="N2317">
            <v>672.64</v>
          </cell>
        </row>
        <row r="2318">
          <cell r="A2318" t="str">
            <v>ORD201116</v>
          </cell>
          <cell r="B2318">
            <v>45213</v>
          </cell>
          <cell r="C2318" t="str">
            <v>C69149</v>
          </cell>
          <cell r="D2318" t="str">
            <v>Printer</v>
          </cell>
          <cell r="E2318">
            <v>2</v>
          </cell>
          <cell r="F2318">
            <v>531.49</v>
          </cell>
          <cell r="G2318" t="str">
            <v>562 Main St</v>
          </cell>
          <cell r="H2318" t="str">
            <v>Credit Card</v>
          </cell>
          <cell r="I2318" t="str">
            <v>Delivered</v>
          </cell>
          <cell r="J2318" t="str">
            <v>TRK61265132</v>
          </cell>
          <cell r="K2318">
            <v>7</v>
          </cell>
          <cell r="L2318" t="str">
            <v>WINTER15</v>
          </cell>
          <cell r="M2318" t="str">
            <v>Facebook</v>
          </cell>
          <cell r="N2318">
            <v>1062.98</v>
          </cell>
        </row>
        <row r="2319">
          <cell r="A2319" t="str">
            <v>ORD201117</v>
          </cell>
          <cell r="B2319">
            <v>45432</v>
          </cell>
          <cell r="C2319" t="str">
            <v>C78684</v>
          </cell>
          <cell r="D2319" t="str">
            <v>Chair</v>
          </cell>
          <cell r="E2319">
            <v>3</v>
          </cell>
          <cell r="F2319">
            <v>588.44000000000005</v>
          </cell>
          <cell r="G2319" t="str">
            <v>858 Main St</v>
          </cell>
          <cell r="H2319" t="str">
            <v>Gift Card</v>
          </cell>
          <cell r="I2319" t="str">
            <v>Shipped</v>
          </cell>
          <cell r="J2319" t="str">
            <v>TRK95779073</v>
          </cell>
          <cell r="K2319">
            <v>8</v>
          </cell>
          <cell r="L2319" t="str">
            <v>WINTER15</v>
          </cell>
          <cell r="M2319" t="str">
            <v>Google</v>
          </cell>
          <cell r="N2319">
            <v>1765.32</v>
          </cell>
        </row>
        <row r="2320">
          <cell r="A2320" t="str">
            <v>ORD201118</v>
          </cell>
          <cell r="B2320">
            <v>45436</v>
          </cell>
          <cell r="C2320" t="str">
            <v>C58168</v>
          </cell>
          <cell r="D2320" t="str">
            <v>Phone</v>
          </cell>
          <cell r="E2320">
            <v>3</v>
          </cell>
          <cell r="F2320">
            <v>251.48</v>
          </cell>
          <cell r="G2320" t="str">
            <v>359 Main St</v>
          </cell>
          <cell r="H2320" t="str">
            <v>Credit Card</v>
          </cell>
          <cell r="I2320" t="str">
            <v>Returned</v>
          </cell>
          <cell r="J2320" t="str">
            <v>TRK99102265</v>
          </cell>
          <cell r="K2320">
            <v>4</v>
          </cell>
          <cell r="L2320" t="str">
            <v>No Coupon</v>
          </cell>
          <cell r="M2320" t="str">
            <v>Email</v>
          </cell>
          <cell r="N2320">
            <v>754.44</v>
          </cell>
        </row>
        <row r="2321">
          <cell r="A2321" t="str">
            <v>ORD201119</v>
          </cell>
          <cell r="B2321">
            <v>45620</v>
          </cell>
          <cell r="C2321" t="str">
            <v>C99024</v>
          </cell>
          <cell r="D2321" t="str">
            <v>Laptop</v>
          </cell>
          <cell r="E2321">
            <v>1</v>
          </cell>
          <cell r="F2321">
            <v>684.65</v>
          </cell>
          <cell r="G2321" t="str">
            <v>250 Main St</v>
          </cell>
          <cell r="H2321" t="str">
            <v>Credit Card</v>
          </cell>
          <cell r="I2321" t="str">
            <v>Delivered</v>
          </cell>
          <cell r="J2321" t="str">
            <v>TRK24675988</v>
          </cell>
          <cell r="K2321">
            <v>1</v>
          </cell>
          <cell r="L2321" t="str">
            <v>FREESHIP</v>
          </cell>
          <cell r="M2321" t="str">
            <v>Email</v>
          </cell>
          <cell r="N2321">
            <v>684.65</v>
          </cell>
        </row>
        <row r="2322">
          <cell r="A2322" t="str">
            <v>ORD201120</v>
          </cell>
          <cell r="B2322">
            <v>45787</v>
          </cell>
          <cell r="C2322" t="str">
            <v>C22919</v>
          </cell>
          <cell r="D2322" t="str">
            <v>Tablet</v>
          </cell>
          <cell r="E2322">
            <v>1</v>
          </cell>
          <cell r="F2322">
            <v>195.86</v>
          </cell>
          <cell r="G2322" t="str">
            <v>267 Main St</v>
          </cell>
          <cell r="H2322" t="str">
            <v>Online</v>
          </cell>
          <cell r="I2322" t="str">
            <v>Pending</v>
          </cell>
          <cell r="J2322" t="str">
            <v>TRK82416295</v>
          </cell>
          <cell r="K2322">
            <v>3</v>
          </cell>
          <cell r="L2322" t="str">
            <v>No Coupon</v>
          </cell>
          <cell r="M2322" t="str">
            <v>Facebook</v>
          </cell>
          <cell r="N2322">
            <v>195.86</v>
          </cell>
        </row>
        <row r="2323">
          <cell r="A2323" t="str">
            <v>ORD201121</v>
          </cell>
          <cell r="B2323">
            <v>45074</v>
          </cell>
          <cell r="C2323" t="str">
            <v>C98354</v>
          </cell>
          <cell r="D2323" t="str">
            <v>Phone</v>
          </cell>
          <cell r="E2323">
            <v>3</v>
          </cell>
          <cell r="F2323">
            <v>50.34</v>
          </cell>
          <cell r="G2323" t="str">
            <v>393 Main St</v>
          </cell>
          <cell r="H2323" t="str">
            <v>Gift Card</v>
          </cell>
          <cell r="I2323" t="str">
            <v>Returned</v>
          </cell>
          <cell r="J2323" t="str">
            <v>TRK43070888</v>
          </cell>
          <cell r="K2323">
            <v>3</v>
          </cell>
          <cell r="L2323" t="str">
            <v>FREESHIP</v>
          </cell>
          <cell r="M2323" t="str">
            <v>Instagram</v>
          </cell>
          <cell r="N2323">
            <v>151.02000000000001</v>
          </cell>
        </row>
        <row r="2324">
          <cell r="A2324" t="str">
            <v>ORD201122</v>
          </cell>
          <cell r="B2324">
            <v>45084</v>
          </cell>
          <cell r="C2324" t="str">
            <v>C38840</v>
          </cell>
          <cell r="D2324" t="str">
            <v>Monitor</v>
          </cell>
          <cell r="E2324">
            <v>5</v>
          </cell>
          <cell r="F2324">
            <v>678.19</v>
          </cell>
          <cell r="G2324" t="str">
            <v>766 Main St</v>
          </cell>
          <cell r="H2324" t="str">
            <v>Online</v>
          </cell>
          <cell r="I2324" t="str">
            <v>Returned</v>
          </cell>
          <cell r="J2324" t="str">
            <v>TRK32496970</v>
          </cell>
          <cell r="K2324">
            <v>8</v>
          </cell>
          <cell r="L2324" t="str">
            <v>No Coupon</v>
          </cell>
          <cell r="M2324" t="str">
            <v>Facebook</v>
          </cell>
          <cell r="N2324">
            <v>3390.95</v>
          </cell>
        </row>
        <row r="2325">
          <cell r="A2325" t="str">
            <v>ORD201123</v>
          </cell>
          <cell r="B2325">
            <v>45030</v>
          </cell>
          <cell r="C2325" t="str">
            <v>C68936</v>
          </cell>
          <cell r="D2325" t="str">
            <v>Tablet</v>
          </cell>
          <cell r="E2325">
            <v>3</v>
          </cell>
          <cell r="F2325">
            <v>554.25</v>
          </cell>
          <cell r="G2325" t="str">
            <v>843 Main St</v>
          </cell>
          <cell r="H2325" t="str">
            <v>Debit Card</v>
          </cell>
          <cell r="I2325" t="str">
            <v>Shipped</v>
          </cell>
          <cell r="J2325" t="str">
            <v>TRK73163634</v>
          </cell>
          <cell r="K2325">
            <v>6</v>
          </cell>
          <cell r="L2325" t="str">
            <v>WINTER15</v>
          </cell>
          <cell r="M2325" t="str">
            <v>Referral</v>
          </cell>
          <cell r="N2325">
            <v>1662.75</v>
          </cell>
        </row>
        <row r="2326">
          <cell r="A2326" t="str">
            <v>ORD201124</v>
          </cell>
          <cell r="B2326">
            <v>45055</v>
          </cell>
          <cell r="C2326" t="str">
            <v>C33744</v>
          </cell>
          <cell r="D2326" t="str">
            <v>Chair</v>
          </cell>
          <cell r="E2326">
            <v>4</v>
          </cell>
          <cell r="F2326">
            <v>576.87</v>
          </cell>
          <cell r="G2326" t="str">
            <v>888 Main St</v>
          </cell>
          <cell r="H2326" t="str">
            <v>Gift Card</v>
          </cell>
          <cell r="I2326" t="str">
            <v>Returned</v>
          </cell>
          <cell r="J2326" t="str">
            <v>TRK40245983</v>
          </cell>
          <cell r="K2326">
            <v>5</v>
          </cell>
          <cell r="L2326" t="str">
            <v>No Coupon</v>
          </cell>
          <cell r="M2326" t="str">
            <v>Instagram</v>
          </cell>
          <cell r="N2326">
            <v>2307.48</v>
          </cell>
        </row>
        <row r="2327">
          <cell r="A2327" t="str">
            <v>ORD201125</v>
          </cell>
          <cell r="B2327">
            <v>45215</v>
          </cell>
          <cell r="C2327" t="str">
            <v>C23555</v>
          </cell>
          <cell r="D2327" t="str">
            <v>Desk</v>
          </cell>
          <cell r="E2327">
            <v>4</v>
          </cell>
          <cell r="F2327">
            <v>408.36</v>
          </cell>
          <cell r="G2327" t="str">
            <v>156 Main St</v>
          </cell>
          <cell r="H2327" t="str">
            <v>Gift Card</v>
          </cell>
          <cell r="I2327" t="str">
            <v>Cancelled</v>
          </cell>
          <cell r="J2327" t="str">
            <v>TRK67210247</v>
          </cell>
          <cell r="K2327">
            <v>4</v>
          </cell>
          <cell r="L2327" t="str">
            <v>FREESHIP</v>
          </cell>
          <cell r="M2327" t="str">
            <v>Referral</v>
          </cell>
          <cell r="N2327">
            <v>1633.44</v>
          </cell>
        </row>
        <row r="2328">
          <cell r="A2328" t="str">
            <v>ORD201126</v>
          </cell>
          <cell r="B2328">
            <v>45495</v>
          </cell>
          <cell r="C2328" t="str">
            <v>C34337</v>
          </cell>
          <cell r="D2328" t="str">
            <v>Phone</v>
          </cell>
          <cell r="E2328">
            <v>5</v>
          </cell>
          <cell r="F2328">
            <v>190.11</v>
          </cell>
          <cell r="G2328" t="str">
            <v>325 Main St</v>
          </cell>
          <cell r="H2328" t="str">
            <v>Cash</v>
          </cell>
          <cell r="I2328" t="str">
            <v>Delivered</v>
          </cell>
          <cell r="J2328" t="str">
            <v>TRK36195559</v>
          </cell>
          <cell r="K2328">
            <v>7</v>
          </cell>
          <cell r="L2328" t="str">
            <v>SAVE10</v>
          </cell>
          <cell r="M2328" t="str">
            <v>Google</v>
          </cell>
          <cell r="N2328">
            <v>950.55</v>
          </cell>
        </row>
        <row r="2329">
          <cell r="A2329" t="str">
            <v>ORD201127</v>
          </cell>
          <cell r="B2329">
            <v>45731</v>
          </cell>
          <cell r="C2329" t="str">
            <v>C69396</v>
          </cell>
          <cell r="D2329" t="str">
            <v>Printer</v>
          </cell>
          <cell r="E2329">
            <v>3</v>
          </cell>
          <cell r="F2329">
            <v>602.75</v>
          </cell>
          <cell r="G2329" t="str">
            <v>920 Main St</v>
          </cell>
          <cell r="H2329" t="str">
            <v>Credit Card</v>
          </cell>
          <cell r="I2329" t="str">
            <v>Shipped</v>
          </cell>
          <cell r="J2329" t="str">
            <v>TRK33155049</v>
          </cell>
          <cell r="K2329">
            <v>6</v>
          </cell>
          <cell r="L2329" t="str">
            <v>SAVE10</v>
          </cell>
          <cell r="M2329" t="str">
            <v>Email</v>
          </cell>
          <cell r="N2329">
            <v>1808.25</v>
          </cell>
        </row>
        <row r="2330">
          <cell r="A2330" t="str">
            <v>ORD201128</v>
          </cell>
          <cell r="B2330">
            <v>45155</v>
          </cell>
          <cell r="C2330" t="str">
            <v>C49198</v>
          </cell>
          <cell r="D2330" t="str">
            <v>Monitor</v>
          </cell>
          <cell r="E2330">
            <v>3</v>
          </cell>
          <cell r="F2330">
            <v>646.79</v>
          </cell>
          <cell r="G2330" t="str">
            <v>447 Main St</v>
          </cell>
          <cell r="H2330" t="str">
            <v>Cash</v>
          </cell>
          <cell r="I2330" t="str">
            <v>Cancelled</v>
          </cell>
          <cell r="J2330" t="str">
            <v>TRK10883354</v>
          </cell>
          <cell r="K2330">
            <v>5</v>
          </cell>
          <cell r="L2330" t="str">
            <v>WINTER15</v>
          </cell>
          <cell r="M2330" t="str">
            <v>Google</v>
          </cell>
          <cell r="N2330">
            <v>1940.37</v>
          </cell>
        </row>
        <row r="2331">
          <cell r="A2331" t="str">
            <v>ORD201129</v>
          </cell>
          <cell r="B2331">
            <v>45088</v>
          </cell>
          <cell r="C2331" t="str">
            <v>C43911</v>
          </cell>
          <cell r="D2331" t="str">
            <v>Chair</v>
          </cell>
          <cell r="E2331">
            <v>4</v>
          </cell>
          <cell r="F2331">
            <v>418.71</v>
          </cell>
          <cell r="G2331" t="str">
            <v>239 Main St</v>
          </cell>
          <cell r="H2331" t="str">
            <v>Cash</v>
          </cell>
          <cell r="I2331" t="str">
            <v>Pending</v>
          </cell>
          <cell r="J2331" t="str">
            <v>TRK37495481</v>
          </cell>
          <cell r="K2331">
            <v>8</v>
          </cell>
          <cell r="L2331" t="str">
            <v>FREESHIP</v>
          </cell>
          <cell r="M2331" t="str">
            <v>Instagram</v>
          </cell>
          <cell r="N2331">
            <v>1674.84</v>
          </cell>
        </row>
        <row r="2332">
          <cell r="A2332" t="str">
            <v>ORD201130</v>
          </cell>
          <cell r="B2332">
            <v>45704</v>
          </cell>
          <cell r="C2332" t="str">
            <v>C24347</v>
          </cell>
          <cell r="D2332" t="str">
            <v>Laptop</v>
          </cell>
          <cell r="E2332">
            <v>2</v>
          </cell>
          <cell r="F2332">
            <v>323.45</v>
          </cell>
          <cell r="G2332" t="str">
            <v>533 Main St</v>
          </cell>
          <cell r="H2332" t="str">
            <v>Credit Card</v>
          </cell>
          <cell r="I2332" t="str">
            <v>Returned</v>
          </cell>
          <cell r="J2332" t="str">
            <v>TRK27233265</v>
          </cell>
          <cell r="K2332">
            <v>5</v>
          </cell>
          <cell r="L2332" t="str">
            <v>FREESHIP</v>
          </cell>
          <cell r="M2332" t="str">
            <v>Instagram</v>
          </cell>
          <cell r="N2332">
            <v>646.9</v>
          </cell>
        </row>
        <row r="2333">
          <cell r="A2333" t="str">
            <v>ORD201131</v>
          </cell>
          <cell r="B2333">
            <v>45491</v>
          </cell>
          <cell r="C2333" t="str">
            <v>C21043</v>
          </cell>
          <cell r="D2333" t="str">
            <v>Phone</v>
          </cell>
          <cell r="E2333">
            <v>1</v>
          </cell>
          <cell r="F2333">
            <v>694.5</v>
          </cell>
          <cell r="G2333" t="str">
            <v>195 Main St</v>
          </cell>
          <cell r="H2333" t="str">
            <v>Credit Card</v>
          </cell>
          <cell r="I2333" t="str">
            <v>Pending</v>
          </cell>
          <cell r="J2333" t="str">
            <v>TRK41691086</v>
          </cell>
          <cell r="K2333">
            <v>3</v>
          </cell>
          <cell r="L2333" t="str">
            <v>WINTER15</v>
          </cell>
          <cell r="M2333" t="str">
            <v>Facebook</v>
          </cell>
          <cell r="N2333">
            <v>694.5</v>
          </cell>
        </row>
        <row r="2334">
          <cell r="A2334" t="str">
            <v>ORD201132</v>
          </cell>
          <cell r="B2334">
            <v>45628</v>
          </cell>
          <cell r="C2334" t="str">
            <v>C58858</v>
          </cell>
          <cell r="D2334" t="str">
            <v>Chair</v>
          </cell>
          <cell r="E2334">
            <v>2</v>
          </cell>
          <cell r="F2334">
            <v>337.32</v>
          </cell>
          <cell r="G2334" t="str">
            <v>948 Main St</v>
          </cell>
          <cell r="H2334" t="str">
            <v>Credit Card</v>
          </cell>
          <cell r="I2334" t="str">
            <v>Cancelled</v>
          </cell>
          <cell r="J2334" t="str">
            <v>TRK30406357</v>
          </cell>
          <cell r="K2334">
            <v>4</v>
          </cell>
          <cell r="L2334" t="str">
            <v>SAVE10</v>
          </cell>
          <cell r="M2334" t="str">
            <v>Email</v>
          </cell>
          <cell r="N2334">
            <v>674.64</v>
          </cell>
        </row>
        <row r="2335">
          <cell r="A2335" t="str">
            <v>ORD201133</v>
          </cell>
          <cell r="B2335">
            <v>45391</v>
          </cell>
          <cell r="C2335" t="str">
            <v>C20670</v>
          </cell>
          <cell r="D2335" t="str">
            <v>Printer</v>
          </cell>
          <cell r="E2335">
            <v>2</v>
          </cell>
          <cell r="F2335">
            <v>467.91</v>
          </cell>
          <cell r="G2335" t="str">
            <v>432 Main St</v>
          </cell>
          <cell r="H2335" t="str">
            <v>Gift Card</v>
          </cell>
          <cell r="I2335" t="str">
            <v>Returned</v>
          </cell>
          <cell r="J2335" t="str">
            <v>TRK76731303</v>
          </cell>
          <cell r="K2335">
            <v>5</v>
          </cell>
          <cell r="L2335" t="str">
            <v>WINTER15</v>
          </cell>
          <cell r="M2335" t="str">
            <v>Facebook</v>
          </cell>
          <cell r="N2335">
            <v>935.82</v>
          </cell>
        </row>
        <row r="2336">
          <cell r="A2336" t="str">
            <v>ORD201134</v>
          </cell>
          <cell r="B2336">
            <v>45451</v>
          </cell>
          <cell r="C2336" t="str">
            <v>C90993</v>
          </cell>
          <cell r="D2336" t="str">
            <v>Desk</v>
          </cell>
          <cell r="E2336">
            <v>4</v>
          </cell>
          <cell r="F2336">
            <v>38.28</v>
          </cell>
          <cell r="G2336" t="str">
            <v>950 Main St</v>
          </cell>
          <cell r="H2336" t="str">
            <v>Debit Card</v>
          </cell>
          <cell r="I2336" t="str">
            <v>Cancelled</v>
          </cell>
          <cell r="J2336" t="str">
            <v>TRK53964711</v>
          </cell>
          <cell r="K2336">
            <v>4</v>
          </cell>
          <cell r="L2336" t="str">
            <v>WINTER15</v>
          </cell>
          <cell r="M2336" t="str">
            <v>Facebook</v>
          </cell>
          <cell r="N2336">
            <v>153.12</v>
          </cell>
        </row>
        <row r="2337">
          <cell r="A2337" t="str">
            <v>ORD201135</v>
          </cell>
          <cell r="B2337">
            <v>45288</v>
          </cell>
          <cell r="C2337" t="str">
            <v>C11473</v>
          </cell>
          <cell r="D2337" t="str">
            <v>Printer</v>
          </cell>
          <cell r="E2337">
            <v>2</v>
          </cell>
          <cell r="F2337">
            <v>73.41</v>
          </cell>
          <cell r="G2337" t="str">
            <v>562 Main St</v>
          </cell>
          <cell r="H2337" t="str">
            <v>Online</v>
          </cell>
          <cell r="I2337" t="str">
            <v>Shipped</v>
          </cell>
          <cell r="J2337" t="str">
            <v>TRK97793275</v>
          </cell>
          <cell r="K2337">
            <v>2</v>
          </cell>
          <cell r="L2337" t="str">
            <v>SAVE10</v>
          </cell>
          <cell r="M2337" t="str">
            <v>Google</v>
          </cell>
          <cell r="N2337">
            <v>146.82</v>
          </cell>
        </row>
        <row r="2338">
          <cell r="A2338" t="str">
            <v>ORD201136</v>
          </cell>
          <cell r="B2338">
            <v>45193</v>
          </cell>
          <cell r="C2338" t="str">
            <v>C71899</v>
          </cell>
          <cell r="D2338" t="str">
            <v>Tablet</v>
          </cell>
          <cell r="E2338">
            <v>3</v>
          </cell>
          <cell r="F2338">
            <v>668.33</v>
          </cell>
          <cell r="G2338" t="str">
            <v>799 Main St</v>
          </cell>
          <cell r="H2338" t="str">
            <v>Gift Card</v>
          </cell>
          <cell r="I2338" t="str">
            <v>Pending</v>
          </cell>
          <cell r="J2338" t="str">
            <v>TRK34856025</v>
          </cell>
          <cell r="K2338">
            <v>4</v>
          </cell>
          <cell r="L2338" t="str">
            <v>WINTER15</v>
          </cell>
          <cell r="M2338" t="str">
            <v>Facebook</v>
          </cell>
          <cell r="N2338">
            <v>2004.99</v>
          </cell>
        </row>
        <row r="2339">
          <cell r="A2339" t="str">
            <v>ORD201137</v>
          </cell>
          <cell r="B2339">
            <v>45502</v>
          </cell>
          <cell r="C2339" t="str">
            <v>C48577</v>
          </cell>
          <cell r="D2339" t="str">
            <v>Printer</v>
          </cell>
          <cell r="E2339">
            <v>4</v>
          </cell>
          <cell r="F2339">
            <v>410.21</v>
          </cell>
          <cell r="G2339" t="str">
            <v>841 Main St</v>
          </cell>
          <cell r="H2339" t="str">
            <v>Cash</v>
          </cell>
          <cell r="I2339" t="str">
            <v>Pending</v>
          </cell>
          <cell r="J2339" t="str">
            <v>TRK59911645</v>
          </cell>
          <cell r="K2339">
            <v>5</v>
          </cell>
          <cell r="L2339" t="str">
            <v>WINTER15</v>
          </cell>
          <cell r="M2339" t="str">
            <v>Instagram</v>
          </cell>
          <cell r="N2339">
            <v>1640.84</v>
          </cell>
        </row>
        <row r="2340">
          <cell r="A2340" t="str">
            <v>ORD201138</v>
          </cell>
          <cell r="B2340">
            <v>45278</v>
          </cell>
          <cell r="C2340" t="str">
            <v>C13100</v>
          </cell>
          <cell r="D2340" t="str">
            <v>Desk</v>
          </cell>
          <cell r="E2340">
            <v>4</v>
          </cell>
          <cell r="F2340">
            <v>294.41000000000003</v>
          </cell>
          <cell r="G2340" t="str">
            <v>188 Main St</v>
          </cell>
          <cell r="H2340" t="str">
            <v>Debit Card</v>
          </cell>
          <cell r="I2340" t="str">
            <v>Pending</v>
          </cell>
          <cell r="J2340" t="str">
            <v>TRK55565668</v>
          </cell>
          <cell r="K2340">
            <v>4</v>
          </cell>
          <cell r="L2340" t="str">
            <v>No Coupon</v>
          </cell>
          <cell r="M2340" t="str">
            <v>Instagram</v>
          </cell>
          <cell r="N2340">
            <v>1177.6400000000001</v>
          </cell>
        </row>
        <row r="2341">
          <cell r="A2341" t="str">
            <v>ORD201139</v>
          </cell>
          <cell r="B2341">
            <v>45717</v>
          </cell>
          <cell r="C2341" t="str">
            <v>C70659</v>
          </cell>
          <cell r="D2341" t="str">
            <v>Chair</v>
          </cell>
          <cell r="E2341">
            <v>3</v>
          </cell>
          <cell r="F2341">
            <v>501.82</v>
          </cell>
          <cell r="G2341" t="str">
            <v>568 Main St</v>
          </cell>
          <cell r="H2341" t="str">
            <v>Gift Card</v>
          </cell>
          <cell r="I2341" t="str">
            <v>Cancelled</v>
          </cell>
          <cell r="J2341" t="str">
            <v>TRK28290825</v>
          </cell>
          <cell r="K2341">
            <v>4</v>
          </cell>
          <cell r="L2341" t="str">
            <v>FREESHIP</v>
          </cell>
          <cell r="M2341" t="str">
            <v>Email</v>
          </cell>
          <cell r="N2341">
            <v>1505.46</v>
          </cell>
        </row>
        <row r="2342">
          <cell r="A2342" t="str">
            <v>ORD201140</v>
          </cell>
          <cell r="B2342">
            <v>45467</v>
          </cell>
          <cell r="C2342" t="str">
            <v>C49838</v>
          </cell>
          <cell r="D2342" t="str">
            <v>Printer</v>
          </cell>
          <cell r="E2342">
            <v>2</v>
          </cell>
          <cell r="F2342">
            <v>552.83000000000004</v>
          </cell>
          <cell r="G2342" t="str">
            <v>904 Main St</v>
          </cell>
          <cell r="H2342" t="str">
            <v>Credit Card</v>
          </cell>
          <cell r="I2342" t="str">
            <v>Cancelled</v>
          </cell>
          <cell r="J2342" t="str">
            <v>TRK38297718</v>
          </cell>
          <cell r="K2342">
            <v>3</v>
          </cell>
          <cell r="L2342" t="str">
            <v>No Coupon</v>
          </cell>
          <cell r="M2342" t="str">
            <v>Referral</v>
          </cell>
          <cell r="N2342">
            <v>1105.6600000000001</v>
          </cell>
        </row>
        <row r="2343">
          <cell r="A2343" t="str">
            <v>ORD201141</v>
          </cell>
          <cell r="B2343">
            <v>45704</v>
          </cell>
          <cell r="C2343" t="str">
            <v>C11998</v>
          </cell>
          <cell r="D2343" t="str">
            <v>Chair</v>
          </cell>
          <cell r="E2343">
            <v>3</v>
          </cell>
          <cell r="F2343">
            <v>498.66</v>
          </cell>
          <cell r="G2343" t="str">
            <v>382 Main St</v>
          </cell>
          <cell r="H2343" t="str">
            <v>Cash</v>
          </cell>
          <cell r="I2343" t="str">
            <v>Cancelled</v>
          </cell>
          <cell r="J2343" t="str">
            <v>TRK26707221</v>
          </cell>
          <cell r="K2343">
            <v>6</v>
          </cell>
          <cell r="L2343" t="str">
            <v>No Coupon</v>
          </cell>
          <cell r="M2343" t="str">
            <v>Email</v>
          </cell>
          <cell r="N2343">
            <v>1495.98</v>
          </cell>
        </row>
        <row r="2344">
          <cell r="A2344" t="str">
            <v>ORD201142</v>
          </cell>
          <cell r="B2344">
            <v>45527</v>
          </cell>
          <cell r="C2344" t="str">
            <v>C23405</v>
          </cell>
          <cell r="D2344" t="str">
            <v>Phone</v>
          </cell>
          <cell r="E2344">
            <v>4</v>
          </cell>
          <cell r="F2344">
            <v>695.1</v>
          </cell>
          <cell r="G2344" t="str">
            <v>484 Main St</v>
          </cell>
          <cell r="H2344" t="str">
            <v>Debit Card</v>
          </cell>
          <cell r="I2344" t="str">
            <v>Returned</v>
          </cell>
          <cell r="J2344" t="str">
            <v>TRK83678708</v>
          </cell>
          <cell r="K2344">
            <v>8</v>
          </cell>
          <cell r="L2344" t="str">
            <v>No Coupon</v>
          </cell>
          <cell r="M2344" t="str">
            <v>Email</v>
          </cell>
          <cell r="N2344">
            <v>2780.4</v>
          </cell>
        </row>
        <row r="2345">
          <cell r="A2345" t="str">
            <v>ORD201143</v>
          </cell>
          <cell r="B2345">
            <v>45019</v>
          </cell>
          <cell r="C2345" t="str">
            <v>C41132</v>
          </cell>
          <cell r="D2345" t="str">
            <v>Chair</v>
          </cell>
          <cell r="E2345">
            <v>1</v>
          </cell>
          <cell r="F2345">
            <v>381.61</v>
          </cell>
          <cell r="G2345" t="str">
            <v>114 Main St</v>
          </cell>
          <cell r="H2345" t="str">
            <v>Debit Card</v>
          </cell>
          <cell r="I2345" t="str">
            <v>Pending</v>
          </cell>
          <cell r="J2345" t="str">
            <v>TRK51040137</v>
          </cell>
          <cell r="K2345">
            <v>5</v>
          </cell>
          <cell r="L2345" t="str">
            <v>No Coupon</v>
          </cell>
          <cell r="M2345" t="str">
            <v>Email</v>
          </cell>
          <cell r="N2345">
            <v>381.61</v>
          </cell>
        </row>
        <row r="2346">
          <cell r="A2346" t="str">
            <v>ORD201144</v>
          </cell>
          <cell r="B2346">
            <v>44973</v>
          </cell>
          <cell r="C2346" t="str">
            <v>C88463</v>
          </cell>
          <cell r="D2346" t="str">
            <v>Desk</v>
          </cell>
          <cell r="E2346">
            <v>5</v>
          </cell>
          <cell r="F2346">
            <v>507.94</v>
          </cell>
          <cell r="G2346" t="str">
            <v>292 Main St</v>
          </cell>
          <cell r="H2346" t="str">
            <v>Online</v>
          </cell>
          <cell r="I2346" t="str">
            <v>Cancelled</v>
          </cell>
          <cell r="J2346" t="str">
            <v>TRK88749996</v>
          </cell>
          <cell r="K2346">
            <v>9</v>
          </cell>
          <cell r="L2346" t="str">
            <v>No Coupon</v>
          </cell>
          <cell r="M2346" t="str">
            <v>Facebook</v>
          </cell>
          <cell r="N2346">
            <v>2539.6999999999998</v>
          </cell>
        </row>
        <row r="2347">
          <cell r="A2347" t="str">
            <v>ORD201145</v>
          </cell>
          <cell r="B2347">
            <v>45789</v>
          </cell>
          <cell r="C2347" t="str">
            <v>C28152</v>
          </cell>
          <cell r="D2347" t="str">
            <v>Desk</v>
          </cell>
          <cell r="E2347">
            <v>3</v>
          </cell>
          <cell r="F2347">
            <v>571.53</v>
          </cell>
          <cell r="G2347" t="str">
            <v>821 Main St</v>
          </cell>
          <cell r="H2347" t="str">
            <v>Debit Card</v>
          </cell>
          <cell r="I2347" t="str">
            <v>Delivered</v>
          </cell>
          <cell r="J2347" t="str">
            <v>TRK59642814</v>
          </cell>
          <cell r="K2347">
            <v>6</v>
          </cell>
          <cell r="L2347" t="str">
            <v>FREESHIP</v>
          </cell>
          <cell r="M2347" t="str">
            <v>Facebook</v>
          </cell>
          <cell r="N2347">
            <v>1714.59</v>
          </cell>
        </row>
        <row r="2348">
          <cell r="A2348" t="str">
            <v>ORD201146</v>
          </cell>
          <cell r="B2348">
            <v>45568</v>
          </cell>
          <cell r="C2348" t="str">
            <v>C36383</v>
          </cell>
          <cell r="D2348" t="str">
            <v>Monitor</v>
          </cell>
          <cell r="E2348">
            <v>5</v>
          </cell>
          <cell r="F2348">
            <v>421.44</v>
          </cell>
          <cell r="G2348" t="str">
            <v>286 Main St</v>
          </cell>
          <cell r="H2348" t="str">
            <v>Cash</v>
          </cell>
          <cell r="I2348" t="str">
            <v>Pending</v>
          </cell>
          <cell r="J2348" t="str">
            <v>TRK93336357</v>
          </cell>
          <cell r="K2348">
            <v>5</v>
          </cell>
          <cell r="L2348" t="str">
            <v>SAVE10</v>
          </cell>
          <cell r="M2348" t="str">
            <v>Instagram</v>
          </cell>
          <cell r="N2348">
            <v>2107.1999999999998</v>
          </cell>
        </row>
        <row r="2349">
          <cell r="A2349" t="str">
            <v>ORD201147</v>
          </cell>
          <cell r="B2349">
            <v>45659</v>
          </cell>
          <cell r="C2349" t="str">
            <v>C19759</v>
          </cell>
          <cell r="D2349" t="str">
            <v>Chair</v>
          </cell>
          <cell r="E2349">
            <v>2</v>
          </cell>
          <cell r="F2349">
            <v>588.29999999999995</v>
          </cell>
          <cell r="G2349" t="str">
            <v>234 Main St</v>
          </cell>
          <cell r="H2349" t="str">
            <v>Online</v>
          </cell>
          <cell r="I2349" t="str">
            <v>Pending</v>
          </cell>
          <cell r="J2349" t="str">
            <v>TRK22515454</v>
          </cell>
          <cell r="K2349">
            <v>2</v>
          </cell>
          <cell r="L2349" t="str">
            <v>FREESHIP</v>
          </cell>
          <cell r="M2349" t="str">
            <v>Email</v>
          </cell>
          <cell r="N2349">
            <v>1176.5999999999999</v>
          </cell>
        </row>
        <row r="2350">
          <cell r="A2350" t="str">
            <v>ORD201148</v>
          </cell>
          <cell r="B2350">
            <v>45468</v>
          </cell>
          <cell r="C2350" t="str">
            <v>C54886</v>
          </cell>
          <cell r="D2350" t="str">
            <v>Phone</v>
          </cell>
          <cell r="E2350">
            <v>1</v>
          </cell>
          <cell r="F2350">
            <v>355.15</v>
          </cell>
          <cell r="G2350" t="str">
            <v>442 Main St</v>
          </cell>
          <cell r="H2350" t="str">
            <v>Cash</v>
          </cell>
          <cell r="I2350" t="str">
            <v>Returned</v>
          </cell>
          <cell r="J2350" t="str">
            <v>TRK66241930</v>
          </cell>
          <cell r="K2350">
            <v>2</v>
          </cell>
          <cell r="L2350" t="str">
            <v>SAVE10</v>
          </cell>
          <cell r="M2350" t="str">
            <v>Email</v>
          </cell>
          <cell r="N2350">
            <v>355.15</v>
          </cell>
        </row>
        <row r="2351">
          <cell r="A2351" t="str">
            <v>ORD201149</v>
          </cell>
          <cell r="B2351">
            <v>45498</v>
          </cell>
          <cell r="C2351" t="str">
            <v>C27305</v>
          </cell>
          <cell r="D2351" t="str">
            <v>Chair</v>
          </cell>
          <cell r="E2351">
            <v>2</v>
          </cell>
          <cell r="F2351">
            <v>695.29</v>
          </cell>
          <cell r="G2351" t="str">
            <v>957 Main St</v>
          </cell>
          <cell r="H2351" t="str">
            <v>Credit Card</v>
          </cell>
          <cell r="I2351" t="str">
            <v>Pending</v>
          </cell>
          <cell r="J2351" t="str">
            <v>TRK28789916</v>
          </cell>
          <cell r="K2351">
            <v>6</v>
          </cell>
          <cell r="L2351" t="str">
            <v>FREESHIP</v>
          </cell>
          <cell r="M2351" t="str">
            <v>Instagram</v>
          </cell>
          <cell r="N2351">
            <v>1390.58</v>
          </cell>
        </row>
        <row r="2352">
          <cell r="A2352" t="str">
            <v>ORD201150</v>
          </cell>
          <cell r="B2352">
            <v>44977</v>
          </cell>
          <cell r="C2352" t="str">
            <v>C17921</v>
          </cell>
          <cell r="D2352" t="str">
            <v>Desk</v>
          </cell>
          <cell r="E2352">
            <v>4</v>
          </cell>
          <cell r="F2352">
            <v>302.64999999999998</v>
          </cell>
          <cell r="G2352" t="str">
            <v>119 Main St</v>
          </cell>
          <cell r="H2352" t="str">
            <v>Credit Card</v>
          </cell>
          <cell r="I2352" t="str">
            <v>Cancelled</v>
          </cell>
          <cell r="J2352" t="str">
            <v>TRK79291524</v>
          </cell>
          <cell r="K2352">
            <v>8</v>
          </cell>
          <cell r="L2352" t="str">
            <v>SAVE10</v>
          </cell>
          <cell r="M2352" t="str">
            <v>Referral</v>
          </cell>
          <cell r="N2352">
            <v>1210.5999999999999</v>
          </cell>
        </row>
        <row r="2353">
          <cell r="A2353" t="str">
            <v>ORD201151</v>
          </cell>
          <cell r="B2353">
            <v>44955</v>
          </cell>
          <cell r="C2353" t="str">
            <v>C94381</v>
          </cell>
          <cell r="D2353" t="str">
            <v>Chair</v>
          </cell>
          <cell r="E2353">
            <v>2</v>
          </cell>
          <cell r="F2353">
            <v>608.04</v>
          </cell>
          <cell r="G2353" t="str">
            <v>962 Main St</v>
          </cell>
          <cell r="H2353" t="str">
            <v>Cash</v>
          </cell>
          <cell r="I2353" t="str">
            <v>Cancelled</v>
          </cell>
          <cell r="J2353" t="str">
            <v>TRK69804304</v>
          </cell>
          <cell r="K2353">
            <v>4</v>
          </cell>
          <cell r="L2353" t="str">
            <v>No Coupon</v>
          </cell>
          <cell r="M2353" t="str">
            <v>Google</v>
          </cell>
          <cell r="N2353">
            <v>1216.08</v>
          </cell>
        </row>
        <row r="2354">
          <cell r="A2354" t="str">
            <v>ORD201152</v>
          </cell>
          <cell r="B2354">
            <v>45239</v>
          </cell>
          <cell r="C2354" t="str">
            <v>C25162</v>
          </cell>
          <cell r="D2354" t="str">
            <v>Tablet</v>
          </cell>
          <cell r="E2354">
            <v>2</v>
          </cell>
          <cell r="F2354">
            <v>344.18</v>
          </cell>
          <cell r="G2354" t="str">
            <v>533 Main St</v>
          </cell>
          <cell r="H2354" t="str">
            <v>Credit Card</v>
          </cell>
          <cell r="I2354" t="str">
            <v>Shipped</v>
          </cell>
          <cell r="J2354" t="str">
            <v>TRK42183078</v>
          </cell>
          <cell r="K2354">
            <v>7</v>
          </cell>
          <cell r="L2354" t="str">
            <v>No Coupon</v>
          </cell>
          <cell r="M2354" t="str">
            <v>Referral</v>
          </cell>
          <cell r="N2354">
            <v>688.36</v>
          </cell>
        </row>
        <row r="2355">
          <cell r="A2355" t="str">
            <v>ORD201153</v>
          </cell>
          <cell r="B2355">
            <v>45642</v>
          </cell>
          <cell r="C2355" t="str">
            <v>C98317</v>
          </cell>
          <cell r="D2355" t="str">
            <v>Monitor</v>
          </cell>
          <cell r="E2355">
            <v>4</v>
          </cell>
          <cell r="F2355">
            <v>696.71</v>
          </cell>
          <cell r="G2355" t="str">
            <v>276 Main St</v>
          </cell>
          <cell r="H2355" t="str">
            <v>Debit Card</v>
          </cell>
          <cell r="I2355" t="str">
            <v>Shipped</v>
          </cell>
          <cell r="J2355" t="str">
            <v>TRK37172138</v>
          </cell>
          <cell r="K2355">
            <v>4</v>
          </cell>
          <cell r="L2355" t="str">
            <v>No Coupon</v>
          </cell>
          <cell r="M2355" t="str">
            <v>Instagram</v>
          </cell>
          <cell r="N2355">
            <v>2786.84</v>
          </cell>
        </row>
        <row r="2356">
          <cell r="A2356" t="str">
            <v>ORD201154</v>
          </cell>
          <cell r="B2356">
            <v>45819</v>
          </cell>
          <cell r="C2356" t="str">
            <v>C53631</v>
          </cell>
          <cell r="D2356" t="str">
            <v>Monitor</v>
          </cell>
          <cell r="E2356">
            <v>3</v>
          </cell>
          <cell r="F2356">
            <v>198.63</v>
          </cell>
          <cell r="G2356" t="str">
            <v>593 Main St</v>
          </cell>
          <cell r="H2356" t="str">
            <v>Cash</v>
          </cell>
          <cell r="I2356" t="str">
            <v>Pending</v>
          </cell>
          <cell r="J2356" t="str">
            <v>TRK67589167</v>
          </cell>
          <cell r="K2356">
            <v>8</v>
          </cell>
          <cell r="L2356" t="str">
            <v>SAVE10</v>
          </cell>
          <cell r="M2356" t="str">
            <v>Instagram</v>
          </cell>
          <cell r="N2356">
            <v>595.89</v>
          </cell>
        </row>
        <row r="2357">
          <cell r="A2357" t="str">
            <v>ORD201155</v>
          </cell>
          <cell r="B2357">
            <v>45151</v>
          </cell>
          <cell r="C2357" t="str">
            <v>C41478</v>
          </cell>
          <cell r="D2357" t="str">
            <v>Printer</v>
          </cell>
          <cell r="E2357">
            <v>4</v>
          </cell>
          <cell r="F2357">
            <v>534.57000000000005</v>
          </cell>
          <cell r="G2357" t="str">
            <v>667 Main St</v>
          </cell>
          <cell r="H2357" t="str">
            <v>Credit Card</v>
          </cell>
          <cell r="I2357" t="str">
            <v>Delivered</v>
          </cell>
          <cell r="J2357" t="str">
            <v>TRK62068126</v>
          </cell>
          <cell r="K2357">
            <v>6</v>
          </cell>
          <cell r="L2357" t="str">
            <v>FREESHIP</v>
          </cell>
          <cell r="M2357" t="str">
            <v>Facebook</v>
          </cell>
          <cell r="N2357">
            <v>2138.2800000000002</v>
          </cell>
        </row>
        <row r="2358">
          <cell r="A2358" t="str">
            <v>ORD201156</v>
          </cell>
          <cell r="B2358">
            <v>45126</v>
          </cell>
          <cell r="C2358" t="str">
            <v>C20512</v>
          </cell>
          <cell r="D2358" t="str">
            <v>Laptop</v>
          </cell>
          <cell r="E2358">
            <v>4</v>
          </cell>
          <cell r="F2358">
            <v>690.78</v>
          </cell>
          <cell r="G2358" t="str">
            <v>980 Main St</v>
          </cell>
          <cell r="H2358" t="str">
            <v>Credit Card</v>
          </cell>
          <cell r="I2358" t="str">
            <v>Shipped</v>
          </cell>
          <cell r="J2358" t="str">
            <v>TRK98234737</v>
          </cell>
          <cell r="K2358">
            <v>9</v>
          </cell>
          <cell r="L2358" t="str">
            <v>No Coupon</v>
          </cell>
          <cell r="M2358" t="str">
            <v>Referral</v>
          </cell>
          <cell r="N2358">
            <v>2763.12</v>
          </cell>
        </row>
        <row r="2359">
          <cell r="A2359" t="str">
            <v>ORD201157</v>
          </cell>
          <cell r="B2359">
            <v>45441</v>
          </cell>
          <cell r="C2359" t="str">
            <v>C25841</v>
          </cell>
          <cell r="D2359" t="str">
            <v>Monitor</v>
          </cell>
          <cell r="E2359">
            <v>3</v>
          </cell>
          <cell r="F2359">
            <v>301.55</v>
          </cell>
          <cell r="G2359" t="str">
            <v>242 Main St</v>
          </cell>
          <cell r="H2359" t="str">
            <v>Debit Card</v>
          </cell>
          <cell r="I2359" t="str">
            <v>Delivered</v>
          </cell>
          <cell r="J2359" t="str">
            <v>TRK21451375</v>
          </cell>
          <cell r="K2359">
            <v>5</v>
          </cell>
          <cell r="L2359" t="str">
            <v>FREESHIP</v>
          </cell>
          <cell r="M2359" t="str">
            <v>Google</v>
          </cell>
          <cell r="N2359">
            <v>904.65</v>
          </cell>
        </row>
        <row r="2360">
          <cell r="A2360" t="str">
            <v>ORD201158</v>
          </cell>
          <cell r="B2360">
            <v>45036</v>
          </cell>
          <cell r="C2360" t="str">
            <v>C82781</v>
          </cell>
          <cell r="D2360" t="str">
            <v>Monitor</v>
          </cell>
          <cell r="E2360">
            <v>4</v>
          </cell>
          <cell r="F2360">
            <v>27.42</v>
          </cell>
          <cell r="G2360" t="str">
            <v>661 Main St</v>
          </cell>
          <cell r="H2360" t="str">
            <v>Debit Card</v>
          </cell>
          <cell r="I2360" t="str">
            <v>Pending</v>
          </cell>
          <cell r="J2360" t="str">
            <v>TRK20605418</v>
          </cell>
          <cell r="K2360">
            <v>4</v>
          </cell>
          <cell r="L2360" t="str">
            <v>SAVE10</v>
          </cell>
          <cell r="M2360" t="str">
            <v>Referral</v>
          </cell>
          <cell r="N2360">
            <v>109.68</v>
          </cell>
        </row>
        <row r="2361">
          <cell r="A2361" t="str">
            <v>ORD201159</v>
          </cell>
          <cell r="B2361">
            <v>45345</v>
          </cell>
          <cell r="C2361" t="str">
            <v>C66112</v>
          </cell>
          <cell r="D2361" t="str">
            <v>Desk</v>
          </cell>
          <cell r="E2361">
            <v>4</v>
          </cell>
          <cell r="F2361">
            <v>466.7</v>
          </cell>
          <cell r="G2361" t="str">
            <v>874 Main St</v>
          </cell>
          <cell r="H2361" t="str">
            <v>Debit Card</v>
          </cell>
          <cell r="I2361" t="str">
            <v>Returned</v>
          </cell>
          <cell r="J2361" t="str">
            <v>TRK60955607</v>
          </cell>
          <cell r="K2361">
            <v>8</v>
          </cell>
          <cell r="L2361" t="str">
            <v>No Coupon</v>
          </cell>
          <cell r="M2361" t="str">
            <v>Instagram</v>
          </cell>
          <cell r="N2361">
            <v>1866.8</v>
          </cell>
        </row>
        <row r="2362">
          <cell r="A2362" t="str">
            <v>ORD201160</v>
          </cell>
          <cell r="B2362">
            <v>45539</v>
          </cell>
          <cell r="C2362" t="str">
            <v>C40466</v>
          </cell>
          <cell r="D2362" t="str">
            <v>Desk</v>
          </cell>
          <cell r="E2362">
            <v>1</v>
          </cell>
          <cell r="F2362">
            <v>541.64</v>
          </cell>
          <cell r="G2362" t="str">
            <v>449 Main St</v>
          </cell>
          <cell r="H2362" t="str">
            <v>Debit Card</v>
          </cell>
          <cell r="I2362" t="str">
            <v>Shipped</v>
          </cell>
          <cell r="J2362" t="str">
            <v>TRK70255168</v>
          </cell>
          <cell r="K2362">
            <v>5</v>
          </cell>
          <cell r="L2362" t="str">
            <v>SAVE10</v>
          </cell>
          <cell r="M2362" t="str">
            <v>Email</v>
          </cell>
          <cell r="N2362">
            <v>541.64</v>
          </cell>
        </row>
        <row r="2363">
          <cell r="A2363" t="str">
            <v>ORD201161</v>
          </cell>
          <cell r="B2363">
            <v>45215</v>
          </cell>
          <cell r="C2363" t="str">
            <v>C32570</v>
          </cell>
          <cell r="D2363" t="str">
            <v>Phone</v>
          </cell>
          <cell r="E2363">
            <v>1</v>
          </cell>
          <cell r="F2363">
            <v>11.39</v>
          </cell>
          <cell r="G2363" t="str">
            <v>826 Main St</v>
          </cell>
          <cell r="H2363" t="str">
            <v>Cash</v>
          </cell>
          <cell r="I2363" t="str">
            <v>Cancelled</v>
          </cell>
          <cell r="J2363" t="str">
            <v>TRK35969968</v>
          </cell>
          <cell r="K2363">
            <v>6</v>
          </cell>
          <cell r="L2363" t="str">
            <v>WINTER15</v>
          </cell>
          <cell r="M2363" t="str">
            <v>Email</v>
          </cell>
          <cell r="N2363">
            <v>11.39</v>
          </cell>
        </row>
        <row r="2364">
          <cell r="A2364" t="str">
            <v>ORD201162</v>
          </cell>
          <cell r="B2364">
            <v>45727</v>
          </cell>
          <cell r="C2364" t="str">
            <v>C29405</v>
          </cell>
          <cell r="D2364" t="str">
            <v>Phone</v>
          </cell>
          <cell r="E2364">
            <v>2</v>
          </cell>
          <cell r="F2364">
            <v>224.37</v>
          </cell>
          <cell r="G2364" t="str">
            <v>251 Main St</v>
          </cell>
          <cell r="H2364" t="str">
            <v>Debit Card</v>
          </cell>
          <cell r="I2364" t="str">
            <v>Delivered</v>
          </cell>
          <cell r="J2364" t="str">
            <v>TRK33125798</v>
          </cell>
          <cell r="K2364">
            <v>3</v>
          </cell>
          <cell r="L2364" t="str">
            <v>WINTER15</v>
          </cell>
          <cell r="M2364" t="str">
            <v>Referral</v>
          </cell>
          <cell r="N2364">
            <v>448.74</v>
          </cell>
        </row>
        <row r="2365">
          <cell r="A2365" t="str">
            <v>ORD201163</v>
          </cell>
          <cell r="B2365">
            <v>45454</v>
          </cell>
          <cell r="C2365" t="str">
            <v>C30643</v>
          </cell>
          <cell r="D2365" t="str">
            <v>Laptop</v>
          </cell>
          <cell r="E2365">
            <v>3</v>
          </cell>
          <cell r="F2365">
            <v>306.29000000000002</v>
          </cell>
          <cell r="G2365" t="str">
            <v>966 Main St</v>
          </cell>
          <cell r="H2365" t="str">
            <v>Credit Card</v>
          </cell>
          <cell r="I2365" t="str">
            <v>Returned</v>
          </cell>
          <cell r="J2365" t="str">
            <v>TRK19477485</v>
          </cell>
          <cell r="K2365">
            <v>7</v>
          </cell>
          <cell r="L2365" t="str">
            <v>WINTER15</v>
          </cell>
          <cell r="M2365" t="str">
            <v>Instagram</v>
          </cell>
          <cell r="N2365">
            <v>918.87</v>
          </cell>
        </row>
        <row r="2366">
          <cell r="A2366" t="str">
            <v>ORD201164</v>
          </cell>
          <cell r="B2366">
            <v>45299</v>
          </cell>
          <cell r="C2366" t="str">
            <v>C65890</v>
          </cell>
          <cell r="D2366" t="str">
            <v>Tablet</v>
          </cell>
          <cell r="E2366">
            <v>5</v>
          </cell>
          <cell r="F2366">
            <v>315.57</v>
          </cell>
          <cell r="G2366" t="str">
            <v>340 Main St</v>
          </cell>
          <cell r="H2366" t="str">
            <v>Debit Card</v>
          </cell>
          <cell r="I2366" t="str">
            <v>Delivered</v>
          </cell>
          <cell r="J2366" t="str">
            <v>TRK64530489</v>
          </cell>
          <cell r="K2366">
            <v>6</v>
          </cell>
          <cell r="L2366" t="str">
            <v>WINTER15</v>
          </cell>
          <cell r="M2366" t="str">
            <v>Email</v>
          </cell>
          <cell r="N2366">
            <v>1577.85</v>
          </cell>
        </row>
        <row r="2367">
          <cell r="A2367" t="str">
            <v>ORD201165</v>
          </cell>
          <cell r="B2367">
            <v>45121</v>
          </cell>
          <cell r="C2367" t="str">
            <v>C36992</v>
          </cell>
          <cell r="D2367" t="str">
            <v>Chair</v>
          </cell>
          <cell r="E2367">
            <v>3</v>
          </cell>
          <cell r="F2367">
            <v>223.79</v>
          </cell>
          <cell r="G2367" t="str">
            <v>617 Main St</v>
          </cell>
          <cell r="H2367" t="str">
            <v>Debit Card</v>
          </cell>
          <cell r="I2367" t="str">
            <v>Pending</v>
          </cell>
          <cell r="J2367" t="str">
            <v>TRK63460217</v>
          </cell>
          <cell r="K2367">
            <v>3</v>
          </cell>
          <cell r="L2367" t="str">
            <v>No Coupon</v>
          </cell>
          <cell r="M2367" t="str">
            <v>Google</v>
          </cell>
          <cell r="N2367">
            <v>671.37</v>
          </cell>
        </row>
        <row r="2368">
          <cell r="A2368" t="str">
            <v>ORD201166</v>
          </cell>
          <cell r="B2368">
            <v>45138</v>
          </cell>
          <cell r="C2368" t="str">
            <v>C95568</v>
          </cell>
          <cell r="D2368" t="str">
            <v>Chair</v>
          </cell>
          <cell r="E2368">
            <v>3</v>
          </cell>
          <cell r="F2368">
            <v>324.47000000000003</v>
          </cell>
          <cell r="G2368" t="str">
            <v>971 Main St</v>
          </cell>
          <cell r="H2368" t="str">
            <v>Cash</v>
          </cell>
          <cell r="I2368" t="str">
            <v>Delivered</v>
          </cell>
          <cell r="J2368" t="str">
            <v>TRK37075292</v>
          </cell>
          <cell r="K2368">
            <v>4</v>
          </cell>
          <cell r="L2368" t="str">
            <v>WINTER15</v>
          </cell>
          <cell r="M2368" t="str">
            <v>Email</v>
          </cell>
          <cell r="N2368">
            <v>973.41</v>
          </cell>
        </row>
        <row r="2369">
          <cell r="A2369" t="str">
            <v>ORD201167</v>
          </cell>
          <cell r="B2369">
            <v>45216</v>
          </cell>
          <cell r="C2369" t="str">
            <v>C17966</v>
          </cell>
          <cell r="D2369" t="str">
            <v>Printer</v>
          </cell>
          <cell r="E2369">
            <v>2</v>
          </cell>
          <cell r="F2369">
            <v>92.87</v>
          </cell>
          <cell r="G2369" t="str">
            <v>360 Main St</v>
          </cell>
          <cell r="H2369" t="str">
            <v>Credit Card</v>
          </cell>
          <cell r="I2369" t="str">
            <v>Pending</v>
          </cell>
          <cell r="J2369" t="str">
            <v>TRK31169396</v>
          </cell>
          <cell r="K2369">
            <v>5</v>
          </cell>
          <cell r="L2369" t="str">
            <v>FREESHIP</v>
          </cell>
          <cell r="M2369" t="str">
            <v>Facebook</v>
          </cell>
          <cell r="N2369">
            <v>185.74</v>
          </cell>
        </row>
        <row r="2370">
          <cell r="A2370" t="str">
            <v>ORD201168</v>
          </cell>
          <cell r="B2370">
            <v>45024</v>
          </cell>
          <cell r="C2370" t="str">
            <v>C89559</v>
          </cell>
          <cell r="D2370" t="str">
            <v>Laptop</v>
          </cell>
          <cell r="E2370">
            <v>2</v>
          </cell>
          <cell r="F2370">
            <v>331.42</v>
          </cell>
          <cell r="G2370" t="str">
            <v>297 Main St</v>
          </cell>
          <cell r="H2370" t="str">
            <v>Credit Card</v>
          </cell>
          <cell r="I2370" t="str">
            <v>Delivered</v>
          </cell>
          <cell r="J2370" t="str">
            <v>TRK82838108</v>
          </cell>
          <cell r="K2370">
            <v>6</v>
          </cell>
          <cell r="L2370" t="str">
            <v>WINTER15</v>
          </cell>
          <cell r="M2370" t="str">
            <v>Google</v>
          </cell>
          <cell r="N2370">
            <v>662.84</v>
          </cell>
        </row>
        <row r="2371">
          <cell r="A2371" t="str">
            <v>ORD201169</v>
          </cell>
          <cell r="B2371">
            <v>45649</v>
          </cell>
          <cell r="C2371" t="str">
            <v>C15849</v>
          </cell>
          <cell r="D2371" t="str">
            <v>Chair</v>
          </cell>
          <cell r="E2371">
            <v>1</v>
          </cell>
          <cell r="F2371">
            <v>525.42999999999995</v>
          </cell>
          <cell r="G2371" t="str">
            <v>643 Main St</v>
          </cell>
          <cell r="H2371" t="str">
            <v>Cash</v>
          </cell>
          <cell r="I2371" t="str">
            <v>Cancelled</v>
          </cell>
          <cell r="J2371" t="str">
            <v>TRK26794546</v>
          </cell>
          <cell r="K2371">
            <v>2</v>
          </cell>
          <cell r="L2371" t="str">
            <v>SAVE10</v>
          </cell>
          <cell r="M2371" t="str">
            <v>Instagram</v>
          </cell>
          <cell r="N2371">
            <v>525.42999999999995</v>
          </cell>
        </row>
        <row r="2372">
          <cell r="A2372" t="str">
            <v>ORD201170</v>
          </cell>
          <cell r="B2372">
            <v>45141</v>
          </cell>
          <cell r="C2372" t="str">
            <v>C94257</v>
          </cell>
          <cell r="D2372" t="str">
            <v>Printer</v>
          </cell>
          <cell r="E2372">
            <v>2</v>
          </cell>
          <cell r="F2372">
            <v>697.19</v>
          </cell>
          <cell r="G2372" t="str">
            <v>762 Main St</v>
          </cell>
          <cell r="H2372" t="str">
            <v>Cash</v>
          </cell>
          <cell r="I2372" t="str">
            <v>Returned</v>
          </cell>
          <cell r="J2372" t="str">
            <v>TRK40220743</v>
          </cell>
          <cell r="K2372">
            <v>7</v>
          </cell>
          <cell r="L2372" t="str">
            <v>FREESHIP</v>
          </cell>
          <cell r="M2372" t="str">
            <v>Email</v>
          </cell>
          <cell r="N2372">
            <v>1394.38</v>
          </cell>
        </row>
        <row r="2373">
          <cell r="A2373" t="str">
            <v>ORD201171</v>
          </cell>
          <cell r="B2373">
            <v>45166</v>
          </cell>
          <cell r="C2373" t="str">
            <v>C39911</v>
          </cell>
          <cell r="D2373" t="str">
            <v>Phone</v>
          </cell>
          <cell r="E2373">
            <v>4</v>
          </cell>
          <cell r="F2373">
            <v>518.4</v>
          </cell>
          <cell r="G2373" t="str">
            <v>699 Main St</v>
          </cell>
          <cell r="H2373" t="str">
            <v>Credit Card</v>
          </cell>
          <cell r="I2373" t="str">
            <v>Delivered</v>
          </cell>
          <cell r="J2373" t="str">
            <v>TRK80431998</v>
          </cell>
          <cell r="K2373">
            <v>7</v>
          </cell>
          <cell r="L2373" t="str">
            <v>SAVE10</v>
          </cell>
          <cell r="M2373" t="str">
            <v>Facebook</v>
          </cell>
          <cell r="N2373">
            <v>2073.6</v>
          </cell>
        </row>
        <row r="2374">
          <cell r="A2374" t="str">
            <v>ORD201172</v>
          </cell>
          <cell r="B2374">
            <v>45692</v>
          </cell>
          <cell r="C2374" t="str">
            <v>C28828</v>
          </cell>
          <cell r="D2374" t="str">
            <v>Desk</v>
          </cell>
          <cell r="E2374">
            <v>3</v>
          </cell>
          <cell r="F2374">
            <v>131.96</v>
          </cell>
          <cell r="G2374" t="str">
            <v>745 Main St</v>
          </cell>
          <cell r="H2374" t="str">
            <v>Credit Card</v>
          </cell>
          <cell r="I2374" t="str">
            <v>Pending</v>
          </cell>
          <cell r="J2374" t="str">
            <v>TRK32550359</v>
          </cell>
          <cell r="K2374">
            <v>8</v>
          </cell>
          <cell r="L2374" t="str">
            <v>No Coupon</v>
          </cell>
          <cell r="M2374" t="str">
            <v>Instagram</v>
          </cell>
          <cell r="N2374">
            <v>395.88</v>
          </cell>
        </row>
        <row r="2375">
          <cell r="A2375" t="str">
            <v>ORD201173</v>
          </cell>
          <cell r="B2375">
            <v>45569</v>
          </cell>
          <cell r="C2375" t="str">
            <v>C82921</v>
          </cell>
          <cell r="D2375" t="str">
            <v>Monitor</v>
          </cell>
          <cell r="E2375">
            <v>1</v>
          </cell>
          <cell r="F2375">
            <v>208.36</v>
          </cell>
          <cell r="G2375" t="str">
            <v>703 Main St</v>
          </cell>
          <cell r="H2375" t="str">
            <v>Online</v>
          </cell>
          <cell r="I2375" t="str">
            <v>Shipped</v>
          </cell>
          <cell r="J2375" t="str">
            <v>TRK31079911</v>
          </cell>
          <cell r="K2375">
            <v>4</v>
          </cell>
          <cell r="L2375" t="str">
            <v>FREESHIP</v>
          </cell>
          <cell r="M2375" t="str">
            <v>Email</v>
          </cell>
          <cell r="N2375">
            <v>208.36</v>
          </cell>
        </row>
        <row r="2376">
          <cell r="A2376" t="str">
            <v>ORD201174</v>
          </cell>
          <cell r="B2376">
            <v>45257</v>
          </cell>
          <cell r="C2376" t="str">
            <v>C50159</v>
          </cell>
          <cell r="D2376" t="str">
            <v>Printer</v>
          </cell>
          <cell r="E2376">
            <v>3</v>
          </cell>
          <cell r="F2376">
            <v>222.34</v>
          </cell>
          <cell r="G2376" t="str">
            <v>105 Main St</v>
          </cell>
          <cell r="H2376" t="str">
            <v>Credit Card</v>
          </cell>
          <cell r="I2376" t="str">
            <v>Returned</v>
          </cell>
          <cell r="J2376" t="str">
            <v>TRK53737452</v>
          </cell>
          <cell r="K2376">
            <v>5</v>
          </cell>
          <cell r="L2376" t="str">
            <v>WINTER15</v>
          </cell>
          <cell r="M2376" t="str">
            <v>Email</v>
          </cell>
          <cell r="N2376">
            <v>667.02</v>
          </cell>
        </row>
        <row r="2377">
          <cell r="A2377" t="str">
            <v>ORD201175</v>
          </cell>
          <cell r="B2377">
            <v>45545</v>
          </cell>
          <cell r="C2377" t="str">
            <v>C62512</v>
          </cell>
          <cell r="D2377" t="str">
            <v>Printer</v>
          </cell>
          <cell r="E2377">
            <v>3</v>
          </cell>
          <cell r="F2377">
            <v>91.74</v>
          </cell>
          <cell r="G2377" t="str">
            <v>368 Main St</v>
          </cell>
          <cell r="H2377" t="str">
            <v>Debit Card</v>
          </cell>
          <cell r="I2377" t="str">
            <v>Returned</v>
          </cell>
          <cell r="J2377" t="str">
            <v>TRK24139954</v>
          </cell>
          <cell r="K2377">
            <v>8</v>
          </cell>
          <cell r="L2377" t="str">
            <v>FREESHIP</v>
          </cell>
          <cell r="M2377" t="str">
            <v>Referral</v>
          </cell>
          <cell r="N2377">
            <v>275.22000000000003</v>
          </cell>
        </row>
        <row r="2378">
          <cell r="A2378" t="str">
            <v>ORD201176</v>
          </cell>
          <cell r="B2378">
            <v>45151</v>
          </cell>
          <cell r="C2378" t="str">
            <v>C39260</v>
          </cell>
          <cell r="D2378" t="str">
            <v>Tablet</v>
          </cell>
          <cell r="E2378">
            <v>2</v>
          </cell>
          <cell r="F2378">
            <v>213.83</v>
          </cell>
          <cell r="G2378" t="str">
            <v>374 Main St</v>
          </cell>
          <cell r="H2378" t="str">
            <v>Debit Card</v>
          </cell>
          <cell r="I2378" t="str">
            <v>Cancelled</v>
          </cell>
          <cell r="J2378" t="str">
            <v>TRK55587314</v>
          </cell>
          <cell r="K2378">
            <v>2</v>
          </cell>
          <cell r="L2378" t="str">
            <v>WINTER15</v>
          </cell>
          <cell r="M2378" t="str">
            <v>Email</v>
          </cell>
          <cell r="N2378">
            <v>427.66</v>
          </cell>
        </row>
        <row r="2379">
          <cell r="A2379" t="str">
            <v>ORD201177</v>
          </cell>
          <cell r="B2379">
            <v>45043</v>
          </cell>
          <cell r="C2379" t="str">
            <v>C23917</v>
          </cell>
          <cell r="D2379" t="str">
            <v>Printer</v>
          </cell>
          <cell r="E2379">
            <v>1</v>
          </cell>
          <cell r="F2379">
            <v>127.55</v>
          </cell>
          <cell r="G2379" t="str">
            <v>433 Main St</v>
          </cell>
          <cell r="H2379" t="str">
            <v>Cash</v>
          </cell>
          <cell r="I2379" t="str">
            <v>Shipped</v>
          </cell>
          <cell r="J2379" t="str">
            <v>TRK44434536</v>
          </cell>
          <cell r="K2379">
            <v>3</v>
          </cell>
          <cell r="L2379" t="str">
            <v>SAVE10</v>
          </cell>
          <cell r="M2379" t="str">
            <v>Referral</v>
          </cell>
          <cell r="N2379">
            <v>127.55</v>
          </cell>
        </row>
        <row r="2380">
          <cell r="A2380" t="str">
            <v>ORD201178</v>
          </cell>
          <cell r="B2380">
            <v>45543</v>
          </cell>
          <cell r="C2380" t="str">
            <v>C65107</v>
          </cell>
          <cell r="D2380" t="str">
            <v>Monitor</v>
          </cell>
          <cell r="E2380">
            <v>1</v>
          </cell>
          <cell r="F2380">
            <v>70.239999999999995</v>
          </cell>
          <cell r="G2380" t="str">
            <v>456 Main St</v>
          </cell>
          <cell r="H2380" t="str">
            <v>Credit Card</v>
          </cell>
          <cell r="I2380" t="str">
            <v>Cancelled</v>
          </cell>
          <cell r="J2380" t="str">
            <v>TRK10261578</v>
          </cell>
          <cell r="K2380">
            <v>4</v>
          </cell>
          <cell r="L2380" t="str">
            <v>FREESHIP</v>
          </cell>
          <cell r="M2380" t="str">
            <v>Google</v>
          </cell>
          <cell r="N2380">
            <v>70.239999999999995</v>
          </cell>
        </row>
        <row r="2381">
          <cell r="A2381" t="str">
            <v>ORD201179</v>
          </cell>
          <cell r="B2381">
            <v>44934</v>
          </cell>
          <cell r="C2381" t="str">
            <v>C84630</v>
          </cell>
          <cell r="D2381" t="str">
            <v>Laptop</v>
          </cell>
          <cell r="E2381">
            <v>5</v>
          </cell>
          <cell r="F2381">
            <v>518.54999999999995</v>
          </cell>
          <cell r="G2381" t="str">
            <v>907 Main St</v>
          </cell>
          <cell r="H2381" t="str">
            <v>Credit Card</v>
          </cell>
          <cell r="I2381" t="str">
            <v>Cancelled</v>
          </cell>
          <cell r="J2381" t="str">
            <v>TRK48054997</v>
          </cell>
          <cell r="K2381">
            <v>6</v>
          </cell>
          <cell r="L2381" t="str">
            <v>WINTER15</v>
          </cell>
          <cell r="M2381" t="str">
            <v>Instagram</v>
          </cell>
          <cell r="N2381">
            <v>2592.75</v>
          </cell>
        </row>
        <row r="2382">
          <cell r="A2382" t="str">
            <v>ORD201180</v>
          </cell>
          <cell r="B2382">
            <v>45230</v>
          </cell>
          <cell r="C2382" t="str">
            <v>C42235</v>
          </cell>
          <cell r="D2382" t="str">
            <v>Chair</v>
          </cell>
          <cell r="E2382">
            <v>4</v>
          </cell>
          <cell r="F2382">
            <v>298.36</v>
          </cell>
          <cell r="G2382" t="str">
            <v>722 Main St</v>
          </cell>
          <cell r="H2382" t="str">
            <v>Debit Card</v>
          </cell>
          <cell r="I2382" t="str">
            <v>Pending</v>
          </cell>
          <cell r="J2382" t="str">
            <v>TRK49379882</v>
          </cell>
          <cell r="K2382">
            <v>8</v>
          </cell>
          <cell r="L2382" t="str">
            <v>FREESHIP</v>
          </cell>
          <cell r="M2382" t="str">
            <v>Google</v>
          </cell>
          <cell r="N2382">
            <v>1193.44</v>
          </cell>
        </row>
        <row r="2383">
          <cell r="A2383" t="str">
            <v>ORD201181</v>
          </cell>
          <cell r="B2383">
            <v>45134</v>
          </cell>
          <cell r="C2383" t="str">
            <v>C70246</v>
          </cell>
          <cell r="D2383" t="str">
            <v>Desk</v>
          </cell>
          <cell r="E2383">
            <v>3</v>
          </cell>
          <cell r="F2383">
            <v>158.74</v>
          </cell>
          <cell r="G2383" t="str">
            <v>293 Main St</v>
          </cell>
          <cell r="H2383" t="str">
            <v>Online</v>
          </cell>
          <cell r="I2383" t="str">
            <v>Pending</v>
          </cell>
          <cell r="J2383" t="str">
            <v>TRK45708320</v>
          </cell>
          <cell r="K2383">
            <v>7</v>
          </cell>
          <cell r="L2383" t="str">
            <v>FREESHIP</v>
          </cell>
          <cell r="M2383" t="str">
            <v>Instagram</v>
          </cell>
          <cell r="N2383">
            <v>476.22</v>
          </cell>
        </row>
        <row r="2384">
          <cell r="A2384" t="str">
            <v>ORD201182</v>
          </cell>
          <cell r="B2384">
            <v>45822</v>
          </cell>
          <cell r="C2384" t="str">
            <v>C18473</v>
          </cell>
          <cell r="D2384" t="str">
            <v>Chair</v>
          </cell>
          <cell r="E2384">
            <v>2</v>
          </cell>
          <cell r="F2384">
            <v>420.29</v>
          </cell>
          <cell r="G2384" t="str">
            <v>700 Main St</v>
          </cell>
          <cell r="H2384" t="str">
            <v>Gift Card</v>
          </cell>
          <cell r="I2384" t="str">
            <v>Returned</v>
          </cell>
          <cell r="J2384" t="str">
            <v>TRK97834202</v>
          </cell>
          <cell r="K2384">
            <v>3</v>
          </cell>
          <cell r="L2384" t="str">
            <v>SAVE10</v>
          </cell>
          <cell r="M2384" t="str">
            <v>Google</v>
          </cell>
          <cell r="N2384">
            <v>840.58</v>
          </cell>
        </row>
        <row r="2385">
          <cell r="A2385" t="str">
            <v>ORD201183</v>
          </cell>
          <cell r="B2385">
            <v>45021</v>
          </cell>
          <cell r="C2385" t="str">
            <v>C12607</v>
          </cell>
          <cell r="D2385" t="str">
            <v>Desk</v>
          </cell>
          <cell r="E2385">
            <v>1</v>
          </cell>
          <cell r="F2385">
            <v>281.52</v>
          </cell>
          <cell r="G2385" t="str">
            <v>460 Main St</v>
          </cell>
          <cell r="H2385" t="str">
            <v>Gift Card</v>
          </cell>
          <cell r="I2385" t="str">
            <v>Shipped</v>
          </cell>
          <cell r="J2385" t="str">
            <v>TRK83653396</v>
          </cell>
          <cell r="K2385">
            <v>6</v>
          </cell>
          <cell r="L2385" t="str">
            <v>WINTER15</v>
          </cell>
          <cell r="M2385" t="str">
            <v>Referral</v>
          </cell>
          <cell r="N2385">
            <v>281.52</v>
          </cell>
        </row>
        <row r="2386">
          <cell r="A2386" t="str">
            <v>ORD201184</v>
          </cell>
          <cell r="B2386">
            <v>45196</v>
          </cell>
          <cell r="C2386" t="str">
            <v>C10222</v>
          </cell>
          <cell r="D2386" t="str">
            <v>Laptop</v>
          </cell>
          <cell r="E2386">
            <v>1</v>
          </cell>
          <cell r="F2386">
            <v>204.08</v>
          </cell>
          <cell r="G2386" t="str">
            <v>979 Main St</v>
          </cell>
          <cell r="H2386" t="str">
            <v>Gift Card</v>
          </cell>
          <cell r="I2386" t="str">
            <v>Returned</v>
          </cell>
          <cell r="J2386" t="str">
            <v>TRK86297895</v>
          </cell>
          <cell r="K2386">
            <v>4</v>
          </cell>
          <cell r="L2386" t="str">
            <v>No Coupon</v>
          </cell>
          <cell r="M2386" t="str">
            <v>Google</v>
          </cell>
          <cell r="N2386">
            <v>204.08</v>
          </cell>
        </row>
        <row r="2387">
          <cell r="A2387" t="str">
            <v>ORD201185</v>
          </cell>
          <cell r="B2387">
            <v>45481</v>
          </cell>
          <cell r="C2387" t="str">
            <v>C77344</v>
          </cell>
          <cell r="D2387" t="str">
            <v>Chair</v>
          </cell>
          <cell r="E2387">
            <v>1</v>
          </cell>
          <cell r="F2387">
            <v>343.31</v>
          </cell>
          <cell r="G2387" t="str">
            <v>777 Main St</v>
          </cell>
          <cell r="H2387" t="str">
            <v>Gift Card</v>
          </cell>
          <cell r="I2387" t="str">
            <v>Returned</v>
          </cell>
          <cell r="J2387" t="str">
            <v>TRK20605055</v>
          </cell>
          <cell r="K2387">
            <v>6</v>
          </cell>
          <cell r="L2387" t="str">
            <v>SAVE10</v>
          </cell>
          <cell r="M2387" t="str">
            <v>Google</v>
          </cell>
          <cell r="N2387">
            <v>343.31</v>
          </cell>
        </row>
        <row r="2388">
          <cell r="A2388" t="str">
            <v>ORD201186</v>
          </cell>
          <cell r="B2388">
            <v>45248</v>
          </cell>
          <cell r="C2388" t="str">
            <v>C65497</v>
          </cell>
          <cell r="D2388" t="str">
            <v>Monitor</v>
          </cell>
          <cell r="E2388">
            <v>1</v>
          </cell>
          <cell r="F2388">
            <v>163.32</v>
          </cell>
          <cell r="G2388" t="str">
            <v>676 Main St</v>
          </cell>
          <cell r="H2388" t="str">
            <v>Cash</v>
          </cell>
          <cell r="I2388" t="str">
            <v>Shipped</v>
          </cell>
          <cell r="J2388" t="str">
            <v>TRK83702761</v>
          </cell>
          <cell r="K2388">
            <v>6</v>
          </cell>
          <cell r="L2388" t="str">
            <v>WINTER15</v>
          </cell>
          <cell r="M2388" t="str">
            <v>Facebook</v>
          </cell>
          <cell r="N2388">
            <v>163.32</v>
          </cell>
        </row>
        <row r="2389">
          <cell r="A2389" t="str">
            <v>ORD201187</v>
          </cell>
          <cell r="B2389">
            <v>45364</v>
          </cell>
          <cell r="C2389" t="str">
            <v>C26340</v>
          </cell>
          <cell r="D2389" t="str">
            <v>Desk</v>
          </cell>
          <cell r="E2389">
            <v>2</v>
          </cell>
          <cell r="F2389">
            <v>184.6</v>
          </cell>
          <cell r="G2389" t="str">
            <v>562 Main St</v>
          </cell>
          <cell r="H2389" t="str">
            <v>Gift Card</v>
          </cell>
          <cell r="I2389" t="str">
            <v>Delivered</v>
          </cell>
          <cell r="J2389" t="str">
            <v>TRK59962703</v>
          </cell>
          <cell r="K2389">
            <v>7</v>
          </cell>
          <cell r="L2389" t="str">
            <v>WINTER15</v>
          </cell>
          <cell r="M2389" t="str">
            <v>Email</v>
          </cell>
          <cell r="N2389">
            <v>369.2</v>
          </cell>
        </row>
        <row r="2390">
          <cell r="A2390" t="str">
            <v>ORD201188</v>
          </cell>
          <cell r="B2390">
            <v>45206</v>
          </cell>
          <cell r="C2390" t="str">
            <v>C75619</v>
          </cell>
          <cell r="D2390" t="str">
            <v>Printer</v>
          </cell>
          <cell r="E2390">
            <v>2</v>
          </cell>
          <cell r="F2390">
            <v>371.29</v>
          </cell>
          <cell r="G2390" t="str">
            <v>924 Main St</v>
          </cell>
          <cell r="H2390" t="str">
            <v>Gift Card</v>
          </cell>
          <cell r="I2390" t="str">
            <v>Shipped</v>
          </cell>
          <cell r="J2390" t="str">
            <v>TRK23086941</v>
          </cell>
          <cell r="K2390">
            <v>5</v>
          </cell>
          <cell r="L2390" t="str">
            <v>WINTER15</v>
          </cell>
          <cell r="M2390" t="str">
            <v>Facebook</v>
          </cell>
          <cell r="N2390">
            <v>742.58</v>
          </cell>
        </row>
        <row r="2391">
          <cell r="A2391" t="str">
            <v>ORD201189</v>
          </cell>
          <cell r="B2391">
            <v>45521</v>
          </cell>
          <cell r="C2391" t="str">
            <v>C96136</v>
          </cell>
          <cell r="D2391" t="str">
            <v>Tablet</v>
          </cell>
          <cell r="E2391">
            <v>5</v>
          </cell>
          <cell r="F2391">
            <v>389.22</v>
          </cell>
          <cell r="G2391" t="str">
            <v>149 Main St</v>
          </cell>
          <cell r="H2391" t="str">
            <v>Cash</v>
          </cell>
          <cell r="I2391" t="str">
            <v>Cancelled</v>
          </cell>
          <cell r="J2391" t="str">
            <v>TRK60856682</v>
          </cell>
          <cell r="K2391">
            <v>7</v>
          </cell>
          <cell r="L2391" t="str">
            <v>No Coupon</v>
          </cell>
          <cell r="M2391" t="str">
            <v>Referral</v>
          </cell>
          <cell r="N2391">
            <v>1946.1</v>
          </cell>
        </row>
        <row r="2392">
          <cell r="A2392" t="str">
            <v>ORD201190</v>
          </cell>
          <cell r="B2392">
            <v>45816</v>
          </cell>
          <cell r="C2392" t="str">
            <v>C46886</v>
          </cell>
          <cell r="D2392" t="str">
            <v>Desk</v>
          </cell>
          <cell r="E2392">
            <v>3</v>
          </cell>
          <cell r="F2392">
            <v>616.39</v>
          </cell>
          <cell r="G2392" t="str">
            <v>754 Main St</v>
          </cell>
          <cell r="H2392" t="str">
            <v>Credit Card</v>
          </cell>
          <cell r="I2392" t="str">
            <v>Shipped</v>
          </cell>
          <cell r="J2392" t="str">
            <v>TRK82791646</v>
          </cell>
          <cell r="K2392">
            <v>6</v>
          </cell>
          <cell r="L2392" t="str">
            <v>FREESHIP</v>
          </cell>
          <cell r="M2392" t="str">
            <v>Instagram</v>
          </cell>
          <cell r="N2392">
            <v>1849.17</v>
          </cell>
        </row>
        <row r="2393">
          <cell r="A2393" t="str">
            <v>ORD201191</v>
          </cell>
          <cell r="B2393">
            <v>45698</v>
          </cell>
          <cell r="C2393" t="str">
            <v>C44148</v>
          </cell>
          <cell r="D2393" t="str">
            <v>Desk</v>
          </cell>
          <cell r="E2393">
            <v>4</v>
          </cell>
          <cell r="F2393">
            <v>376.43</v>
          </cell>
          <cell r="G2393" t="str">
            <v>809 Main St</v>
          </cell>
          <cell r="H2393" t="str">
            <v>Gift Card</v>
          </cell>
          <cell r="I2393" t="str">
            <v>Pending</v>
          </cell>
          <cell r="J2393" t="str">
            <v>TRK67872709</v>
          </cell>
          <cell r="K2393">
            <v>5</v>
          </cell>
          <cell r="L2393" t="str">
            <v>WINTER15</v>
          </cell>
          <cell r="M2393" t="str">
            <v>Instagram</v>
          </cell>
          <cell r="N2393">
            <v>1505.72</v>
          </cell>
        </row>
        <row r="2394">
          <cell r="A2394" t="str">
            <v>ORD201192</v>
          </cell>
          <cell r="B2394">
            <v>45350</v>
          </cell>
          <cell r="C2394" t="str">
            <v>C72007</v>
          </cell>
          <cell r="D2394" t="str">
            <v>Chair</v>
          </cell>
          <cell r="E2394">
            <v>3</v>
          </cell>
          <cell r="F2394">
            <v>432.85</v>
          </cell>
          <cell r="G2394" t="str">
            <v>999 Main St</v>
          </cell>
          <cell r="H2394" t="str">
            <v>Online</v>
          </cell>
          <cell r="I2394" t="str">
            <v>Pending</v>
          </cell>
          <cell r="J2394" t="str">
            <v>TRK16240916</v>
          </cell>
          <cell r="K2394">
            <v>4</v>
          </cell>
          <cell r="L2394" t="str">
            <v>No Coupon</v>
          </cell>
          <cell r="M2394" t="str">
            <v>Instagram</v>
          </cell>
          <cell r="N2394">
            <v>1298.55</v>
          </cell>
        </row>
        <row r="2395">
          <cell r="A2395" t="str">
            <v>ORD201193</v>
          </cell>
          <cell r="B2395">
            <v>45824</v>
          </cell>
          <cell r="C2395" t="str">
            <v>C45104</v>
          </cell>
          <cell r="D2395" t="str">
            <v>Tablet</v>
          </cell>
          <cell r="E2395">
            <v>1</v>
          </cell>
          <cell r="F2395">
            <v>687.89</v>
          </cell>
          <cell r="G2395" t="str">
            <v>348 Main St</v>
          </cell>
          <cell r="H2395" t="str">
            <v>Cash</v>
          </cell>
          <cell r="I2395" t="str">
            <v>Returned</v>
          </cell>
          <cell r="J2395" t="str">
            <v>TRK38559816</v>
          </cell>
          <cell r="K2395">
            <v>1</v>
          </cell>
          <cell r="L2395" t="str">
            <v>FREESHIP</v>
          </cell>
          <cell r="M2395" t="str">
            <v>Email</v>
          </cell>
          <cell r="N2395">
            <v>687.89</v>
          </cell>
        </row>
        <row r="2396">
          <cell r="A2396" t="str">
            <v>ORD201194</v>
          </cell>
          <cell r="B2396">
            <v>45249</v>
          </cell>
          <cell r="C2396" t="str">
            <v>C29885</v>
          </cell>
          <cell r="D2396" t="str">
            <v>Printer</v>
          </cell>
          <cell r="E2396">
            <v>3</v>
          </cell>
          <cell r="F2396">
            <v>189.44</v>
          </cell>
          <cell r="G2396" t="str">
            <v>725 Main St</v>
          </cell>
          <cell r="H2396" t="str">
            <v>Cash</v>
          </cell>
          <cell r="I2396" t="str">
            <v>Pending</v>
          </cell>
          <cell r="J2396" t="str">
            <v>TRK62067865</v>
          </cell>
          <cell r="K2396">
            <v>4</v>
          </cell>
          <cell r="L2396" t="str">
            <v>FREESHIP</v>
          </cell>
          <cell r="M2396" t="str">
            <v>Email</v>
          </cell>
          <cell r="N2396">
            <v>568.32000000000005</v>
          </cell>
        </row>
        <row r="2397">
          <cell r="A2397" t="str">
            <v>ORD201195</v>
          </cell>
          <cell r="B2397">
            <v>45463</v>
          </cell>
          <cell r="C2397" t="str">
            <v>C21126</v>
          </cell>
          <cell r="D2397" t="str">
            <v>Desk</v>
          </cell>
          <cell r="E2397">
            <v>1</v>
          </cell>
          <cell r="F2397">
            <v>107.04</v>
          </cell>
          <cell r="G2397" t="str">
            <v>392 Main St</v>
          </cell>
          <cell r="H2397" t="str">
            <v>Credit Card</v>
          </cell>
          <cell r="I2397" t="str">
            <v>Cancelled</v>
          </cell>
          <cell r="J2397" t="str">
            <v>TRK38009181</v>
          </cell>
          <cell r="K2397">
            <v>6</v>
          </cell>
          <cell r="L2397" t="str">
            <v>FREESHIP</v>
          </cell>
          <cell r="M2397" t="str">
            <v>Google</v>
          </cell>
          <cell r="N2397">
            <v>107.04</v>
          </cell>
        </row>
        <row r="2398">
          <cell r="A2398" t="str">
            <v>ORD201196</v>
          </cell>
          <cell r="B2398">
            <v>45355</v>
          </cell>
          <cell r="C2398" t="str">
            <v>C20095</v>
          </cell>
          <cell r="D2398" t="str">
            <v>Monitor</v>
          </cell>
          <cell r="E2398">
            <v>2</v>
          </cell>
          <cell r="F2398">
            <v>662.53</v>
          </cell>
          <cell r="G2398" t="str">
            <v>778 Main St</v>
          </cell>
          <cell r="H2398" t="str">
            <v>Online</v>
          </cell>
          <cell r="I2398" t="str">
            <v>Cancelled</v>
          </cell>
          <cell r="J2398" t="str">
            <v>TRK69207593</v>
          </cell>
          <cell r="K2398">
            <v>5</v>
          </cell>
          <cell r="L2398" t="str">
            <v>No Coupon</v>
          </cell>
          <cell r="M2398" t="str">
            <v>Facebook</v>
          </cell>
          <cell r="N2398">
            <v>1325.06</v>
          </cell>
        </row>
        <row r="2399">
          <cell r="A2399" t="str">
            <v>ORD201197</v>
          </cell>
          <cell r="B2399">
            <v>45120</v>
          </cell>
          <cell r="C2399" t="str">
            <v>C79674</v>
          </cell>
          <cell r="D2399" t="str">
            <v>Tablet</v>
          </cell>
          <cell r="E2399">
            <v>2</v>
          </cell>
          <cell r="F2399">
            <v>436.84</v>
          </cell>
          <cell r="G2399" t="str">
            <v>275 Main St</v>
          </cell>
          <cell r="H2399" t="str">
            <v>Online</v>
          </cell>
          <cell r="I2399" t="str">
            <v>Delivered</v>
          </cell>
          <cell r="J2399" t="str">
            <v>TRK88039356</v>
          </cell>
          <cell r="K2399">
            <v>2</v>
          </cell>
          <cell r="L2399" t="str">
            <v>FREESHIP</v>
          </cell>
          <cell r="M2399" t="str">
            <v>Instagram</v>
          </cell>
          <cell r="N2399">
            <v>873.68</v>
          </cell>
        </row>
        <row r="2400">
          <cell r="A2400" t="str">
            <v>ORD201198</v>
          </cell>
          <cell r="B2400">
            <v>45526</v>
          </cell>
          <cell r="C2400" t="str">
            <v>C64753</v>
          </cell>
          <cell r="D2400" t="str">
            <v>Chair</v>
          </cell>
          <cell r="E2400">
            <v>4</v>
          </cell>
          <cell r="F2400">
            <v>262.52</v>
          </cell>
          <cell r="G2400" t="str">
            <v>509 Main St</v>
          </cell>
          <cell r="H2400" t="str">
            <v>Debit Card</v>
          </cell>
          <cell r="I2400" t="str">
            <v>Cancelled</v>
          </cell>
          <cell r="J2400" t="str">
            <v>TRK71683331</v>
          </cell>
          <cell r="K2400">
            <v>4</v>
          </cell>
          <cell r="L2400" t="str">
            <v>WINTER15</v>
          </cell>
          <cell r="M2400" t="str">
            <v>Instagram</v>
          </cell>
          <cell r="N2400">
            <v>1050.08</v>
          </cell>
        </row>
        <row r="2401">
          <cell r="A2401" t="str">
            <v>ORD201199</v>
          </cell>
          <cell r="B2401">
            <v>45088</v>
          </cell>
          <cell r="C2401" t="str">
            <v>C57502</v>
          </cell>
          <cell r="D2401" t="str">
            <v>Tablet</v>
          </cell>
          <cell r="E2401">
            <v>4</v>
          </cell>
          <cell r="F2401">
            <v>560.58000000000004</v>
          </cell>
          <cell r="G2401" t="str">
            <v>201 Main St</v>
          </cell>
          <cell r="H2401" t="str">
            <v>Gift Card</v>
          </cell>
          <cell r="I2401" t="str">
            <v>Returned</v>
          </cell>
          <cell r="J2401" t="str">
            <v>TRK51116746</v>
          </cell>
          <cell r="K2401">
            <v>6</v>
          </cell>
          <cell r="L2401" t="str">
            <v>SAVE10</v>
          </cell>
          <cell r="M2401" t="str">
            <v>Referral</v>
          </cell>
          <cell r="N2401">
            <v>2242.3200000000002</v>
          </cell>
        </row>
      </sheetData>
      <sheetData sheetId="1"/>
      <sheetData sheetId="2"/>
    </sheetDataSet>
  </externalBook>
</externalLink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Project%201_Cleaned%20Dataset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67.407898379628" backgroundQuery="1" createdVersion="8" refreshedVersion="8" minRefreshableVersion="3" recordCount="0" supportSubquery="1" supportAdvancedDrill="1" xr:uid="{DD20C248-D0BD-40A7-BF1C-E2A34B5DA46E}">
  <cacheSource type="external" connectionId="1"/>
  <cacheFields count="2">
    <cacheField name="[Measures].[Count of Order ID]" caption="Count of Order ID" numFmtId="0" hierarchy="21" level="32767"/>
    <cacheField name="[Range].[Coupon Code].[Coupon Code]" caption="Coupon Code" numFmtId="0" hierarchy="11" level="1">
      <sharedItems count="4">
        <s v="FREESHIP"/>
        <s v="No Coupon"/>
        <s v="SAVE10"/>
        <s v="WINTER15"/>
      </sharedItems>
    </cacheField>
  </cacheFields>
  <cacheHierarchies count="23">
    <cacheHierarchy uniqueName="[Range].[Order ID]" caption="Order ID" attribute="1" defaultMemberUniqueName="[Range].[Order ID].[All]" allUniqueName="[Range].[Order ID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 Price]" caption="Unit Price" attribute="1" defaultMemberUniqueName="[Range].[Unit Price].[All]" allUniqueName="[Range].[Unit Price].[All]" dimensionUniqueName="[Range]" displayFolder="" count="0" memberValueDatatype="5" unbalanced="0"/>
    <cacheHierarchy uniqueName="[Range].[Shipping Address]" caption="Shipping Address" attribute="1" defaultMemberUniqueName="[Range].[Shipping Address].[All]" allUniqueName="[Range].[Shipping Address].[All]" dimensionUniqueName="[Range]" displayFolder="" count="0" memberValueDatatype="130" unbalanced="0"/>
    <cacheHierarchy uniqueName="[Range].[Payment Method]" caption="Payment Method" attribute="1" defaultMemberUniqueName="[Range].[Payment Method].[All]" allUniqueName="[Range].[Payment Method].[All]" dimensionUniqueName="[Range]" displayFolder="" count="0" memberValueDatatype="130" unbalanced="0"/>
    <cacheHierarchy uniqueName="[Range].[Order Status]" caption="Order Status" attribute="1" defaultMemberUniqueName="[Range].[Order Status].[All]" allUniqueName="[Range].[Order Status].[All]" dimensionUniqueName="[Range]" displayFolder="" count="0" memberValueDatatype="130" unbalanced="0"/>
    <cacheHierarchy uniqueName="[Range].[Tracking Number]" caption="Tracking Number" attribute="1" defaultMemberUniqueName="[Range].[Tracking Number].[All]" allUniqueName="[Range].[Tracking Number].[All]" dimensionUniqueName="[Range]" displayFolder="" count="0" memberValueDatatype="130" unbalanced="0"/>
    <cacheHierarchy uniqueName="[Range].[Items In Cart]" caption="Items In Cart" attribute="1" defaultMemberUniqueName="[Range].[Items In Cart].[All]" allUniqueName="[Range].[Items In Cart].[All]" dimensionUniqueName="[Range]" displayFolder="" count="0" memberValueDatatype="20" unbalanced="0"/>
    <cacheHierarchy uniqueName="[Range].[Coupon Code]" caption="Coupon Code" attribute="1" defaultMemberUniqueName="[Range].[Coupon Code].[All]" allUniqueName="[Range].[Coupon Code].[All]" dimensionUniqueName="[Range]" displayFolder="" count="2" memberValueDatatype="130" unbalanced="0">
      <fieldsUsage count="2">
        <fieldUsage x="-1"/>
        <fieldUsage x="1"/>
      </fieldsUsage>
    </cacheHierarchy>
    <cacheHierarchy uniqueName="[Range].[Referral Source]" caption="Referral Source" attribute="1" defaultMemberUniqueName="[Range].[Referral Source].[All]" allUniqueName="[Range].[Referral Source].[All]" dimensionUniqueName="[Range]" displayFolder="" count="0" memberValueDatatype="130" unbalanced="0"/>
    <cacheHierarchy uniqueName="[Range].[Total Price]" caption="Total Price" attribute="1" defaultMemberUniqueName="[Range].[Total Price].[All]" allUniqueName="[Range].[Total Price].[All]" dimensionUniqueName="[Range]" displayFolder="" count="0" memberValueDatatype="5" unbalanced="0"/>
    <cacheHierarchy uniqueName="[Range].[Date (Year)]" caption="Date (Year)" attribute="1" defaultMemberUniqueName="[Range].[Date (Year)].[All]" allUniqueName="[Range].[Date (Year)].[All]" dimensionUniqueName="[Range]" displayFolder="" count="0" memberValueDatatype="130" unbalanced="0"/>
    <cacheHierarchy uniqueName="[Range].[Date (Quarter)]" caption="Date (Quarter)" attribute="1" defaultMemberUniqueName="[Range].[Date (Quarter)].[All]" allUniqueName="[Range].[Date (Quarter)].[All]" dimensionUniqueName="[Range]" displayFolder="" count="0" memberValueDatatype="13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otal Price]" caption="Sum of Total Price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 ID]" caption="Count of Order ID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 ID]" caption="Count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67.407901736115" backgroundQuery="1" createdVersion="8" refreshedVersion="8" minRefreshableVersion="3" recordCount="0" supportSubquery="1" supportAdvancedDrill="1" xr:uid="{6D8DD070-3AAA-4727-817B-6276911017AE}">
  <cacheSource type="external" connectionId="1"/>
  <cacheFields count="2">
    <cacheField name="[Measures].[Count of Customer ID]" caption="Count of Customer ID" numFmtId="0" hierarchy="22" level="32767"/>
    <cacheField name="[Range].[Payment Method].[Payment Method]" caption="Payment Method" numFmtId="0" hierarchy="7" level="1">
      <sharedItems count="5">
        <s v="Cash"/>
        <s v="Credit Card"/>
        <s v="Debit Card"/>
        <s v="Gift Card"/>
        <s v="Online"/>
      </sharedItems>
    </cacheField>
  </cacheFields>
  <cacheHierarchies count="23">
    <cacheHierarchy uniqueName="[Range].[Order ID]" caption="Order ID" attribute="1" defaultMemberUniqueName="[Range].[Order ID].[All]" allUniqueName="[Range].[Order ID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 Price]" caption="Unit Price" attribute="1" defaultMemberUniqueName="[Range].[Unit Price].[All]" allUniqueName="[Range].[Unit Price].[All]" dimensionUniqueName="[Range]" displayFolder="" count="0" memberValueDatatype="5" unbalanced="0"/>
    <cacheHierarchy uniqueName="[Range].[Shipping Address]" caption="Shipping Address" attribute="1" defaultMemberUniqueName="[Range].[Shipping Address].[All]" allUniqueName="[Range].[Shipping Address].[All]" dimensionUniqueName="[Range]" displayFolder="" count="0" memberValueDatatype="130" unbalanced="0"/>
    <cacheHierarchy uniqueName="[Range].[Payment Method]" caption="Payment Method" attribute="1" defaultMemberUniqueName="[Range].[Payment Method].[All]" allUniqueName="[Range].[Payment Method].[All]" dimensionUniqueName="[Range]" displayFolder="" count="2" memberValueDatatype="130" unbalanced="0">
      <fieldsUsage count="2">
        <fieldUsage x="-1"/>
        <fieldUsage x="1"/>
      </fieldsUsage>
    </cacheHierarchy>
    <cacheHierarchy uniqueName="[Range].[Order Status]" caption="Order Status" attribute="1" defaultMemberUniqueName="[Range].[Order Status].[All]" allUniqueName="[Range].[Order Status].[All]" dimensionUniqueName="[Range]" displayFolder="" count="0" memberValueDatatype="130" unbalanced="0"/>
    <cacheHierarchy uniqueName="[Range].[Tracking Number]" caption="Tracking Number" attribute="1" defaultMemberUniqueName="[Range].[Tracking Number].[All]" allUniqueName="[Range].[Tracking Number].[All]" dimensionUniqueName="[Range]" displayFolder="" count="0" memberValueDatatype="130" unbalanced="0"/>
    <cacheHierarchy uniqueName="[Range].[Items In Cart]" caption="Items In Cart" attribute="1" defaultMemberUniqueName="[Range].[Items In Cart].[All]" allUniqueName="[Range].[Items In Cart].[All]" dimensionUniqueName="[Range]" displayFolder="" count="0" memberValueDatatype="20" unbalanced="0"/>
    <cacheHierarchy uniqueName="[Range].[Coupon Code]" caption="Coupon Code" attribute="1" defaultMemberUniqueName="[Range].[Coupon Code].[All]" allUniqueName="[Range].[Coupon Code].[All]" dimensionUniqueName="[Range]" displayFolder="" count="0" memberValueDatatype="130" unbalanced="0"/>
    <cacheHierarchy uniqueName="[Range].[Referral Source]" caption="Referral Source" attribute="1" defaultMemberUniqueName="[Range].[Referral Source].[All]" allUniqueName="[Range].[Referral Source].[All]" dimensionUniqueName="[Range]" displayFolder="" count="0" memberValueDatatype="130" unbalanced="0"/>
    <cacheHierarchy uniqueName="[Range].[Total Price]" caption="Total Price" attribute="1" defaultMemberUniqueName="[Range].[Total Price].[All]" allUniqueName="[Range].[Total Price].[All]" dimensionUniqueName="[Range]" displayFolder="" count="0" memberValueDatatype="5" unbalanced="0"/>
    <cacheHierarchy uniqueName="[Range].[Date (Year)]" caption="Date (Year)" attribute="1" defaultMemberUniqueName="[Range].[Date (Year)].[All]" allUniqueName="[Range].[Date (Year)].[All]" dimensionUniqueName="[Range]" displayFolder="" count="0" memberValueDatatype="130" unbalanced="0"/>
    <cacheHierarchy uniqueName="[Range].[Date (Quarter)]" caption="Date (Quarter)" attribute="1" defaultMemberUniqueName="[Range].[Date (Quarter)].[All]" allUniqueName="[Range].[Date (Quarter)].[All]" dimensionUniqueName="[Range]" displayFolder="" count="0" memberValueDatatype="13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otal Price]" caption="Sum of Total Price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 ID]" caption="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 ID]" caption="Count of Customer ID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67.407899999998" backgroundQuery="1" createdVersion="8" refreshedVersion="8" minRefreshableVersion="3" recordCount="0" supportSubquery="1" supportAdvancedDrill="1" xr:uid="{38AEE723-10A9-4516-BBA6-EB65633F3145}">
  <cacheSource type="external" connectionId="1"/>
  <cacheFields count="2">
    <cacheField name="[Range].[Referral Source].[Referral Source]" caption="Referral Source" numFmtId="0" hierarchy="12" level="1">
      <sharedItems count="5">
        <s v="Email"/>
        <s v="Facebook"/>
        <s v="Google"/>
        <s v="Instagram"/>
        <s v="Referral"/>
      </sharedItems>
    </cacheField>
    <cacheField name="[Measures].[Count of Order ID]" caption="Count of Order ID" numFmtId="0" hierarchy="21" level="32767"/>
  </cacheFields>
  <cacheHierarchies count="23">
    <cacheHierarchy uniqueName="[Range].[Order ID]" caption="Order ID" attribute="1" defaultMemberUniqueName="[Range].[Order ID].[All]" allUniqueName="[Range].[Order ID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 Price]" caption="Unit Price" attribute="1" defaultMemberUniqueName="[Range].[Unit Price].[All]" allUniqueName="[Range].[Unit Price].[All]" dimensionUniqueName="[Range]" displayFolder="" count="0" memberValueDatatype="5" unbalanced="0"/>
    <cacheHierarchy uniqueName="[Range].[Shipping Address]" caption="Shipping Address" attribute="1" defaultMemberUniqueName="[Range].[Shipping Address].[All]" allUniqueName="[Range].[Shipping Address].[All]" dimensionUniqueName="[Range]" displayFolder="" count="0" memberValueDatatype="130" unbalanced="0"/>
    <cacheHierarchy uniqueName="[Range].[Payment Method]" caption="Payment Method" attribute="1" defaultMemberUniqueName="[Range].[Payment Method].[All]" allUniqueName="[Range].[Payment Method].[All]" dimensionUniqueName="[Range]" displayFolder="" count="0" memberValueDatatype="130" unbalanced="0"/>
    <cacheHierarchy uniqueName="[Range].[Order Status]" caption="Order Status" attribute="1" defaultMemberUniqueName="[Range].[Order Status].[All]" allUniqueName="[Range].[Order Status].[All]" dimensionUniqueName="[Range]" displayFolder="" count="0" memberValueDatatype="130" unbalanced="0"/>
    <cacheHierarchy uniqueName="[Range].[Tracking Number]" caption="Tracking Number" attribute="1" defaultMemberUniqueName="[Range].[Tracking Number].[All]" allUniqueName="[Range].[Tracking Number].[All]" dimensionUniqueName="[Range]" displayFolder="" count="0" memberValueDatatype="130" unbalanced="0"/>
    <cacheHierarchy uniqueName="[Range].[Items In Cart]" caption="Items In Cart" attribute="1" defaultMemberUniqueName="[Range].[Items In Cart].[All]" allUniqueName="[Range].[Items In Cart].[All]" dimensionUniqueName="[Range]" displayFolder="" count="0" memberValueDatatype="20" unbalanced="0"/>
    <cacheHierarchy uniqueName="[Range].[Coupon Code]" caption="Coupon Code" attribute="1" defaultMemberUniqueName="[Range].[Coupon Code].[All]" allUniqueName="[Range].[Coupon Code].[All]" dimensionUniqueName="[Range]" displayFolder="" count="0" memberValueDatatype="130" unbalanced="0"/>
    <cacheHierarchy uniqueName="[Range].[Referral Source]" caption="Referral Source" attribute="1" defaultMemberUniqueName="[Range].[Referral Source].[All]" allUniqueName="[Range].[Referral Sourc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Total Price]" caption="Total Price" attribute="1" defaultMemberUniqueName="[Range].[Total Price].[All]" allUniqueName="[Range].[Total Price].[All]" dimensionUniqueName="[Range]" displayFolder="" count="0" memberValueDatatype="5" unbalanced="0"/>
    <cacheHierarchy uniqueName="[Range].[Date (Year)]" caption="Date (Year)" attribute="1" defaultMemberUniqueName="[Range].[Date (Year)].[All]" allUniqueName="[Range].[Date (Year)].[All]" dimensionUniqueName="[Range]" displayFolder="" count="0" memberValueDatatype="130" unbalanced="0"/>
    <cacheHierarchy uniqueName="[Range].[Date (Quarter)]" caption="Date (Quarter)" attribute="1" defaultMemberUniqueName="[Range].[Date (Quarter)].[All]" allUniqueName="[Range].[Date (Quarter)].[All]" dimensionUniqueName="[Range]" displayFolder="" count="0" memberValueDatatype="13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otal Price]" caption="Sum of Total Price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 ID]" caption="Count of Order I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 ID]" caption="Count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67.372761921295" createdVersion="8" refreshedVersion="8" minRefreshableVersion="3" recordCount="1201" xr:uid="{C663F0F6-F533-498B-8B63-FC1F46902850}">
  <cacheSource type="worksheet">
    <worksheetSource ref="A1:N1048576" sheet="Sales Data" r:id="rId2"/>
  </cacheSource>
  <cacheFields count="14">
    <cacheField name="Order ID" numFmtId="0">
      <sharedItems containsBlank="1"/>
    </cacheField>
    <cacheField name="Date" numFmtId="164">
      <sharedItems containsNonDate="0" containsDate="1" containsString="0" containsBlank="1" minDate="2023-01-01T00:00:00" maxDate="2025-07-01T00:00:00"/>
    </cacheField>
    <cacheField name="Customer ID" numFmtId="0">
      <sharedItems containsBlank="1"/>
    </cacheField>
    <cacheField name="Product" numFmtId="49">
      <sharedItems containsBlank="1"/>
    </cacheField>
    <cacheField name="Quantity" numFmtId="1">
      <sharedItems containsString="0" containsBlank="1" containsNumber="1" containsInteger="1" minValue="1" maxValue="5"/>
    </cacheField>
    <cacheField name="Unit Price" numFmtId="43">
      <sharedItems containsString="0" containsBlank="1" containsNumber="1" minValue="11.39" maxValue="699.93"/>
    </cacheField>
    <cacheField name="Shipping Address" numFmtId="0">
      <sharedItems containsBlank="1"/>
    </cacheField>
    <cacheField name="Payment Method" numFmtId="49">
      <sharedItems containsBlank="1"/>
    </cacheField>
    <cacheField name="Order Status" numFmtId="49">
      <sharedItems containsBlank="1" count="6">
        <s v="Shipped"/>
        <s v="Cancelled"/>
        <s v="Returned"/>
        <s v="Delivered"/>
        <s v="Pending"/>
        <m/>
      </sharedItems>
    </cacheField>
    <cacheField name="Tracking Number" numFmtId="0">
      <sharedItems containsBlank="1"/>
    </cacheField>
    <cacheField name="Items In Cart" numFmtId="1">
      <sharedItems containsString="0" containsBlank="1" containsNumber="1" containsInteger="1" minValue="1" maxValue="10"/>
    </cacheField>
    <cacheField name="Coupon Code" numFmtId="49">
      <sharedItems containsBlank="1"/>
    </cacheField>
    <cacheField name="Referral Source" numFmtId="49">
      <sharedItems containsBlank="1"/>
    </cacheField>
    <cacheField name="Total Price" numFmtId="43">
      <sharedItems containsString="0" containsBlank="1" containsNumber="1" minValue="11.39" maxValue="3456.399999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67.407903125" backgroundQuery="1" createdVersion="8" refreshedVersion="8" minRefreshableVersion="3" recordCount="0" supportSubquery="1" supportAdvancedDrill="1" xr:uid="{46BB9AE0-03B2-45DE-B63F-4738230AD5AE}">
  <cacheSource type="external" connectionId="1"/>
  <cacheFields count="2">
    <cacheField name="[Range].[Product].[Product]" caption="Product" numFmtId="0" hierarchy="3" level="1">
      <sharedItems count="7">
        <s v="Chair"/>
        <s v="Desk"/>
        <s v="Laptop"/>
        <s v="Monitor"/>
        <s v="Phone"/>
        <s v="Printer"/>
        <s v="Tablet"/>
      </sharedItems>
    </cacheField>
    <cacheField name="[Measures].[Sum of Total Price]" caption="Sum of Total Price" numFmtId="0" hierarchy="20" level="32767"/>
  </cacheFields>
  <cacheHierarchies count="23">
    <cacheHierarchy uniqueName="[Range].[Order ID]" caption="Order ID" attribute="1" defaultMemberUniqueName="[Range].[Order ID].[All]" allUniqueName="[Range].[Order ID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2" memberValueDatatype="130" unbalanced="0">
      <fieldsUsage count="2">
        <fieldUsage x="-1"/>
        <fieldUsage x="0"/>
      </fieldsUsage>
    </cacheHierarchy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 Price]" caption="Unit Price" attribute="1" defaultMemberUniqueName="[Range].[Unit Price].[All]" allUniqueName="[Range].[Unit Price].[All]" dimensionUniqueName="[Range]" displayFolder="" count="0" memberValueDatatype="5" unbalanced="0"/>
    <cacheHierarchy uniqueName="[Range].[Shipping Address]" caption="Shipping Address" attribute="1" defaultMemberUniqueName="[Range].[Shipping Address].[All]" allUniqueName="[Range].[Shipping Address].[All]" dimensionUniqueName="[Range]" displayFolder="" count="0" memberValueDatatype="130" unbalanced="0"/>
    <cacheHierarchy uniqueName="[Range].[Payment Method]" caption="Payment Method" attribute="1" defaultMemberUniqueName="[Range].[Payment Method].[All]" allUniqueName="[Range].[Payment Method].[All]" dimensionUniqueName="[Range]" displayFolder="" count="0" memberValueDatatype="130" unbalanced="0"/>
    <cacheHierarchy uniqueName="[Range].[Order Status]" caption="Order Status" attribute="1" defaultMemberUniqueName="[Range].[Order Status].[All]" allUniqueName="[Range].[Order Status].[All]" dimensionUniqueName="[Range]" displayFolder="" count="0" memberValueDatatype="130" unbalanced="0"/>
    <cacheHierarchy uniqueName="[Range].[Tracking Number]" caption="Tracking Number" attribute="1" defaultMemberUniqueName="[Range].[Tracking Number].[All]" allUniqueName="[Range].[Tracking Number].[All]" dimensionUniqueName="[Range]" displayFolder="" count="0" memberValueDatatype="130" unbalanced="0"/>
    <cacheHierarchy uniqueName="[Range].[Items In Cart]" caption="Items In Cart" attribute="1" defaultMemberUniqueName="[Range].[Items In Cart].[All]" allUniqueName="[Range].[Items In Cart].[All]" dimensionUniqueName="[Range]" displayFolder="" count="0" memberValueDatatype="20" unbalanced="0"/>
    <cacheHierarchy uniqueName="[Range].[Coupon Code]" caption="Coupon Code" attribute="1" defaultMemberUniqueName="[Range].[Coupon Code].[All]" allUniqueName="[Range].[Coupon Code].[All]" dimensionUniqueName="[Range]" displayFolder="" count="0" memberValueDatatype="130" unbalanced="0"/>
    <cacheHierarchy uniqueName="[Range].[Referral Source]" caption="Referral Source" attribute="1" defaultMemberUniqueName="[Range].[Referral Source].[All]" allUniqueName="[Range].[Referral Source].[All]" dimensionUniqueName="[Range]" displayFolder="" count="0" memberValueDatatype="130" unbalanced="0"/>
    <cacheHierarchy uniqueName="[Range].[Total Price]" caption="Total Price" attribute="1" defaultMemberUniqueName="[Range].[Total Price].[All]" allUniqueName="[Range].[Total Price].[All]" dimensionUniqueName="[Range]" displayFolder="" count="0" memberValueDatatype="5" unbalanced="0"/>
    <cacheHierarchy uniqueName="[Range].[Date (Year)]" caption="Date (Year)" attribute="1" defaultMemberUniqueName="[Range].[Date (Year)].[All]" allUniqueName="[Range].[Date (Year)].[All]" dimensionUniqueName="[Range]" displayFolder="" count="0" memberValueDatatype="130" unbalanced="0"/>
    <cacheHierarchy uniqueName="[Range].[Date (Quarter)]" caption="Date (Quarter)" attribute="1" defaultMemberUniqueName="[Range].[Date (Quarter)].[All]" allUniqueName="[Range].[Date (Quarter)].[All]" dimensionUniqueName="[Range]" displayFolder="" count="0" memberValueDatatype="13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otal Price]" caption="Sum of Total Pric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 ID]" caption="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 ID]" caption="Count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80.619749999998" backgroundQuery="1" createdVersion="8" refreshedVersion="8" minRefreshableVersion="3" recordCount="0" supportSubquery="1" supportAdvancedDrill="1" xr:uid="{07568CE6-F6FF-4597-B622-942BC86888AE}">
  <cacheSource type="external" connectionId="1"/>
  <cacheFields count="4">
    <cacheField name="[Range].[Date].[Date]" caption="Date" numFmtId="0" hierarchy="1" level="1">
      <sharedItems containsSemiMixedTypes="0" containsNonDate="0" containsDate="1" containsString="0" minDate="2023-01-01T00:00:00" maxDate="2025-07-01T00:00:00" count="671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10T00:00:00"/>
        <d v="2023-01-11T00:00:00"/>
        <d v="2023-01-12T00:00:00"/>
        <d v="2023-01-13T00:00:00"/>
        <d v="2023-01-14T00:00:00"/>
        <d v="2023-01-15T00:00:00"/>
        <d v="2023-01-18T00:00:00"/>
        <d v="2023-01-20T00:00:00"/>
        <d v="2023-01-22T00:00:00"/>
        <d v="2023-01-23T00:00:00"/>
        <d v="2023-01-24T00:00:00"/>
        <d v="2023-01-25T00:00:00"/>
        <d v="2023-01-26T00:00:00"/>
        <d v="2023-01-28T00:00:00"/>
        <d v="2023-01-29T00:00:00"/>
        <d v="2023-01-31T00:00:00"/>
        <d v="2023-02-02T00:00:00"/>
        <d v="2023-02-03T00:00:00"/>
        <d v="2023-02-04T00:00:00"/>
        <d v="2023-02-05T00:00:00"/>
        <d v="2023-02-06T00:00:00"/>
        <d v="2023-02-08T00:00:00"/>
        <d v="2023-02-10T00:00:00"/>
        <d v="2023-02-11T00:00:00"/>
        <d v="2023-02-14T00:00:00"/>
        <d v="2023-02-15T00:00:00"/>
        <d v="2023-02-16T00:00:00"/>
        <d v="2023-02-17T00:00:00"/>
        <d v="2023-02-18T00:00:00"/>
        <d v="2023-02-20T00:00:00"/>
        <d v="2023-02-21T00:00:00"/>
        <d v="2023-02-22T00:00:00"/>
        <d v="2023-02-25T00:00:00"/>
        <d v="2023-02-26T00:00:00"/>
        <d v="2023-02-27T00:00:00"/>
        <d v="2023-02-28T00:00:00"/>
        <d v="2023-03-02T00:00:00"/>
        <d v="2023-03-04T00:00:00"/>
        <d v="2023-03-05T00:00:00"/>
        <d v="2023-03-08T00:00:00"/>
        <d v="2023-03-09T00:00:00"/>
        <d v="2023-03-10T00:00:00"/>
        <d v="2023-03-12T00:00:00"/>
        <d v="2023-03-14T00:00:00"/>
        <d v="2023-03-15T00:00:00"/>
        <d v="2023-03-16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31T00:00:00"/>
        <d v="2023-04-01T00:00:00"/>
        <d v="2023-04-03T00:00:00"/>
        <d v="2023-04-05T00:00:00"/>
        <d v="2023-04-06T00:00:00"/>
        <d v="2023-04-08T00:00:00"/>
        <d v="2023-04-09T00:00:00"/>
        <d v="2023-04-10T00:00:00"/>
        <d v="2023-04-11T00:00:00"/>
        <d v="2023-04-12T00:00:00"/>
        <d v="2023-04-14T00:00:00"/>
        <d v="2023-04-15T00:00:00"/>
        <d v="2023-04-16T00:00:00"/>
        <d v="2023-04-20T00:00:00"/>
        <d v="2023-04-21T00:00:00"/>
        <d v="2023-04-23T00:00:00"/>
        <d v="2023-04-24T00:00:00"/>
        <d v="2023-04-27T00:00:00"/>
        <d v="2023-04-28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8T00:00:00"/>
        <d v="2023-05-09T00:00:00"/>
        <d v="2023-05-11T00:00:00"/>
        <d v="2023-05-12T00:00:00"/>
        <d v="2023-05-13T00:00:00"/>
        <d v="2023-05-14T00:00:00"/>
        <d v="2023-05-16T00:00:00"/>
        <d v="2023-05-17T00:00:00"/>
        <d v="2023-05-18T00:00:00"/>
        <d v="2023-05-19T00:00:00"/>
        <d v="2023-05-20T00:00:00"/>
        <d v="2023-05-21T00:00:00"/>
        <d v="2023-05-23T00:00:00"/>
        <d v="2023-05-25T00:00:00"/>
        <d v="2023-05-26T00:00:00"/>
        <d v="2023-05-27T00:00:00"/>
        <d v="2023-05-28T00:00:00"/>
        <d v="2023-05-29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1T00:00:00"/>
        <d v="2023-06-12T00:00:00"/>
        <d v="2023-06-13T00:00:00"/>
        <d v="2023-06-15T00:00:00"/>
        <d v="2023-06-16T00:00:00"/>
        <d v="2023-06-17T00:00:00"/>
        <d v="2023-06-18T00:00:00"/>
        <d v="2023-06-20T00:00:00"/>
        <d v="2023-06-21T00:00:00"/>
        <d v="2023-06-23T00:00:00"/>
        <d v="2023-06-24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7T00:00:00"/>
        <d v="2023-07-18T00:00:00"/>
        <d v="2023-07-19T00:00:00"/>
        <d v="2023-07-20T00:00:00"/>
        <d v="2023-07-21T00:00:00"/>
        <d v="2023-07-23T00:00:00"/>
        <d v="2023-07-24T00:00:00"/>
        <d v="2023-07-25T00:00:00"/>
        <d v="2023-07-26T00:00:00"/>
        <d v="2023-07-27T00:00:00"/>
        <d v="2023-07-29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9T00:00:00"/>
        <d v="2023-08-10T00:00:00"/>
        <d v="2023-08-11T00:00:00"/>
        <d v="2023-08-13T00:00:00"/>
        <d v="2023-08-15T00:00:00"/>
        <d v="2023-08-17T00:00:00"/>
        <d v="2023-08-20T00:00:00"/>
        <d v="2023-08-21T00:00:00"/>
        <d v="2023-08-22T00:00:00"/>
        <d v="2023-08-23T00:00:00"/>
        <d v="2023-08-24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4T00:00:00"/>
        <d v="2023-09-05T00:00:00"/>
        <d v="2023-09-06T00:00:00"/>
        <d v="2023-09-07T00:00:00"/>
        <d v="2023-09-08T00:00:00"/>
        <d v="2023-09-10T00:00:00"/>
        <d v="2023-09-11T00:00:00"/>
        <d v="2023-09-13T00:00:00"/>
        <d v="2023-09-17T00:00:00"/>
        <d v="2023-09-18T00:00:00"/>
        <d v="2023-09-19T00:00:00"/>
        <d v="2023-09-21T00:00:00"/>
        <d v="2023-09-23T00:00:00"/>
        <d v="2023-09-24T00:00:00"/>
        <d v="2023-09-26T00:00:00"/>
        <d v="2023-09-27T00:00:00"/>
        <d v="2023-09-28T00:00:00"/>
        <d v="2023-09-29T00:00:00"/>
        <d v="2023-09-30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3T00:00:00"/>
        <d v="2023-10-14T00:00:00"/>
        <d v="2023-10-15T00:00:00"/>
        <d v="2023-10-16T00:00:00"/>
        <d v="2023-10-17T00:00:00"/>
        <d v="2023-10-18T00:00:00"/>
        <d v="2023-10-20T00:00:00"/>
        <d v="2023-10-22T00:00:00"/>
        <d v="2023-10-23T00:00:00"/>
        <d v="2023-10-24T00:00:00"/>
        <d v="2023-10-25T00:00:00"/>
        <d v="2023-10-27T00:00:00"/>
        <d v="2023-10-29T00:00:00"/>
        <d v="2023-10-30T00:00:00"/>
        <d v="2023-10-31T00:00:00"/>
        <d v="2023-11-02T00:00:00"/>
        <d v="2023-11-04T00:00:00"/>
        <d v="2023-11-05T00:00:00"/>
        <d v="2023-11-08T00:00:00"/>
        <d v="2023-11-09T00:00:00"/>
        <d v="2023-11-11T00:00:00"/>
        <d v="2023-11-12T00:00:00"/>
        <d v="2023-11-13T00:00:00"/>
        <d v="2023-11-14T00:00:00"/>
        <d v="2023-11-15T00:00:00"/>
        <d v="2023-11-18T00:00:00"/>
        <d v="2023-11-19T00:00:00"/>
        <d v="2023-11-21T00:00:00"/>
        <d v="2023-11-23T00:00:00"/>
        <d v="2023-11-24T00:00:00"/>
        <d v="2023-11-25T00:00:00"/>
        <d v="2023-11-26T00:00:00"/>
        <d v="2023-11-27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6T00:00:00"/>
        <d v="2023-12-27T00:00:00"/>
        <d v="2023-12-28T00:00:00"/>
        <d v="2023-12-29T00:00:00"/>
        <d v="2023-12-30T00:00:00"/>
        <d v="2024-01-01T00:00:00"/>
        <d v="2024-01-03T00:00:00"/>
        <d v="2024-01-05T00:00:00"/>
        <d v="2024-01-07T00:00:00"/>
        <d v="2024-01-08T00:00:00"/>
        <d v="2024-01-09T00:00:00"/>
        <d v="2024-01-10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20T00:00:00"/>
        <d v="2024-01-21T00:00:00"/>
        <d v="2024-01-22T00:00:00"/>
        <d v="2024-01-23T00:00:00"/>
        <d v="2024-01-24T00:00:00"/>
        <d v="2024-01-26T00:00:00"/>
        <d v="2024-01-29T00:00:00"/>
        <d v="2024-01-30T00:00:00"/>
        <d v="2024-02-01T00:00:00"/>
        <d v="2024-02-03T00:00:00"/>
        <d v="2024-02-04T00:00:00"/>
        <d v="2024-02-07T00:00:00"/>
        <d v="2024-02-08T00:00:00"/>
        <d v="2024-02-09T00:00:00"/>
        <d v="2024-02-10T00:00:00"/>
        <d v="2024-02-11T00:00:00"/>
        <d v="2024-02-13T00:00:00"/>
        <d v="2024-02-16T00:00:00"/>
        <d v="2024-02-17T00:00:00"/>
        <d v="2024-02-19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4T00:00:00"/>
        <d v="2024-03-05T00:00:00"/>
        <d v="2024-03-06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7T00:00:00"/>
        <d v="2024-03-18T00:00:00"/>
        <d v="2024-03-20T00:00:00"/>
        <d v="2024-03-23T00:00:00"/>
        <d v="2024-03-24T00:00:00"/>
        <d v="2024-03-26T00:00:00"/>
        <d v="2024-03-27T00:00:00"/>
        <d v="2024-03-29T00:00:00"/>
        <d v="2024-03-31T00:00:00"/>
        <d v="2024-04-04T00:00:00"/>
        <d v="2024-04-06T00:00:00"/>
        <d v="2024-04-07T00:00:00"/>
        <d v="2024-04-08T00:00:00"/>
        <d v="2024-04-09T00:00:00"/>
        <d v="2024-04-10T00:00:00"/>
        <d v="2024-04-11T00:00:00"/>
        <d v="2024-04-13T00:00:00"/>
        <d v="2024-04-15T00:00:00"/>
        <d v="2024-04-16T00:00:00"/>
        <d v="2024-04-17T00:00:00"/>
        <d v="2024-04-18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5-04T00:00:00"/>
        <d v="2024-05-06T00:00:00"/>
        <d v="2024-05-07T00:00:00"/>
        <d v="2024-05-09T00:00:00"/>
        <d v="2024-05-10T00:00:00"/>
        <d v="2024-05-12T00:00:00"/>
        <d v="2024-05-13T00:00:00"/>
        <d v="2024-05-14T00:00:00"/>
        <d v="2024-05-15T00:00:00"/>
        <d v="2024-05-16T00:00:00"/>
        <d v="2024-05-18T00:00:00"/>
        <d v="2024-05-20T00:00:00"/>
        <d v="2024-05-21T00:00:00"/>
        <d v="2024-05-24T00:00:00"/>
        <d v="2024-05-26T00:00:00"/>
        <d v="2024-05-27T00:00:00"/>
        <d v="2024-05-29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6T00:00:00"/>
        <d v="2024-06-17T00:00:00"/>
        <d v="2024-06-19T00:00:00"/>
        <d v="2024-06-20T00:00:00"/>
        <d v="2024-06-21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8T00:00:00"/>
        <d v="2024-07-09T00:00:00"/>
        <d v="2024-07-12T00:00:00"/>
        <d v="2024-07-13T00:00:00"/>
        <d v="2024-07-14T00:00:00"/>
        <d v="2024-07-15T00:00:00"/>
        <d v="2024-07-16T00:00:00"/>
        <d v="2024-07-18T00:00:00"/>
        <d v="2024-07-20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8-03T00:00:00"/>
        <d v="2024-08-04T00:00:00"/>
        <d v="2024-08-06T00:00:00"/>
        <d v="2024-08-11T00:00:00"/>
        <d v="2024-08-13T00:00:00"/>
        <d v="2024-08-17T00:00:00"/>
        <d v="2024-08-19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30T00:00:00"/>
        <d v="2024-08-31T00:00:00"/>
        <d v="2024-09-02T00:00:00"/>
        <d v="2024-09-03T00:00:00"/>
        <d v="2024-09-04T00:00:00"/>
        <d v="2024-09-06T00:00:00"/>
        <d v="2024-09-07T00:00:00"/>
        <d v="2024-09-08T00:00:00"/>
        <d v="2024-09-09T00:00:00"/>
        <d v="2024-09-10T00:00:00"/>
        <d v="2024-09-11T00:00:00"/>
        <d v="2024-09-14T00:00:00"/>
        <d v="2024-09-15T00:00:00"/>
        <d v="2024-09-16T00:00:00"/>
        <d v="2024-09-17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7T00:00:00"/>
        <d v="2024-09-28T00:00:00"/>
        <d v="2024-09-29T00:00:00"/>
        <d v="2024-09-30T00:00:00"/>
        <d v="2024-10-03T00:00:00"/>
        <d v="2024-10-04T00:00:00"/>
        <d v="2024-10-06T00:00:00"/>
        <d v="2024-10-07T00:00:00"/>
        <d v="2024-10-08T00:00:00"/>
        <d v="2024-10-10T00:00:00"/>
        <d v="2024-10-11T00:00:00"/>
        <d v="2024-10-14T00:00:00"/>
        <d v="2024-10-15T00:00:00"/>
        <d v="2024-10-16T00:00:00"/>
        <d v="2024-10-17T00:00:00"/>
        <d v="2024-10-18T00:00:00"/>
        <d v="2024-10-19T00:00:00"/>
        <d v="2024-10-22T00:00:00"/>
        <d v="2024-10-24T00:00:00"/>
        <d v="2024-10-25T00:00:00"/>
        <d v="2024-10-26T00:00:00"/>
        <d v="2024-10-27T00:00:00"/>
        <d v="2024-10-30T00:00:00"/>
        <d v="2024-11-01T00:00:00"/>
        <d v="2024-11-02T00:00:00"/>
        <d v="2024-11-05T00:00:00"/>
        <d v="2024-11-06T00:00:00"/>
        <d v="2024-11-08T00:00:00"/>
        <d v="2024-11-10T00:00:00"/>
        <d v="2024-11-11T00:00:00"/>
        <d v="2024-11-12T00:00:00"/>
        <d v="2024-11-15T00:00:00"/>
        <d v="2024-11-17T00:00:00"/>
        <d v="2024-11-18T00:00:00"/>
        <d v="2024-11-20T00:00:00"/>
        <d v="2024-11-23T00:00:00"/>
        <d v="2024-11-24T00:00:00"/>
        <d v="2024-11-25T00:00:00"/>
        <d v="2024-11-26T00:00:00"/>
        <d v="2024-11-27T00:00:00"/>
        <d v="2024-11-29T00:00:00"/>
        <d v="2024-11-30T00:00:00"/>
        <d v="2024-12-02T00:00:00"/>
        <d v="2024-12-03T00:00:00"/>
        <d v="2024-12-04T00:00:00"/>
        <d v="2024-12-05T00:00:00"/>
        <d v="2024-12-06T00:00:00"/>
        <d v="2024-12-07T00:00:00"/>
        <d v="2024-12-09T00:00:00"/>
        <d v="2024-12-10T00:00:00"/>
        <d v="2024-12-11T00:00:00"/>
        <d v="2024-12-13T00:00:00"/>
        <d v="2024-12-14T00:00:00"/>
        <d v="2024-12-15T00:00:00"/>
        <d v="2024-12-16T00:00:00"/>
        <d v="2024-12-18T00:00:00"/>
        <d v="2024-12-19T00:00:00"/>
        <d v="2024-12-20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30T00:00:00"/>
        <d v="2025-01-01T00:00:00"/>
        <d v="2025-01-02T00:00:00"/>
        <d v="2025-01-03T00:00:00"/>
        <d v="2025-01-04T00:00:00"/>
        <d v="2025-01-10T00:00:00"/>
        <d v="2025-01-11T00:00:00"/>
        <d v="2025-01-15T00:00:00"/>
        <d v="2025-01-16T00:00:00"/>
        <d v="2025-01-18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2-02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2T00:00:00"/>
        <d v="2025-02-14T00:00:00"/>
        <d v="2025-02-15T00:00:00"/>
        <d v="2025-02-16T00:00:00"/>
        <d v="2025-02-18T00:00:00"/>
        <d v="2025-02-21T00:00:00"/>
        <d v="2025-02-22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10T00:00:00"/>
        <d v="2025-03-11T00:00:00"/>
        <d v="2025-03-12T00:00:00"/>
        <d v="2025-03-14T00:00:00"/>
        <d v="2025-03-15T00:00:00"/>
        <d v="2025-03-16T00:00:00"/>
        <d v="2025-03-18T00:00:00"/>
        <d v="2025-03-19T00:00:00"/>
        <d v="2025-03-21T00:00:00"/>
        <d v="2025-03-22T00:00:00"/>
        <d v="2025-03-23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6T00:00:00"/>
        <d v="2025-04-07T00:00:00"/>
        <d v="2025-04-08T00:00:00"/>
        <d v="2025-04-09T00:00:00"/>
        <d v="2025-04-11T00:00:00"/>
        <d v="2025-04-12T00:00:00"/>
        <d v="2025-04-13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9T00:00:00"/>
        <d v="2025-04-30T00:00:00"/>
        <d v="2025-05-02T00:00:00"/>
        <d v="2025-05-03T00:00:00"/>
        <d v="2025-05-04T00:00:00"/>
        <d v="2025-05-06T00:00:00"/>
        <d v="2025-05-07T00:00:00"/>
        <d v="2025-05-08T00:00:00"/>
        <d v="2025-05-09T00:00:00"/>
        <d v="2025-05-10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4T00:00:00"/>
        <d v="2025-05-25T00:00:00"/>
        <d v="2025-05-26T00:00:00"/>
        <d v="2025-05-28T00:00:00"/>
        <d v="2025-05-30T00:00:00"/>
        <d v="2025-05-31T00:00:00"/>
        <d v="2025-06-01T00:00:00"/>
        <d v="2025-06-03T00:00:00"/>
        <d v="2025-06-04T00:00:00"/>
        <d v="2025-06-05T00:00:00"/>
        <d v="2025-06-07T00:00:00"/>
        <d v="2025-06-08T00:00:00"/>
        <d v="2025-06-09T00:00:00"/>
        <d v="2025-06-10T00:00:00"/>
        <d v="2025-06-11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7T00:00:00"/>
        <d v="2025-06-28T00:00:00"/>
        <d v="2025-06-30T00:00:00"/>
      </sharedItems>
    </cacheField>
    <cacheField name="[Measures].[Sum of Total Price]" caption="Sum of Total Price" numFmtId="0" hierarchy="20" level="32767"/>
    <cacheField name="[Range].[Date (Month)].[Date (Month)]" caption="Date (Month)" numFmtId="0" hierarchy="16" level="1">
      <sharedItems count="6">
        <s v="Jan"/>
        <s v="Feb"/>
        <s v="Mar"/>
        <s v="Apr"/>
        <s v="May"/>
        <s v="Jun"/>
      </sharedItems>
    </cacheField>
    <cacheField name="[Range].[Date (Year)].[Date (Year)]" caption="Date (Year)" numFmtId="0" hierarchy="14" level="1">
      <sharedItems count="3">
        <s v="2023"/>
        <s v="2024"/>
        <s v="2025"/>
      </sharedItems>
    </cacheField>
  </cacheFields>
  <cacheHierarchies count="23">
    <cacheHierarchy uniqueName="[Range].[Order ID]" caption="Order ID" attribute="1" defaultMemberUniqueName="[Range].[Order ID].[All]" allUniqueName="[Range].[Order ID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2" memberValueDatatype="7" unbalanced="0">
      <fieldsUsage count="2">
        <fieldUsage x="-1"/>
        <fieldUsage x="0"/>
      </fieldsUsage>
    </cacheHierarchy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 Price]" caption="Unit Price" attribute="1" defaultMemberUniqueName="[Range].[Unit Price].[All]" allUniqueName="[Range].[Unit Price].[All]" dimensionUniqueName="[Range]" displayFolder="" count="0" memberValueDatatype="5" unbalanced="0"/>
    <cacheHierarchy uniqueName="[Range].[Shipping Address]" caption="Shipping Address" attribute="1" defaultMemberUniqueName="[Range].[Shipping Address].[All]" allUniqueName="[Range].[Shipping Address].[All]" dimensionUniqueName="[Range]" displayFolder="" count="0" memberValueDatatype="130" unbalanced="0"/>
    <cacheHierarchy uniqueName="[Range].[Payment Method]" caption="Payment Method" attribute="1" defaultMemberUniqueName="[Range].[Payment Method].[All]" allUniqueName="[Range].[Payment Method].[All]" dimensionUniqueName="[Range]" displayFolder="" count="0" memberValueDatatype="130" unbalanced="0"/>
    <cacheHierarchy uniqueName="[Range].[Order Status]" caption="Order Status" attribute="1" defaultMemberUniqueName="[Range].[Order Status].[All]" allUniqueName="[Range].[Order Status].[All]" dimensionUniqueName="[Range]" displayFolder="" count="0" memberValueDatatype="130" unbalanced="0"/>
    <cacheHierarchy uniqueName="[Range].[Tracking Number]" caption="Tracking Number" attribute="1" defaultMemberUniqueName="[Range].[Tracking Number].[All]" allUniqueName="[Range].[Tracking Number].[All]" dimensionUniqueName="[Range]" displayFolder="" count="0" memberValueDatatype="130" unbalanced="0"/>
    <cacheHierarchy uniqueName="[Range].[Items In Cart]" caption="Items In Cart" attribute="1" defaultMemberUniqueName="[Range].[Items In Cart].[All]" allUniqueName="[Range].[Items In Cart].[All]" dimensionUniqueName="[Range]" displayFolder="" count="0" memberValueDatatype="20" unbalanced="0"/>
    <cacheHierarchy uniqueName="[Range].[Coupon Code]" caption="Coupon Code" attribute="1" defaultMemberUniqueName="[Range].[Coupon Code].[All]" allUniqueName="[Range].[Coupon Code].[All]" dimensionUniqueName="[Range]" displayFolder="" count="0" memberValueDatatype="130" unbalanced="0"/>
    <cacheHierarchy uniqueName="[Range].[Referral Source]" caption="Referral Source" attribute="1" defaultMemberUniqueName="[Range].[Referral Source].[All]" allUniqueName="[Range].[Referral Source].[All]" dimensionUniqueName="[Range]" displayFolder="" count="0" memberValueDatatype="130" unbalanced="0"/>
    <cacheHierarchy uniqueName="[Range].[Total Price]" caption="Total Price" attribute="1" defaultMemberUniqueName="[Range].[Total Price].[All]" allUniqueName="[Range].[Total Price].[All]" dimensionUniqueName="[Range]" displayFolder="" count="0" memberValueDatatype="5" unbalanced="0"/>
    <cacheHierarchy uniqueName="[Range].[Date (Year)]" caption="Date (Year)" attribute="1" defaultMemberUniqueName="[Range].[Date (Year)].[All]" allUniqueName="[Range].[Date (Year)].[All]" dimensionUniqueName="[Range]" displayFolder="" count="2" memberValueDatatype="130" unbalanced="0">
      <fieldsUsage count="2">
        <fieldUsage x="-1"/>
        <fieldUsage x="3"/>
      </fieldsUsage>
    </cacheHierarchy>
    <cacheHierarchy uniqueName="[Range].[Date (Quarter)]" caption="Date (Quarter)" attribute="1" defaultMemberUniqueName="[Range].[Date (Quarter)].[All]" allUniqueName="[Range].[Date (Quarter)].[All]" dimensionUniqueName="[Range]" displayFolder="" count="0" memberValueDatatype="130" unbalanced="0"/>
    <cacheHierarchy uniqueName="[Range].[Date (Month)]" caption="Date (Month)" attribute="1" defaultMemberUniqueName="[Range].[Date (Month)].[All]" allUniqueName="[Range].[Date (Month)].[All]" dimensionUniqueName="[Range]" displayFolder="" count="2" memberValueDatatype="130" unbalanced="0">
      <fieldsUsage count="2">
        <fieldUsage x="-1"/>
        <fieldUsage x="2"/>
      </fieldsUsage>
    </cacheHierarchy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otal Price]" caption="Sum of Total Pric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 ID]" caption="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 ID]" caption="Count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1">
  <r>
    <s v="ORD200000"/>
    <d v="2023-01-04T00:00:00"/>
    <s v="C72649"/>
    <s v="Monitor"/>
    <n v="5"/>
    <n v="570.62"/>
    <s v="928 Main St"/>
    <s v="Debit Card"/>
    <x v="0"/>
    <s v="TRK37947903"/>
    <n v="7"/>
    <s v="SAVE10"/>
    <s v="Instagram"/>
    <n v="2853.1"/>
  </r>
  <r>
    <s v="ORD200001"/>
    <d v="2024-08-23T00:00:00"/>
    <s v="C75739"/>
    <s v="Phone"/>
    <n v="2"/>
    <n v="151.35"/>
    <s v="823 Main St"/>
    <s v="Online"/>
    <x v="0"/>
    <s v="TRK91186779"/>
    <n v="3"/>
    <s v="SAVE10"/>
    <s v="Referral"/>
    <n v="302.7"/>
  </r>
  <r>
    <s v="ORD200002"/>
    <d v="2024-02-27T00:00:00"/>
    <s v="C81728"/>
    <s v="Tablet"/>
    <n v="5"/>
    <n v="550.67999999999995"/>
    <s v="512 Main St"/>
    <s v="Credit Card"/>
    <x v="1"/>
    <s v="TRK42903982"/>
    <n v="8"/>
    <s v="FREESHIP"/>
    <s v="Email"/>
    <n v="2753.3999999999996"/>
  </r>
  <r>
    <s v="ORD200003"/>
    <d v="2023-10-15T00:00:00"/>
    <s v="C33540"/>
    <s v="Chair"/>
    <n v="1"/>
    <n v="273.19"/>
    <s v="275 Main St"/>
    <s v="Debit Card"/>
    <x v="2"/>
    <s v="TRK62788070"/>
    <n v="5"/>
    <s v="SAVE10"/>
    <s v="Facebook"/>
    <n v="273.19"/>
  </r>
  <r>
    <s v="ORD200004"/>
    <d v="2025-05-08T00:00:00"/>
    <s v="C81840"/>
    <s v="Printer"/>
    <n v="4"/>
    <n v="626.01"/>
    <s v="668 Main St"/>
    <s v="Online"/>
    <x v="3"/>
    <s v="TRK29241424"/>
    <n v="8"/>
    <s v="SAVE10"/>
    <s v="Email"/>
    <n v="2504.04"/>
  </r>
  <r>
    <s v="ORD200005"/>
    <d v="2023-10-23T00:00:00"/>
    <s v="C37249"/>
    <s v="Phone"/>
    <n v="2"/>
    <n v="245.86"/>
    <s v="934 Main St"/>
    <s v="Credit Card"/>
    <x v="0"/>
    <s v="TRK72976927"/>
    <n v="4"/>
    <s v="SAVE10"/>
    <s v="Instagram"/>
    <n v="491.72"/>
  </r>
  <r>
    <s v="ORD200006"/>
    <d v="2025-06-17T00:00:00"/>
    <s v="C83492"/>
    <s v="Laptop"/>
    <n v="1"/>
    <n v="664.42"/>
    <s v="986 Main St"/>
    <s v="Gift Card"/>
    <x v="2"/>
    <s v="TRK96417362"/>
    <n v="6"/>
    <s v="SAVE10"/>
    <s v="Facebook"/>
    <n v="664.42"/>
  </r>
  <r>
    <s v="ORD200007"/>
    <d v="2023-05-12T00:00:00"/>
    <s v="C41460"/>
    <s v="Monitor"/>
    <n v="5"/>
    <n v="149.55000000000001"/>
    <s v="706 Main St"/>
    <s v="Cash"/>
    <x v="0"/>
    <s v="TRK78809193"/>
    <n v="9"/>
    <s v="FREESHIP"/>
    <s v="Facebook"/>
    <n v="747.75"/>
  </r>
  <r>
    <s v="ORD200008"/>
    <d v="2025-04-02T00:00:00"/>
    <s v="C26817"/>
    <s v="Phone"/>
    <n v="2"/>
    <n v="134.28"/>
    <s v="904 Main St"/>
    <s v="Gift Card"/>
    <x v="1"/>
    <s v="TRK61042692"/>
    <n v="2"/>
    <s v="No Coupon"/>
    <s v="Email"/>
    <n v="268.56"/>
  </r>
  <r>
    <s v="ORD200009"/>
    <d v="2023-11-21T00:00:00"/>
    <s v="C31946"/>
    <s v="Desk"/>
    <n v="4"/>
    <n v="509.38"/>
    <s v="102 Main St"/>
    <s v="Credit Card"/>
    <x v="0"/>
    <s v="TRK33478363"/>
    <n v="6"/>
    <s v="SAVE10"/>
    <s v="Google"/>
    <n v="2037.52"/>
  </r>
  <r>
    <s v="ORD200010"/>
    <d v="2023-12-29T00:00:00"/>
    <s v="C43443"/>
    <s v="Tablet"/>
    <n v="5"/>
    <n v="625.97"/>
    <s v="333 Main St"/>
    <s v="Credit Card"/>
    <x v="2"/>
    <s v="TRK98859248"/>
    <n v="9"/>
    <s v="WINTER15"/>
    <s v="Instagram"/>
    <n v="3129.8500000000004"/>
  </r>
  <r>
    <s v="ORD200011"/>
    <d v="2024-02-17T00:00:00"/>
    <s v="C93861"/>
    <s v="Monitor"/>
    <n v="3"/>
    <n v="49.14"/>
    <s v="831 Main St"/>
    <s v="Online"/>
    <x v="2"/>
    <s v="TRK48234646"/>
    <n v="7"/>
    <s v="SAVE10"/>
    <s v="Email"/>
    <n v="147.42000000000002"/>
  </r>
  <r>
    <s v="ORD200012"/>
    <d v="2024-10-15T00:00:00"/>
    <s v="C38785"/>
    <s v="Monitor"/>
    <n v="2"/>
    <n v="180.5"/>
    <s v="179 Main St"/>
    <s v="Debit Card"/>
    <x v="4"/>
    <s v="TRK20419991"/>
    <n v="6"/>
    <s v="FREESHIP"/>
    <s v="Referral"/>
    <n v="361"/>
  </r>
  <r>
    <s v="ORD200013"/>
    <d v="2023-08-30T00:00:00"/>
    <s v="C88348"/>
    <s v="Laptop"/>
    <n v="3"/>
    <n v="201.49"/>
    <s v="903 Main St"/>
    <s v="Credit Card"/>
    <x v="2"/>
    <s v="TRK81913874"/>
    <n v="4"/>
    <s v="FREESHIP"/>
    <s v="Facebook"/>
    <n v="604.47"/>
  </r>
  <r>
    <s v="ORD200014"/>
    <d v="2023-03-27T00:00:00"/>
    <s v="C98474"/>
    <s v="Tablet"/>
    <n v="2"/>
    <n v="393.33"/>
    <s v="980 Main St"/>
    <s v="Debit Card"/>
    <x v="4"/>
    <s v="TRK79186539"/>
    <n v="3"/>
    <s v="SAVE10"/>
    <s v="Instagram"/>
    <n v="786.66"/>
  </r>
  <r>
    <s v="ORD200015"/>
    <d v="2023-07-17T00:00:00"/>
    <s v="C39416"/>
    <s v="Printer"/>
    <n v="1"/>
    <n v="473.96"/>
    <s v="942 Main St"/>
    <s v="Cash"/>
    <x v="3"/>
    <s v="TRK54930938"/>
    <n v="3"/>
    <s v="No Coupon"/>
    <s v="Google"/>
    <n v="473.96"/>
  </r>
  <r>
    <s v="ORD200016"/>
    <d v="2023-01-24T00:00:00"/>
    <s v="C28976"/>
    <s v="Printer"/>
    <n v="2"/>
    <n v="533.80999999999995"/>
    <s v="914 Main St"/>
    <s v="Credit Card"/>
    <x v="4"/>
    <s v="TRK13194259"/>
    <n v="3"/>
    <s v="FREESHIP"/>
    <s v="Email"/>
    <n v="1067.6199999999999"/>
  </r>
  <r>
    <s v="ORD200017"/>
    <d v="2024-03-02T00:00:00"/>
    <s v="C60672"/>
    <s v="Tablet"/>
    <n v="1"/>
    <n v="423.4"/>
    <s v="382 Main St"/>
    <s v="Debit Card"/>
    <x v="0"/>
    <s v="TRK11972116"/>
    <n v="3"/>
    <s v="No Coupon"/>
    <s v="Referral"/>
    <n v="423.4"/>
  </r>
  <r>
    <s v="ORD200018"/>
    <d v="2025-03-26T00:00:00"/>
    <s v="C84329"/>
    <s v="Desk"/>
    <n v="1"/>
    <n v="431.44"/>
    <s v="891 Main St"/>
    <s v="Gift Card"/>
    <x v="4"/>
    <s v="TRK65191045"/>
    <n v="3"/>
    <s v="SAVE10"/>
    <s v="Facebook"/>
    <n v="431.44"/>
  </r>
  <r>
    <s v="ORD200019"/>
    <d v="2023-01-23T00:00:00"/>
    <s v="C14552"/>
    <s v="Monitor"/>
    <n v="5"/>
    <n v="224"/>
    <s v="273 Main St"/>
    <s v="Cash"/>
    <x v="2"/>
    <s v="TRK59101365"/>
    <n v="9"/>
    <s v="SAVE10"/>
    <s v="Google"/>
    <n v="1120"/>
  </r>
  <r>
    <s v="ORD200020"/>
    <d v="2023-05-08T00:00:00"/>
    <s v="C54829"/>
    <s v="Chair"/>
    <n v="5"/>
    <n v="62.51"/>
    <s v="587 Main St"/>
    <s v="Cash"/>
    <x v="4"/>
    <s v="TRK16718651"/>
    <n v="9"/>
    <s v="WINTER15"/>
    <s v="Instagram"/>
    <n v="312.55"/>
  </r>
  <r>
    <s v="ORD200021"/>
    <d v="2024-11-17T00:00:00"/>
    <s v="C99023"/>
    <s v="Monitor"/>
    <n v="4"/>
    <n v="342.95"/>
    <s v="569 Main St"/>
    <s v="Cash"/>
    <x v="3"/>
    <s v="TRK52646983"/>
    <n v="6"/>
    <s v="No Coupon"/>
    <s v="Google"/>
    <n v="1371.8"/>
  </r>
  <r>
    <s v="ORD200022"/>
    <d v="2023-01-29T00:00:00"/>
    <s v="C34416"/>
    <s v="Monitor"/>
    <n v="2"/>
    <n v="49.62"/>
    <s v="633 Main St"/>
    <s v="Online"/>
    <x v="4"/>
    <s v="TRK75937350"/>
    <n v="2"/>
    <s v="SAVE10"/>
    <s v="Google"/>
    <n v="99.24"/>
  </r>
  <r>
    <s v="ORD200023"/>
    <d v="2025-04-09T00:00:00"/>
    <s v="C42372"/>
    <s v="Phone"/>
    <n v="4"/>
    <n v="273.25"/>
    <s v="755 Main St"/>
    <s v="Debit Card"/>
    <x v="1"/>
    <s v="TRK36168083"/>
    <n v="5"/>
    <s v="FREESHIP"/>
    <s v="Referral"/>
    <n v="1093"/>
  </r>
  <r>
    <s v="ORD200024"/>
    <d v="2024-10-30T00:00:00"/>
    <s v="C17470"/>
    <s v="Laptop"/>
    <n v="2"/>
    <n v="230.95"/>
    <s v="956 Main St"/>
    <s v="Online"/>
    <x v="3"/>
    <s v="TRK28775057"/>
    <n v="3"/>
    <s v="WINTER15"/>
    <s v="Referral"/>
    <n v="461.9"/>
  </r>
  <r>
    <s v="ORD200025"/>
    <d v="2024-07-24T00:00:00"/>
    <s v="C42577"/>
    <s v="Monitor"/>
    <n v="1"/>
    <n v="399.98"/>
    <s v="709 Main St"/>
    <s v="Debit Card"/>
    <x v="3"/>
    <s v="TRK69423327"/>
    <n v="3"/>
    <s v="WINTER15"/>
    <s v="Email"/>
    <n v="399.98"/>
  </r>
  <r>
    <s v="ORD200026"/>
    <d v="2024-03-06T00:00:00"/>
    <s v="C21944"/>
    <s v="Laptop"/>
    <n v="5"/>
    <n v="59.55"/>
    <s v="296 Main St"/>
    <s v="Online"/>
    <x v="3"/>
    <s v="TRK80276812"/>
    <n v="6"/>
    <s v="No Coupon"/>
    <s v="Referral"/>
    <n v="297.75"/>
  </r>
  <r>
    <s v="ORD200027"/>
    <d v="2024-02-22T00:00:00"/>
    <s v="C97593"/>
    <s v="Printer"/>
    <n v="1"/>
    <n v="472.74"/>
    <s v="881 Main St"/>
    <s v="Online"/>
    <x v="0"/>
    <s v="TRK89117573"/>
    <n v="6"/>
    <s v="WINTER15"/>
    <s v="Google"/>
    <n v="472.74"/>
  </r>
  <r>
    <s v="ORD200028"/>
    <d v="2023-11-21T00:00:00"/>
    <s v="C59823"/>
    <s v="Phone"/>
    <n v="4"/>
    <n v="160.07"/>
    <s v="568 Main St"/>
    <s v="Online"/>
    <x v="4"/>
    <s v="TRK65895539"/>
    <n v="5"/>
    <s v="No Coupon"/>
    <s v="Email"/>
    <n v="640.28"/>
  </r>
  <r>
    <s v="ORD200029"/>
    <d v="2024-09-20T00:00:00"/>
    <s v="C33260"/>
    <s v="Desk"/>
    <n v="3"/>
    <n v="423.53"/>
    <s v="930 Main St"/>
    <s v="Credit Card"/>
    <x v="3"/>
    <s v="TRK59744090"/>
    <n v="6"/>
    <s v="SAVE10"/>
    <s v="Referral"/>
    <n v="1270.5899999999999"/>
  </r>
  <r>
    <s v="ORD200030"/>
    <d v="2025-03-22T00:00:00"/>
    <s v="C44267"/>
    <s v="Monitor"/>
    <n v="2"/>
    <n v="426.7"/>
    <s v="895 Main St"/>
    <s v="Online"/>
    <x v="4"/>
    <s v="TRK54751444"/>
    <n v="5"/>
    <s v="SAVE10"/>
    <s v="Referral"/>
    <n v="853.4"/>
  </r>
  <r>
    <s v="ORD200031"/>
    <d v="2023-06-30T00:00:00"/>
    <s v="C26445"/>
    <s v="Chair"/>
    <n v="3"/>
    <n v="500.08"/>
    <s v="996 Main St"/>
    <s v="Debit Card"/>
    <x v="2"/>
    <s v="TRK31229981"/>
    <n v="6"/>
    <s v="No Coupon"/>
    <s v="Facebook"/>
    <n v="1500.24"/>
  </r>
  <r>
    <s v="ORD200032"/>
    <d v="2023-05-01T00:00:00"/>
    <s v="C12388"/>
    <s v="Tablet"/>
    <n v="5"/>
    <n v="536.72"/>
    <s v="830 Main St"/>
    <s v="Cash"/>
    <x v="3"/>
    <s v="TRK99261395"/>
    <n v="10"/>
    <s v="No Coupon"/>
    <s v="Email"/>
    <n v="2683.6000000000004"/>
  </r>
  <r>
    <s v="ORD200033"/>
    <d v="2023-06-05T00:00:00"/>
    <s v="C52184"/>
    <s v="Chair"/>
    <n v="1"/>
    <n v="162.77000000000001"/>
    <s v="912 Main St"/>
    <s v="Online"/>
    <x v="1"/>
    <s v="TRK73312471"/>
    <n v="4"/>
    <s v="WINTER15"/>
    <s v="Facebook"/>
    <n v="162.77000000000001"/>
  </r>
  <r>
    <s v="ORD200034"/>
    <d v="2023-01-07T00:00:00"/>
    <s v="C67195"/>
    <s v="Chair"/>
    <n v="4"/>
    <n v="576.52"/>
    <s v="926 Main St"/>
    <s v="Credit Card"/>
    <x v="4"/>
    <s v="TRK55467915"/>
    <n v="5"/>
    <s v="WINTER15"/>
    <s v="Facebook"/>
    <n v="2306.08"/>
  </r>
  <r>
    <s v="ORD200035"/>
    <d v="2024-12-07T00:00:00"/>
    <s v="C50304"/>
    <s v="Monitor"/>
    <n v="2"/>
    <n v="465.15"/>
    <s v="128 Main St"/>
    <s v="Online"/>
    <x v="0"/>
    <s v="TRK46850888"/>
    <n v="2"/>
    <s v="SAVE10"/>
    <s v="Facebook"/>
    <n v="930.3"/>
  </r>
  <r>
    <s v="ORD200036"/>
    <d v="2025-05-08T00:00:00"/>
    <s v="C59337"/>
    <s v="Laptop"/>
    <n v="2"/>
    <n v="534.42999999999995"/>
    <s v="465 Main St"/>
    <s v="Debit Card"/>
    <x v="4"/>
    <s v="TRK50961250"/>
    <n v="5"/>
    <s v="No Coupon"/>
    <s v="Facebook"/>
    <n v="1068.8599999999999"/>
  </r>
  <r>
    <s v="ORD200037"/>
    <d v="2024-10-14T00:00:00"/>
    <s v="C10054"/>
    <s v="Laptop"/>
    <n v="2"/>
    <n v="76.739999999999995"/>
    <s v="409 Main St"/>
    <s v="Cash"/>
    <x v="2"/>
    <s v="TRK94005261"/>
    <n v="7"/>
    <s v="SAVE10"/>
    <s v="Instagram"/>
    <n v="153.47999999999999"/>
  </r>
  <r>
    <s v="ORD200038"/>
    <d v="2024-12-19T00:00:00"/>
    <s v="C15924"/>
    <s v="Laptop"/>
    <n v="1"/>
    <n v="245.89"/>
    <s v="549 Main St"/>
    <s v="Debit Card"/>
    <x v="3"/>
    <s v="TRK14835975"/>
    <n v="3"/>
    <s v="SAVE10"/>
    <s v="Google"/>
    <n v="245.89"/>
  </r>
  <r>
    <s v="ORD200039"/>
    <d v="2025-02-27T00:00:00"/>
    <s v="C96664"/>
    <s v="Printer"/>
    <n v="3"/>
    <n v="256.45999999999998"/>
    <s v="666 Main St"/>
    <s v="Credit Card"/>
    <x v="3"/>
    <s v="TRK85508960"/>
    <n v="4"/>
    <s v="SAVE10"/>
    <s v="Referral"/>
    <n v="769.37999999999988"/>
  </r>
  <r>
    <s v="ORD200040"/>
    <d v="2023-08-20T00:00:00"/>
    <s v="C84766"/>
    <s v="Desk"/>
    <n v="2"/>
    <n v="344.02"/>
    <s v="267 Main St"/>
    <s v="Online"/>
    <x v="3"/>
    <s v="TRK78967923"/>
    <n v="4"/>
    <s v="FREESHIP"/>
    <s v="Instagram"/>
    <n v="688.04"/>
  </r>
  <r>
    <s v="ORD200041"/>
    <d v="2023-12-05T00:00:00"/>
    <s v="C20212"/>
    <s v="Monitor"/>
    <n v="3"/>
    <n v="611.45000000000005"/>
    <s v="657 Main St"/>
    <s v="Gift Card"/>
    <x v="4"/>
    <s v="TRK69733327"/>
    <n v="4"/>
    <s v="FREESHIP"/>
    <s v="Instagram"/>
    <n v="1834.3500000000001"/>
  </r>
  <r>
    <s v="ORD200042"/>
    <d v="2024-05-06T00:00:00"/>
    <s v="C28712"/>
    <s v="Printer"/>
    <n v="2"/>
    <n v="151.66"/>
    <s v="980 Main St"/>
    <s v="Cash"/>
    <x v="1"/>
    <s v="TRK40772558"/>
    <n v="6"/>
    <s v="No Coupon"/>
    <s v="Instagram"/>
    <n v="303.32"/>
  </r>
  <r>
    <s v="ORD200043"/>
    <d v="2023-12-14T00:00:00"/>
    <s v="C60572"/>
    <s v="Chair"/>
    <n v="3"/>
    <n v="499.21"/>
    <s v="871 Main St"/>
    <s v="Online"/>
    <x v="1"/>
    <s v="TRK20351666"/>
    <n v="8"/>
    <s v="No Coupon"/>
    <s v="Instagram"/>
    <n v="1497.6299999999999"/>
  </r>
  <r>
    <s v="ORD200044"/>
    <d v="2025-04-21T00:00:00"/>
    <s v="C73225"/>
    <s v="Phone"/>
    <n v="2"/>
    <n v="550.17999999999995"/>
    <s v="996 Main St"/>
    <s v="Gift Card"/>
    <x v="2"/>
    <s v="TRK73848522"/>
    <n v="3"/>
    <s v="FREESHIP"/>
    <s v="Referral"/>
    <n v="1100.3599999999999"/>
  </r>
  <r>
    <s v="ORD200045"/>
    <d v="2024-02-10T00:00:00"/>
    <s v="C17388"/>
    <s v="Chair"/>
    <n v="1"/>
    <n v="317.25"/>
    <s v="157 Main St"/>
    <s v="Debit Card"/>
    <x v="2"/>
    <s v="TRK47077395"/>
    <n v="1"/>
    <s v="SAVE10"/>
    <s v="Facebook"/>
    <n v="317.25"/>
  </r>
  <r>
    <s v="ORD200046"/>
    <d v="2024-06-26T00:00:00"/>
    <s v="C43212"/>
    <s v="Monitor"/>
    <n v="4"/>
    <n v="550.14"/>
    <s v="223 Main St"/>
    <s v="Debit Card"/>
    <x v="4"/>
    <s v="TRK25100762"/>
    <n v="4"/>
    <s v="FREESHIP"/>
    <s v="Instagram"/>
    <n v="2200.56"/>
  </r>
  <r>
    <s v="ORD200047"/>
    <d v="2023-07-19T00:00:00"/>
    <s v="C38134"/>
    <s v="Desk"/>
    <n v="2"/>
    <n v="209.94"/>
    <s v="323 Main St"/>
    <s v="Credit Card"/>
    <x v="2"/>
    <s v="TRK42450754"/>
    <n v="3"/>
    <s v="FREESHIP"/>
    <s v="Email"/>
    <n v="419.88"/>
  </r>
  <r>
    <s v="ORD200048"/>
    <d v="2023-08-26T00:00:00"/>
    <s v="C12408"/>
    <s v="Monitor"/>
    <n v="2"/>
    <n v="80.77"/>
    <s v="464 Main St"/>
    <s v="Debit Card"/>
    <x v="0"/>
    <s v="TRK38938858"/>
    <n v="4"/>
    <s v="No Coupon"/>
    <s v="Google"/>
    <n v="161.54"/>
  </r>
  <r>
    <s v="ORD200049"/>
    <d v="2023-10-07T00:00:00"/>
    <s v="C11985"/>
    <s v="Printer"/>
    <n v="1"/>
    <n v="30.44"/>
    <s v="633 Main St"/>
    <s v="Credit Card"/>
    <x v="0"/>
    <s v="TRK53272402"/>
    <n v="1"/>
    <s v="SAVE10"/>
    <s v="Email"/>
    <n v="30.44"/>
  </r>
  <r>
    <s v="ORD200050"/>
    <d v="2023-07-31T00:00:00"/>
    <s v="C96494"/>
    <s v="Tablet"/>
    <n v="1"/>
    <n v="179.22"/>
    <s v="446 Main St"/>
    <s v="Online"/>
    <x v="1"/>
    <s v="TRK14675049"/>
    <n v="6"/>
    <s v="FREESHIP"/>
    <s v="Instagram"/>
    <n v="179.22"/>
  </r>
  <r>
    <s v="ORD200051"/>
    <d v="2024-12-30T00:00:00"/>
    <s v="C36778"/>
    <s v="Tablet"/>
    <n v="1"/>
    <n v="388.33"/>
    <s v="434 Main St"/>
    <s v="Cash"/>
    <x v="2"/>
    <s v="TRK67610289"/>
    <n v="2"/>
    <s v="SAVE10"/>
    <s v="Facebook"/>
    <n v="388.33"/>
  </r>
  <r>
    <s v="ORD200052"/>
    <d v="2024-09-08T00:00:00"/>
    <s v="C30513"/>
    <s v="Tablet"/>
    <n v="1"/>
    <n v="586.44000000000005"/>
    <s v="232 Main St"/>
    <s v="Online"/>
    <x v="2"/>
    <s v="TRK64320429"/>
    <n v="5"/>
    <s v="SAVE10"/>
    <s v="Facebook"/>
    <n v="586.44000000000005"/>
  </r>
  <r>
    <s v="ORD200053"/>
    <d v="2024-05-18T00:00:00"/>
    <s v="C67551"/>
    <s v="Phone"/>
    <n v="4"/>
    <n v="488.78"/>
    <s v="512 Main St"/>
    <s v="Online"/>
    <x v="2"/>
    <s v="TRK94992552"/>
    <n v="5"/>
    <s v="FREESHIP"/>
    <s v="Google"/>
    <n v="1955.12"/>
  </r>
  <r>
    <s v="ORD200054"/>
    <d v="2025-03-27T00:00:00"/>
    <s v="C48120"/>
    <s v="Chair"/>
    <n v="1"/>
    <n v="280.25"/>
    <s v="623 Main St"/>
    <s v="Online"/>
    <x v="4"/>
    <s v="TRK11014449"/>
    <n v="5"/>
    <s v="WINTER15"/>
    <s v="Email"/>
    <n v="280.25"/>
  </r>
  <r>
    <s v="ORD200055"/>
    <d v="2025-06-24T00:00:00"/>
    <s v="C95984"/>
    <s v="Printer"/>
    <n v="3"/>
    <n v="344.4"/>
    <s v="565 Main St"/>
    <s v="Online"/>
    <x v="1"/>
    <s v="TRK67434829"/>
    <n v="3"/>
    <s v="No Coupon"/>
    <s v="Facebook"/>
    <n v="1033.1999999999998"/>
  </r>
  <r>
    <s v="ORD200056"/>
    <d v="2023-05-21T00:00:00"/>
    <s v="C54298"/>
    <s v="Tablet"/>
    <n v="3"/>
    <n v="479.21"/>
    <s v="566 Main St"/>
    <s v="Cash"/>
    <x v="1"/>
    <s v="TRK62902341"/>
    <n v="5"/>
    <s v="WINTER15"/>
    <s v="Referral"/>
    <n v="1437.6299999999999"/>
  </r>
  <r>
    <s v="ORD200057"/>
    <d v="2023-01-22T00:00:00"/>
    <s v="C88036"/>
    <s v="Printer"/>
    <n v="5"/>
    <n v="314.27"/>
    <s v="842 Main St"/>
    <s v="Cash"/>
    <x v="2"/>
    <s v="TRK52470128"/>
    <n v="6"/>
    <s v="SAVE10"/>
    <s v="Instagram"/>
    <n v="1571.35"/>
  </r>
  <r>
    <s v="ORD200058"/>
    <d v="2023-01-15T00:00:00"/>
    <s v="C60190"/>
    <s v="Phone"/>
    <n v="4"/>
    <n v="474.69"/>
    <s v="202 Main St"/>
    <s v="Gift Card"/>
    <x v="1"/>
    <s v="TRK70857868"/>
    <n v="6"/>
    <s v="SAVE10"/>
    <s v="Google"/>
    <n v="1898.76"/>
  </r>
  <r>
    <s v="ORD200059"/>
    <d v="2024-09-11T00:00:00"/>
    <s v="C97603"/>
    <s v="Chair"/>
    <n v="4"/>
    <n v="593.27"/>
    <s v="811 Main St"/>
    <s v="Online"/>
    <x v="0"/>
    <s v="TRK47055028"/>
    <n v="5"/>
    <s v="No Coupon"/>
    <s v="Facebook"/>
    <n v="2373.08"/>
  </r>
  <r>
    <s v="ORD200060"/>
    <d v="2024-08-21T00:00:00"/>
    <s v="C39256"/>
    <s v="Desk"/>
    <n v="1"/>
    <n v="417.1"/>
    <s v="634 Main St"/>
    <s v="Debit Card"/>
    <x v="2"/>
    <s v="TRK23412025"/>
    <n v="3"/>
    <s v="FREESHIP"/>
    <s v="Referral"/>
    <n v="417.1"/>
  </r>
  <r>
    <s v="ORD200061"/>
    <d v="2024-03-24T00:00:00"/>
    <s v="C61618"/>
    <s v="Desk"/>
    <n v="4"/>
    <n v="122.2"/>
    <s v="104 Main St"/>
    <s v="Cash"/>
    <x v="3"/>
    <s v="TRK43458485"/>
    <n v="7"/>
    <s v="FREESHIP"/>
    <s v="Facebook"/>
    <n v="488.8"/>
  </r>
  <r>
    <s v="ORD200062"/>
    <d v="2023-08-22T00:00:00"/>
    <s v="C36497"/>
    <s v="Desk"/>
    <n v="2"/>
    <n v="43.15"/>
    <s v="691 Main St"/>
    <s v="Debit Card"/>
    <x v="4"/>
    <s v="TRK12102911"/>
    <n v="3"/>
    <s v="WINTER15"/>
    <s v="Email"/>
    <n v="86.3"/>
  </r>
  <r>
    <s v="ORD200063"/>
    <d v="2025-02-02T00:00:00"/>
    <s v="C96695"/>
    <s v="Chair"/>
    <n v="1"/>
    <n v="564.86"/>
    <s v="813 Main St"/>
    <s v="Debit Card"/>
    <x v="0"/>
    <s v="TRK64283851"/>
    <n v="6"/>
    <s v="WINTER15"/>
    <s v="Referral"/>
    <n v="564.86"/>
  </r>
  <r>
    <s v="ORD200064"/>
    <d v="2025-06-25T00:00:00"/>
    <s v="C49720"/>
    <s v="Printer"/>
    <n v="3"/>
    <n v="130.61000000000001"/>
    <s v="752 Main St"/>
    <s v="Debit Card"/>
    <x v="1"/>
    <s v="TRK55785217"/>
    <n v="4"/>
    <s v="FREESHIP"/>
    <s v="Facebook"/>
    <n v="391.83000000000004"/>
  </r>
  <r>
    <s v="ORD200065"/>
    <d v="2023-12-30T00:00:00"/>
    <s v="C97735"/>
    <s v="Monitor"/>
    <n v="5"/>
    <n v="81.7"/>
    <s v="385 Main St"/>
    <s v="Credit Card"/>
    <x v="3"/>
    <s v="TRK13743703"/>
    <n v="6"/>
    <s v="No Coupon"/>
    <s v="Instagram"/>
    <n v="408.5"/>
  </r>
  <r>
    <s v="ORD200066"/>
    <d v="2024-11-15T00:00:00"/>
    <s v="C18104"/>
    <s v="Chair"/>
    <n v="5"/>
    <n v="127.18"/>
    <s v="715 Main St"/>
    <s v="Cash"/>
    <x v="1"/>
    <s v="TRK15488568"/>
    <n v="9"/>
    <s v="SAVE10"/>
    <s v="Referral"/>
    <n v="635.90000000000009"/>
  </r>
  <r>
    <s v="ORD200067"/>
    <d v="2024-12-09T00:00:00"/>
    <s v="C25587"/>
    <s v="Printer"/>
    <n v="4"/>
    <n v="12.1"/>
    <s v="440 Main St"/>
    <s v="Debit Card"/>
    <x v="1"/>
    <s v="TRK55105323"/>
    <n v="8"/>
    <s v="No Coupon"/>
    <s v="Google"/>
    <n v="48.4"/>
  </r>
  <r>
    <s v="ORD200068"/>
    <d v="2023-12-11T00:00:00"/>
    <s v="C41598"/>
    <s v="Chair"/>
    <n v="3"/>
    <n v="490.92"/>
    <s v="709 Main St"/>
    <s v="Credit Card"/>
    <x v="4"/>
    <s v="TRK81665940"/>
    <n v="5"/>
    <s v="FREESHIP"/>
    <s v="Email"/>
    <n v="1472.76"/>
  </r>
  <r>
    <s v="ORD200069"/>
    <d v="2023-05-11T00:00:00"/>
    <s v="C43338"/>
    <s v="Monitor"/>
    <n v="3"/>
    <n v="478.65"/>
    <s v="552 Main St"/>
    <s v="Online"/>
    <x v="0"/>
    <s v="TRK35241775"/>
    <n v="4"/>
    <s v="No Coupon"/>
    <s v="Referral"/>
    <n v="1435.9499999999998"/>
  </r>
  <r>
    <s v="ORD200070"/>
    <d v="2023-05-26T00:00:00"/>
    <s v="C25123"/>
    <s v="Desk"/>
    <n v="1"/>
    <n v="629.21"/>
    <s v="384 Main St"/>
    <s v="Gift Card"/>
    <x v="4"/>
    <s v="TRK27812282"/>
    <n v="2"/>
    <s v="FREESHIP"/>
    <s v="Instagram"/>
    <n v="629.21"/>
  </r>
  <r>
    <s v="ORD200071"/>
    <d v="2025-06-10T00:00:00"/>
    <s v="C37454"/>
    <s v="Monitor"/>
    <n v="3"/>
    <n v="434.45"/>
    <s v="923 Main St"/>
    <s v="Credit Card"/>
    <x v="4"/>
    <s v="TRK28252730"/>
    <n v="4"/>
    <s v="No Coupon"/>
    <s v="Referral"/>
    <n v="1303.3499999999999"/>
  </r>
  <r>
    <s v="ORD200072"/>
    <d v="2024-12-22T00:00:00"/>
    <s v="C19451"/>
    <s v="Tablet"/>
    <n v="4"/>
    <n v="589.44000000000005"/>
    <s v="942 Main St"/>
    <s v="Gift Card"/>
    <x v="2"/>
    <s v="TRK87787793"/>
    <n v="5"/>
    <s v="No Coupon"/>
    <s v="Facebook"/>
    <n v="2357.7600000000002"/>
  </r>
  <r>
    <s v="ORD200073"/>
    <d v="2023-05-03T00:00:00"/>
    <s v="C17269"/>
    <s v="Monitor"/>
    <n v="4"/>
    <n v="433.45"/>
    <s v="129 Main St"/>
    <s v="Gift Card"/>
    <x v="1"/>
    <s v="TRK79608389"/>
    <n v="4"/>
    <s v="No Coupon"/>
    <s v="Facebook"/>
    <n v="1733.8"/>
  </r>
  <r>
    <s v="ORD200074"/>
    <d v="2023-06-24T00:00:00"/>
    <s v="C25382"/>
    <s v="Phone"/>
    <n v="5"/>
    <n v="90.87"/>
    <s v="622 Main St"/>
    <s v="Cash"/>
    <x v="4"/>
    <s v="TRK64691287"/>
    <n v="5"/>
    <s v="No Coupon"/>
    <s v="Instagram"/>
    <n v="454.35"/>
  </r>
  <r>
    <s v="ORD200075"/>
    <d v="2023-09-26T00:00:00"/>
    <s v="C80651"/>
    <s v="Tablet"/>
    <n v="3"/>
    <n v="398.17"/>
    <s v="917 Main St"/>
    <s v="Debit Card"/>
    <x v="3"/>
    <s v="TRK14846720"/>
    <n v="5"/>
    <s v="SAVE10"/>
    <s v="Email"/>
    <n v="1194.51"/>
  </r>
  <r>
    <s v="ORD200076"/>
    <d v="2024-03-31T00:00:00"/>
    <s v="C58638"/>
    <s v="Laptop"/>
    <n v="4"/>
    <n v="382.88"/>
    <s v="239 Main St"/>
    <s v="Cash"/>
    <x v="1"/>
    <s v="TRK38224871"/>
    <n v="6"/>
    <s v="WINTER15"/>
    <s v="Email"/>
    <n v="1531.52"/>
  </r>
  <r>
    <s v="ORD200077"/>
    <d v="2024-05-24T00:00:00"/>
    <s v="C50121"/>
    <s v="Phone"/>
    <n v="1"/>
    <n v="583.17999999999995"/>
    <s v="348 Main St"/>
    <s v="Credit Card"/>
    <x v="2"/>
    <s v="TRK79810059"/>
    <n v="5"/>
    <s v="No Coupon"/>
    <s v="Google"/>
    <n v="583.17999999999995"/>
  </r>
  <r>
    <s v="ORD200078"/>
    <d v="2024-08-06T00:00:00"/>
    <s v="C32029"/>
    <s v="Printer"/>
    <n v="4"/>
    <n v="175.36"/>
    <s v="146 Main St"/>
    <s v="Debit Card"/>
    <x v="3"/>
    <s v="TRK68535532"/>
    <n v="4"/>
    <s v="FREESHIP"/>
    <s v="Instagram"/>
    <n v="701.44"/>
  </r>
  <r>
    <s v="ORD200079"/>
    <d v="2025-03-10T00:00:00"/>
    <s v="C76700"/>
    <s v="Tablet"/>
    <n v="2"/>
    <n v="311.91000000000003"/>
    <s v="103 Main St"/>
    <s v="Online"/>
    <x v="0"/>
    <s v="TRK13036341"/>
    <n v="2"/>
    <s v="No Coupon"/>
    <s v="Facebook"/>
    <n v="623.82000000000005"/>
  </r>
  <r>
    <s v="ORD200080"/>
    <d v="2023-06-27T00:00:00"/>
    <s v="C29041"/>
    <s v="Phone"/>
    <n v="3"/>
    <n v="589.55999999999995"/>
    <s v="591 Main St"/>
    <s v="Online"/>
    <x v="2"/>
    <s v="TRK28840655"/>
    <n v="6"/>
    <s v="No Coupon"/>
    <s v="Facebook"/>
    <n v="1768.6799999999998"/>
  </r>
  <r>
    <s v="ORD200081"/>
    <d v="2023-06-08T00:00:00"/>
    <s v="C29314"/>
    <s v="Monitor"/>
    <n v="2"/>
    <n v="394.3"/>
    <s v="496 Main St"/>
    <s v="Cash"/>
    <x v="0"/>
    <s v="TRK59876213"/>
    <n v="6"/>
    <s v="FREESHIP"/>
    <s v="Email"/>
    <n v="788.6"/>
  </r>
  <r>
    <s v="ORD200082"/>
    <d v="2024-01-05T00:00:00"/>
    <s v="C65799"/>
    <s v="Tablet"/>
    <n v="4"/>
    <n v="565.20000000000005"/>
    <s v="971 Main St"/>
    <s v="Debit Card"/>
    <x v="0"/>
    <s v="TRK66906607"/>
    <n v="9"/>
    <s v="SAVE10"/>
    <s v="Google"/>
    <n v="2260.8000000000002"/>
  </r>
  <r>
    <s v="ORD200083"/>
    <d v="2023-08-22T00:00:00"/>
    <s v="C15681"/>
    <s v="Laptop"/>
    <n v="4"/>
    <n v="540.41"/>
    <s v="989 Main St"/>
    <s v="Credit Card"/>
    <x v="1"/>
    <s v="TRK75112172"/>
    <n v="6"/>
    <s v="No Coupon"/>
    <s v="Referral"/>
    <n v="2161.64"/>
  </r>
  <r>
    <s v="ORD200084"/>
    <d v="2023-08-28T00:00:00"/>
    <s v="C64160"/>
    <s v="Monitor"/>
    <n v="2"/>
    <n v="165.49"/>
    <s v="967 Main St"/>
    <s v="Online"/>
    <x v="0"/>
    <s v="TRK34121529"/>
    <n v="4"/>
    <s v="WINTER15"/>
    <s v="Instagram"/>
    <n v="330.98"/>
  </r>
  <r>
    <s v="ORD200085"/>
    <d v="2024-09-09T00:00:00"/>
    <s v="C14553"/>
    <s v="Tablet"/>
    <n v="3"/>
    <n v="146.72999999999999"/>
    <s v="768 Main St"/>
    <s v="Cash"/>
    <x v="3"/>
    <s v="TRK93538334"/>
    <n v="8"/>
    <s v="FREESHIP"/>
    <s v="Email"/>
    <n v="440.18999999999994"/>
  </r>
  <r>
    <s v="ORD200086"/>
    <d v="2024-06-19T00:00:00"/>
    <s v="C88205"/>
    <s v="Printer"/>
    <n v="5"/>
    <n v="643.03"/>
    <s v="447 Main St"/>
    <s v="Online"/>
    <x v="1"/>
    <s v="TRK93504166"/>
    <n v="5"/>
    <s v="FREESHIP"/>
    <s v="Referral"/>
    <n v="3215.1499999999996"/>
  </r>
  <r>
    <s v="ORD200087"/>
    <d v="2024-10-10T00:00:00"/>
    <s v="C91245"/>
    <s v="Tablet"/>
    <n v="3"/>
    <n v="225.11"/>
    <s v="915 Main St"/>
    <s v="Cash"/>
    <x v="0"/>
    <s v="TRK46976391"/>
    <n v="4"/>
    <s v="SAVE10"/>
    <s v="Facebook"/>
    <n v="675.33"/>
  </r>
  <r>
    <s v="ORD200088"/>
    <d v="2025-06-05T00:00:00"/>
    <s v="C75439"/>
    <s v="Desk"/>
    <n v="3"/>
    <n v="114.81"/>
    <s v="318 Main St"/>
    <s v="Gift Card"/>
    <x v="1"/>
    <s v="TRK19831653"/>
    <n v="7"/>
    <s v="No Coupon"/>
    <s v="Google"/>
    <n v="344.43"/>
  </r>
  <r>
    <s v="ORD200089"/>
    <d v="2025-02-25T00:00:00"/>
    <s v="C17181"/>
    <s v="Printer"/>
    <n v="5"/>
    <n v="455.33"/>
    <s v="291 Main St"/>
    <s v="Credit Card"/>
    <x v="1"/>
    <s v="TRK78912978"/>
    <n v="8"/>
    <s v="FREESHIP"/>
    <s v="Google"/>
    <n v="2276.65"/>
  </r>
  <r>
    <s v="ORD200090"/>
    <d v="2023-09-18T00:00:00"/>
    <s v="C36540"/>
    <s v="Chair"/>
    <n v="4"/>
    <n v="182.08"/>
    <s v="611 Main St"/>
    <s v="Gift Card"/>
    <x v="3"/>
    <s v="TRK35828122"/>
    <n v="4"/>
    <s v="SAVE10"/>
    <s v="Email"/>
    <n v="728.32"/>
  </r>
  <r>
    <s v="ORD200091"/>
    <d v="2023-03-15T00:00:00"/>
    <s v="C98216"/>
    <s v="Laptop"/>
    <n v="5"/>
    <n v="492.75"/>
    <s v="196 Main St"/>
    <s v="Cash"/>
    <x v="0"/>
    <s v="TRK40986666"/>
    <n v="6"/>
    <s v="WINTER15"/>
    <s v="Referral"/>
    <n v="2463.75"/>
  </r>
  <r>
    <s v="ORD200092"/>
    <d v="2024-06-10T00:00:00"/>
    <s v="C29568"/>
    <s v="Printer"/>
    <n v="4"/>
    <n v="48.61"/>
    <s v="203 Main St"/>
    <s v="Online"/>
    <x v="0"/>
    <s v="TRK46531075"/>
    <n v="7"/>
    <s v="FREESHIP"/>
    <s v="Facebook"/>
    <n v="194.44"/>
  </r>
  <r>
    <s v="ORD200093"/>
    <d v="2023-01-14T00:00:00"/>
    <s v="C97262"/>
    <s v="Desk"/>
    <n v="4"/>
    <n v="431.01"/>
    <s v="837 Main St"/>
    <s v="Credit Card"/>
    <x v="2"/>
    <s v="TRK65990229"/>
    <n v="7"/>
    <s v="No Coupon"/>
    <s v="Referral"/>
    <n v="1724.04"/>
  </r>
  <r>
    <s v="ORD200094"/>
    <d v="2023-02-11T00:00:00"/>
    <s v="C79821"/>
    <s v="Chair"/>
    <n v="1"/>
    <n v="531.17999999999995"/>
    <s v="781 Main St"/>
    <s v="Gift Card"/>
    <x v="2"/>
    <s v="TRK12780193"/>
    <n v="6"/>
    <s v="WINTER15"/>
    <s v="Instagram"/>
    <n v="531.17999999999995"/>
  </r>
  <r>
    <s v="ORD200095"/>
    <d v="2023-03-24T00:00:00"/>
    <s v="C76761"/>
    <s v="Printer"/>
    <n v="4"/>
    <n v="117.51"/>
    <s v="839 Main St"/>
    <s v="Debit Card"/>
    <x v="2"/>
    <s v="TRK60179774"/>
    <n v="7"/>
    <s v="No Coupon"/>
    <s v="Referral"/>
    <n v="470.04"/>
  </r>
  <r>
    <s v="ORD200096"/>
    <d v="2024-06-01T00:00:00"/>
    <s v="C93007"/>
    <s v="Phone"/>
    <n v="2"/>
    <n v="232.83"/>
    <s v="103 Main St"/>
    <s v="Gift Card"/>
    <x v="3"/>
    <s v="TRK85696091"/>
    <n v="7"/>
    <s v="No Coupon"/>
    <s v="Instagram"/>
    <n v="465.66"/>
  </r>
  <r>
    <s v="ORD200097"/>
    <d v="2025-01-21T00:00:00"/>
    <s v="C15624"/>
    <s v="Tablet"/>
    <n v="5"/>
    <n v="619.52"/>
    <s v="922 Main St"/>
    <s v="Debit Card"/>
    <x v="4"/>
    <s v="TRK40621141"/>
    <n v="9"/>
    <s v="No Coupon"/>
    <s v="Email"/>
    <n v="3097.6"/>
  </r>
  <r>
    <s v="ORD200098"/>
    <d v="2023-01-14T00:00:00"/>
    <s v="C70921"/>
    <s v="Printer"/>
    <n v="2"/>
    <n v="228.54"/>
    <s v="533 Main St"/>
    <s v="Debit Card"/>
    <x v="4"/>
    <s v="TRK54983109"/>
    <n v="3"/>
    <s v="No Coupon"/>
    <s v="Email"/>
    <n v="457.08"/>
  </r>
  <r>
    <s v="ORD200099"/>
    <d v="2025-04-12T00:00:00"/>
    <s v="C30477"/>
    <s v="Printer"/>
    <n v="1"/>
    <n v="201.58"/>
    <s v="717 Main St"/>
    <s v="Debit Card"/>
    <x v="1"/>
    <s v="TRK51829648"/>
    <n v="2"/>
    <s v="WINTER15"/>
    <s v="Email"/>
    <n v="201.58"/>
  </r>
  <r>
    <s v="ORD200100"/>
    <d v="2023-02-17T00:00:00"/>
    <s v="C74866"/>
    <s v="Phone"/>
    <n v="3"/>
    <n v="664.79"/>
    <s v="743 Main St"/>
    <s v="Online"/>
    <x v="3"/>
    <s v="TRK53783265"/>
    <n v="6"/>
    <s v="No Coupon"/>
    <s v="Facebook"/>
    <n v="1994.37"/>
  </r>
  <r>
    <s v="ORD200101"/>
    <d v="2023-11-25T00:00:00"/>
    <s v="C15283"/>
    <s v="Printer"/>
    <n v="1"/>
    <n v="381.02"/>
    <s v="152 Main St"/>
    <s v="Cash"/>
    <x v="0"/>
    <s v="TRK19286291"/>
    <n v="6"/>
    <s v="No Coupon"/>
    <s v="Google"/>
    <n v="381.02"/>
  </r>
  <r>
    <s v="ORD200102"/>
    <d v="2023-03-08T00:00:00"/>
    <s v="C18037"/>
    <s v="Laptop"/>
    <n v="2"/>
    <n v="70.34"/>
    <s v="944 Main St"/>
    <s v="Gift Card"/>
    <x v="1"/>
    <s v="TRK47362236"/>
    <n v="3"/>
    <s v="FREESHIP"/>
    <s v="Email"/>
    <n v="140.68"/>
  </r>
  <r>
    <s v="ORD200103"/>
    <d v="2025-01-25T00:00:00"/>
    <s v="C62656"/>
    <s v="Phone"/>
    <n v="4"/>
    <n v="218.43"/>
    <s v="514 Main St"/>
    <s v="Credit Card"/>
    <x v="1"/>
    <s v="TRK86296459"/>
    <n v="9"/>
    <s v="SAVE10"/>
    <s v="Email"/>
    <n v="873.72"/>
  </r>
  <r>
    <s v="ORD200104"/>
    <d v="2024-07-30T00:00:00"/>
    <s v="C65744"/>
    <s v="Phone"/>
    <n v="1"/>
    <n v="582.04"/>
    <s v="647 Main St"/>
    <s v="Gift Card"/>
    <x v="3"/>
    <s v="TRK39906058"/>
    <n v="1"/>
    <s v="FREESHIP"/>
    <s v="Email"/>
    <n v="582.04"/>
  </r>
  <r>
    <s v="ORD200105"/>
    <d v="2024-10-24T00:00:00"/>
    <s v="C72290"/>
    <s v="Printer"/>
    <n v="3"/>
    <n v="185.4"/>
    <s v="810 Main St"/>
    <s v="Gift Card"/>
    <x v="1"/>
    <s v="TRK68792129"/>
    <n v="7"/>
    <s v="No Coupon"/>
    <s v="Facebook"/>
    <n v="556.20000000000005"/>
  </r>
  <r>
    <s v="ORD200106"/>
    <d v="2023-09-08T00:00:00"/>
    <s v="C73514"/>
    <s v="Desk"/>
    <n v="3"/>
    <n v="465.05"/>
    <s v="126 Main St"/>
    <s v="Credit Card"/>
    <x v="1"/>
    <s v="TRK96777924"/>
    <n v="3"/>
    <s v="SAVE10"/>
    <s v="Email"/>
    <n v="1395.15"/>
  </r>
  <r>
    <s v="ORD200107"/>
    <d v="2023-03-27T00:00:00"/>
    <s v="C16775"/>
    <s v="Printer"/>
    <n v="5"/>
    <n v="670.75"/>
    <s v="848 Main St"/>
    <s v="Gift Card"/>
    <x v="0"/>
    <s v="TRK34392124"/>
    <n v="8"/>
    <s v="FREESHIP"/>
    <s v="Instagram"/>
    <n v="3353.75"/>
  </r>
  <r>
    <s v="ORD200108"/>
    <d v="2024-12-28T00:00:00"/>
    <s v="C33099"/>
    <s v="Laptop"/>
    <n v="5"/>
    <n v="48.38"/>
    <s v="522 Main St"/>
    <s v="Gift Card"/>
    <x v="3"/>
    <s v="TRK28522330"/>
    <n v="9"/>
    <s v="WINTER15"/>
    <s v="Email"/>
    <n v="241.9"/>
  </r>
  <r>
    <s v="ORD200109"/>
    <d v="2023-09-17T00:00:00"/>
    <s v="C51157"/>
    <s v="Desk"/>
    <n v="3"/>
    <n v="592.87"/>
    <s v="131 Main St"/>
    <s v="Gift Card"/>
    <x v="0"/>
    <s v="TRK18674578"/>
    <n v="3"/>
    <s v="FREESHIP"/>
    <s v="Referral"/>
    <n v="1778.6100000000001"/>
  </r>
  <r>
    <s v="ORD200110"/>
    <d v="2024-04-21T00:00:00"/>
    <s v="C74562"/>
    <s v="Tablet"/>
    <n v="1"/>
    <n v="220.77"/>
    <s v="388 Main St"/>
    <s v="Gift Card"/>
    <x v="4"/>
    <s v="TRK32062079"/>
    <n v="5"/>
    <s v="FREESHIP"/>
    <s v="Instagram"/>
    <n v="220.77"/>
  </r>
  <r>
    <s v="ORD200111"/>
    <d v="2025-05-07T00:00:00"/>
    <s v="C95271"/>
    <s v="Desk"/>
    <n v="3"/>
    <n v="309.22000000000003"/>
    <s v="620 Main St"/>
    <s v="Online"/>
    <x v="1"/>
    <s v="TRK74904969"/>
    <n v="7"/>
    <s v="FREESHIP"/>
    <s v="Google"/>
    <n v="927.66000000000008"/>
  </r>
  <r>
    <s v="ORD200112"/>
    <d v="2023-01-01T00:00:00"/>
    <s v="C81366"/>
    <s v="Monitor"/>
    <n v="1"/>
    <n v="410.6"/>
    <s v="423 Main St"/>
    <s v="Online"/>
    <x v="1"/>
    <s v="TRK17062206"/>
    <n v="2"/>
    <s v="WINTER15"/>
    <s v="Referral"/>
    <n v="410.6"/>
  </r>
  <r>
    <s v="ORD200113"/>
    <d v="2024-01-17T00:00:00"/>
    <s v="C65905"/>
    <s v="Laptop"/>
    <n v="5"/>
    <n v="190.08"/>
    <s v="605 Main St"/>
    <s v="Cash"/>
    <x v="0"/>
    <s v="TRK73954365"/>
    <n v="9"/>
    <s v="FREESHIP"/>
    <s v="Instagram"/>
    <n v="950.40000000000009"/>
  </r>
  <r>
    <s v="ORD200114"/>
    <d v="2025-01-27T00:00:00"/>
    <s v="C77272"/>
    <s v="Monitor"/>
    <n v="5"/>
    <n v="498.48"/>
    <s v="115 Main St"/>
    <s v="Online"/>
    <x v="4"/>
    <s v="TRK29708128"/>
    <n v="8"/>
    <s v="SAVE10"/>
    <s v="Google"/>
    <n v="2492.4"/>
  </r>
  <r>
    <s v="ORD200115"/>
    <d v="2023-11-27T00:00:00"/>
    <s v="C32580"/>
    <s v="Phone"/>
    <n v="5"/>
    <n v="374.99"/>
    <s v="122 Main St"/>
    <s v="Online"/>
    <x v="0"/>
    <s v="TRK23670394"/>
    <n v="9"/>
    <s v="SAVE10"/>
    <s v="Facebook"/>
    <n v="1874.95"/>
  </r>
  <r>
    <s v="ORD200116"/>
    <d v="2023-03-19T00:00:00"/>
    <s v="C47761"/>
    <s v="Printer"/>
    <n v="4"/>
    <n v="291.35000000000002"/>
    <s v="109 Main St"/>
    <s v="Credit Card"/>
    <x v="1"/>
    <s v="TRK66669207"/>
    <n v="6"/>
    <s v="WINTER15"/>
    <s v="Facebook"/>
    <n v="1165.4000000000001"/>
  </r>
  <r>
    <s v="ORD200117"/>
    <d v="2023-03-08T00:00:00"/>
    <s v="C49187"/>
    <s v="Tablet"/>
    <n v="1"/>
    <n v="535.5"/>
    <s v="593 Main St"/>
    <s v="Gift Card"/>
    <x v="1"/>
    <s v="TRK81888598"/>
    <n v="5"/>
    <s v="WINTER15"/>
    <s v="Referral"/>
    <n v="535.5"/>
  </r>
  <r>
    <s v="ORD200118"/>
    <d v="2023-10-09T00:00:00"/>
    <s v="C27898"/>
    <s v="Printer"/>
    <n v="5"/>
    <n v="502.71"/>
    <s v="807 Main St"/>
    <s v="Gift Card"/>
    <x v="0"/>
    <s v="TRK61957665"/>
    <n v="7"/>
    <s v="FREESHIP"/>
    <s v="Google"/>
    <n v="2513.5499999999997"/>
  </r>
  <r>
    <s v="ORD200119"/>
    <d v="2025-06-11T00:00:00"/>
    <s v="C14683"/>
    <s v="Desk"/>
    <n v="2"/>
    <n v="534.66999999999996"/>
    <s v="187 Main St"/>
    <s v="Debit Card"/>
    <x v="0"/>
    <s v="TRK47373682"/>
    <n v="7"/>
    <s v="FREESHIP"/>
    <s v="Referral"/>
    <n v="1069.3399999999999"/>
  </r>
  <r>
    <s v="ORD200120"/>
    <d v="2023-04-11T00:00:00"/>
    <s v="C58108"/>
    <s v="Tablet"/>
    <n v="4"/>
    <n v="629.34"/>
    <s v="986 Main St"/>
    <s v="Cash"/>
    <x v="1"/>
    <s v="TRK66218053"/>
    <n v="4"/>
    <s v="WINTER15"/>
    <s v="Instagram"/>
    <n v="2517.36"/>
  </r>
  <r>
    <s v="ORD200121"/>
    <d v="2023-11-30T00:00:00"/>
    <s v="C89822"/>
    <s v="Desk"/>
    <n v="1"/>
    <n v="410.78"/>
    <s v="673 Main St"/>
    <s v="Cash"/>
    <x v="1"/>
    <s v="TRK24138598"/>
    <n v="1"/>
    <s v="FREESHIP"/>
    <s v="Instagram"/>
    <n v="410.78"/>
  </r>
  <r>
    <s v="ORD200122"/>
    <d v="2024-04-15T00:00:00"/>
    <s v="C96787"/>
    <s v="Laptop"/>
    <n v="2"/>
    <n v="533.02"/>
    <s v="588 Main St"/>
    <s v="Gift Card"/>
    <x v="0"/>
    <s v="TRK30422853"/>
    <n v="2"/>
    <s v="No Coupon"/>
    <s v="Facebook"/>
    <n v="1066.04"/>
  </r>
  <r>
    <s v="ORD200123"/>
    <d v="2023-07-06T00:00:00"/>
    <s v="C86064"/>
    <s v="Desk"/>
    <n v="3"/>
    <n v="278.04000000000002"/>
    <s v="727 Main St"/>
    <s v="Online"/>
    <x v="3"/>
    <s v="TRK62182901"/>
    <n v="5"/>
    <s v="No Coupon"/>
    <s v="Instagram"/>
    <n v="834.12000000000012"/>
  </r>
  <r>
    <s v="ORD200124"/>
    <d v="2024-07-28T00:00:00"/>
    <s v="C97148"/>
    <s v="Printer"/>
    <n v="4"/>
    <n v="283.79000000000002"/>
    <s v="563 Main St"/>
    <s v="Online"/>
    <x v="4"/>
    <s v="TRK85321126"/>
    <n v="8"/>
    <s v="No Coupon"/>
    <s v="Google"/>
    <n v="1135.1600000000001"/>
  </r>
  <r>
    <s v="ORD200125"/>
    <d v="2024-11-06T00:00:00"/>
    <s v="C91099"/>
    <s v="Phone"/>
    <n v="2"/>
    <n v="512.65"/>
    <s v="758 Main St"/>
    <s v="Credit Card"/>
    <x v="0"/>
    <s v="TRK81846174"/>
    <n v="5"/>
    <s v="SAVE10"/>
    <s v="Email"/>
    <n v="1025.3"/>
  </r>
  <r>
    <s v="ORD200126"/>
    <d v="2025-05-03T00:00:00"/>
    <s v="C55606"/>
    <s v="Desk"/>
    <n v="4"/>
    <n v="275.5"/>
    <s v="353 Main St"/>
    <s v="Gift Card"/>
    <x v="0"/>
    <s v="TRK68250319"/>
    <n v="8"/>
    <s v="FREESHIP"/>
    <s v="Google"/>
    <n v="1102"/>
  </r>
  <r>
    <s v="ORD200127"/>
    <d v="2023-08-10T00:00:00"/>
    <s v="C71486"/>
    <s v="Desk"/>
    <n v="3"/>
    <n v="469.32"/>
    <s v="365 Main St"/>
    <s v="Debit Card"/>
    <x v="0"/>
    <s v="TRK73929833"/>
    <n v="3"/>
    <s v="No Coupon"/>
    <s v="Google"/>
    <n v="1407.96"/>
  </r>
  <r>
    <s v="ORD200128"/>
    <d v="2023-02-17T00:00:00"/>
    <s v="C86408"/>
    <s v="Tablet"/>
    <n v="4"/>
    <n v="21.07"/>
    <s v="244 Main St"/>
    <s v="Gift Card"/>
    <x v="3"/>
    <s v="TRK41432648"/>
    <n v="4"/>
    <s v="FREESHIP"/>
    <s v="Google"/>
    <n v="84.28"/>
  </r>
  <r>
    <s v="ORD200129"/>
    <d v="2023-10-27T00:00:00"/>
    <s v="C52751"/>
    <s v="Laptop"/>
    <n v="4"/>
    <n v="263.93"/>
    <s v="427 Main St"/>
    <s v="Debit Card"/>
    <x v="0"/>
    <s v="TRK72481234"/>
    <n v="4"/>
    <s v="FREESHIP"/>
    <s v="Facebook"/>
    <n v="1055.72"/>
  </r>
  <r>
    <s v="ORD200130"/>
    <d v="2025-01-22T00:00:00"/>
    <s v="C29059"/>
    <s v="Desk"/>
    <n v="3"/>
    <n v="501.3"/>
    <s v="513 Main St"/>
    <s v="Online"/>
    <x v="1"/>
    <s v="TRK88360704"/>
    <n v="3"/>
    <s v="WINTER15"/>
    <s v="Facebook"/>
    <n v="1503.9"/>
  </r>
  <r>
    <s v="ORD200131"/>
    <d v="2023-01-08T00:00:00"/>
    <s v="C72862"/>
    <s v="Tablet"/>
    <n v="1"/>
    <n v="84.8"/>
    <s v="606 Main St"/>
    <s v="Gift Card"/>
    <x v="4"/>
    <s v="TRK51648833"/>
    <n v="5"/>
    <s v="No Coupon"/>
    <s v="Instagram"/>
    <n v="84.8"/>
  </r>
  <r>
    <s v="ORD200132"/>
    <d v="2023-03-28T00:00:00"/>
    <s v="C96257"/>
    <s v="Tablet"/>
    <n v="4"/>
    <n v="450.75"/>
    <s v="583 Main St"/>
    <s v="Credit Card"/>
    <x v="0"/>
    <s v="TRK13137948"/>
    <n v="6"/>
    <s v="WINTER15"/>
    <s v="Email"/>
    <n v="1803"/>
  </r>
  <r>
    <s v="ORD200133"/>
    <d v="2025-06-20T00:00:00"/>
    <s v="C87432"/>
    <s v="Chair"/>
    <n v="4"/>
    <n v="302.05"/>
    <s v="636 Main St"/>
    <s v="Debit Card"/>
    <x v="1"/>
    <s v="TRK68969625"/>
    <n v="6"/>
    <s v="SAVE10"/>
    <s v="Google"/>
    <n v="1208.2"/>
  </r>
  <r>
    <s v="ORD200134"/>
    <d v="2025-06-23T00:00:00"/>
    <s v="C16253"/>
    <s v="Laptop"/>
    <n v="2"/>
    <n v="199.7"/>
    <s v="583 Main St"/>
    <s v="Cash"/>
    <x v="4"/>
    <s v="TRK17354894"/>
    <n v="4"/>
    <s v="No Coupon"/>
    <s v="Email"/>
    <n v="399.4"/>
  </r>
  <r>
    <s v="ORD200135"/>
    <d v="2023-08-04T00:00:00"/>
    <s v="C79909"/>
    <s v="Printer"/>
    <n v="2"/>
    <n v="68.81"/>
    <s v="642 Main St"/>
    <s v="Gift Card"/>
    <x v="0"/>
    <s v="TRK86742257"/>
    <n v="5"/>
    <s v="SAVE10"/>
    <s v="Referral"/>
    <n v="137.62"/>
  </r>
  <r>
    <s v="ORD200136"/>
    <d v="2024-04-27T00:00:00"/>
    <s v="C73370"/>
    <s v="Laptop"/>
    <n v="1"/>
    <n v="44.35"/>
    <s v="595 Main St"/>
    <s v="Gift Card"/>
    <x v="1"/>
    <s v="TRK67820278"/>
    <n v="1"/>
    <s v="SAVE10"/>
    <s v="Instagram"/>
    <n v="44.35"/>
  </r>
  <r>
    <s v="ORD200137"/>
    <d v="2024-11-26T00:00:00"/>
    <s v="C50682"/>
    <s v="Monitor"/>
    <n v="2"/>
    <n v="250.98"/>
    <s v="598 Main St"/>
    <s v="Credit Card"/>
    <x v="3"/>
    <s v="TRK12242337"/>
    <n v="5"/>
    <s v="No Coupon"/>
    <s v="Google"/>
    <n v="501.96"/>
  </r>
  <r>
    <s v="ORD200138"/>
    <d v="2023-12-21T00:00:00"/>
    <s v="C21905"/>
    <s v="Tablet"/>
    <n v="1"/>
    <n v="298.06"/>
    <s v="478 Main St"/>
    <s v="Debit Card"/>
    <x v="4"/>
    <s v="TRK31863841"/>
    <n v="3"/>
    <s v="WINTER15"/>
    <s v="Google"/>
    <n v="298.06"/>
  </r>
  <r>
    <s v="ORD200139"/>
    <d v="2023-04-10T00:00:00"/>
    <s v="C61440"/>
    <s v="Phone"/>
    <n v="1"/>
    <n v="583.9"/>
    <s v="714 Main St"/>
    <s v="Cash"/>
    <x v="2"/>
    <s v="TRK33114521"/>
    <n v="1"/>
    <s v="No Coupon"/>
    <s v="Email"/>
    <n v="583.9"/>
  </r>
  <r>
    <s v="ORD200140"/>
    <d v="2025-05-31T00:00:00"/>
    <s v="C33110"/>
    <s v="Chair"/>
    <n v="3"/>
    <n v="528.14"/>
    <s v="388 Main St"/>
    <s v="Online"/>
    <x v="3"/>
    <s v="TRK38624225"/>
    <n v="3"/>
    <s v="FREESHIP"/>
    <s v="Email"/>
    <n v="1584.42"/>
  </r>
  <r>
    <s v="ORD200141"/>
    <d v="2023-11-18T00:00:00"/>
    <s v="C80004"/>
    <s v="Printer"/>
    <n v="3"/>
    <n v="684.14"/>
    <s v="151 Main St"/>
    <s v="Cash"/>
    <x v="1"/>
    <s v="TRK66230753"/>
    <n v="3"/>
    <s v="WINTER15"/>
    <s v="Instagram"/>
    <n v="2052.42"/>
  </r>
  <r>
    <s v="ORD200142"/>
    <d v="2023-09-06T00:00:00"/>
    <s v="C86374"/>
    <s v="Desk"/>
    <n v="5"/>
    <n v="272.77"/>
    <s v="573 Main St"/>
    <s v="Cash"/>
    <x v="4"/>
    <s v="TRK79451491"/>
    <n v="7"/>
    <s v="WINTER15"/>
    <s v="Email"/>
    <n v="1363.85"/>
  </r>
  <r>
    <s v="ORD200143"/>
    <d v="2024-06-13T00:00:00"/>
    <s v="C66521"/>
    <s v="Chair"/>
    <n v="4"/>
    <n v="400.07"/>
    <s v="933 Main St"/>
    <s v="Online"/>
    <x v="0"/>
    <s v="TRK34654244"/>
    <n v="5"/>
    <s v="No Coupon"/>
    <s v="Referral"/>
    <n v="1600.28"/>
  </r>
  <r>
    <s v="ORD200144"/>
    <d v="2023-08-04T00:00:00"/>
    <s v="C63365"/>
    <s v="Desk"/>
    <n v="5"/>
    <n v="219.78"/>
    <s v="895 Main St"/>
    <s v="Credit Card"/>
    <x v="4"/>
    <s v="TRK80100887"/>
    <n v="8"/>
    <s v="No Coupon"/>
    <s v="Facebook"/>
    <n v="1098.9000000000001"/>
  </r>
  <r>
    <s v="ORD200145"/>
    <d v="2024-03-02T00:00:00"/>
    <s v="C85929"/>
    <s v="Printer"/>
    <n v="3"/>
    <n v="146.91"/>
    <s v="798 Main St"/>
    <s v="Credit Card"/>
    <x v="3"/>
    <s v="TRK29318610"/>
    <n v="6"/>
    <s v="FREESHIP"/>
    <s v="Google"/>
    <n v="440.73"/>
  </r>
  <r>
    <s v="ORD200146"/>
    <d v="2025-04-30T00:00:00"/>
    <s v="C84645"/>
    <s v="Tablet"/>
    <n v="2"/>
    <n v="411.49"/>
    <s v="404 Main St"/>
    <s v="Credit Card"/>
    <x v="2"/>
    <s v="TRK68893369"/>
    <n v="4"/>
    <s v="No Coupon"/>
    <s v="Instagram"/>
    <n v="822.98"/>
  </r>
  <r>
    <s v="ORD200147"/>
    <d v="2025-05-06T00:00:00"/>
    <s v="C46316"/>
    <s v="Laptop"/>
    <n v="2"/>
    <n v="465.18"/>
    <s v="893 Main St"/>
    <s v="Credit Card"/>
    <x v="1"/>
    <s v="TRK16196000"/>
    <n v="2"/>
    <s v="SAVE10"/>
    <s v="Google"/>
    <n v="930.36"/>
  </r>
  <r>
    <s v="ORD200148"/>
    <d v="2024-12-15T00:00:00"/>
    <s v="C35100"/>
    <s v="Phone"/>
    <n v="2"/>
    <n v="319.91000000000003"/>
    <s v="139 Main St"/>
    <s v="Credit Card"/>
    <x v="1"/>
    <s v="TRK56853491"/>
    <n v="3"/>
    <s v="WINTER15"/>
    <s v="Google"/>
    <n v="639.82000000000005"/>
  </r>
  <r>
    <s v="ORD200149"/>
    <d v="2023-12-27T00:00:00"/>
    <s v="C39671"/>
    <s v="Laptop"/>
    <n v="1"/>
    <n v="217.56"/>
    <s v="174 Main St"/>
    <s v="Debit Card"/>
    <x v="3"/>
    <s v="TRK47153818"/>
    <n v="3"/>
    <s v="No Coupon"/>
    <s v="Facebook"/>
    <n v="217.56"/>
  </r>
  <r>
    <s v="ORD200150"/>
    <d v="2023-12-13T00:00:00"/>
    <s v="C25503"/>
    <s v="Phone"/>
    <n v="2"/>
    <n v="105.57"/>
    <s v="981 Main St"/>
    <s v="Debit Card"/>
    <x v="2"/>
    <s v="TRK29878837"/>
    <n v="5"/>
    <s v="WINTER15"/>
    <s v="Google"/>
    <n v="211.14"/>
  </r>
  <r>
    <s v="ORD200151"/>
    <d v="2023-12-01T00:00:00"/>
    <s v="C32960"/>
    <s v="Printer"/>
    <n v="5"/>
    <n v="444.76"/>
    <s v="947 Main St"/>
    <s v="Debit Card"/>
    <x v="2"/>
    <s v="TRK91226500"/>
    <n v="7"/>
    <s v="No Coupon"/>
    <s v="Email"/>
    <n v="2223.8000000000002"/>
  </r>
  <r>
    <s v="ORD200152"/>
    <d v="2025-01-02T00:00:00"/>
    <s v="C77736"/>
    <s v="Chair"/>
    <n v="2"/>
    <n v="399.04"/>
    <s v="659 Main St"/>
    <s v="Cash"/>
    <x v="1"/>
    <s v="TRK90329250"/>
    <n v="3"/>
    <s v="FREESHIP"/>
    <s v="Referral"/>
    <n v="798.08"/>
  </r>
  <r>
    <s v="ORD200153"/>
    <d v="2024-12-18T00:00:00"/>
    <s v="C71570"/>
    <s v="Chair"/>
    <n v="4"/>
    <n v="534.48"/>
    <s v="437 Main St"/>
    <s v="Online"/>
    <x v="2"/>
    <s v="TRK95992269"/>
    <n v="9"/>
    <s v="WINTER15"/>
    <s v="Instagram"/>
    <n v="2137.92"/>
  </r>
  <r>
    <s v="ORD200154"/>
    <d v="2023-07-20T00:00:00"/>
    <s v="C73587"/>
    <s v="Phone"/>
    <n v="4"/>
    <n v="408.21"/>
    <s v="727 Main St"/>
    <s v="Credit Card"/>
    <x v="4"/>
    <s v="TRK13955543"/>
    <n v="9"/>
    <s v="No Coupon"/>
    <s v="Instagram"/>
    <n v="1632.84"/>
  </r>
  <r>
    <s v="ORD200155"/>
    <d v="2023-02-27T00:00:00"/>
    <s v="C62740"/>
    <s v="Phone"/>
    <n v="1"/>
    <n v="424.4"/>
    <s v="446 Main St"/>
    <s v="Online"/>
    <x v="0"/>
    <s v="TRK20706408"/>
    <n v="6"/>
    <s v="WINTER15"/>
    <s v="Referral"/>
    <n v="424.4"/>
  </r>
  <r>
    <s v="ORD200156"/>
    <d v="2024-11-08T00:00:00"/>
    <s v="C58808"/>
    <s v="Chair"/>
    <n v="2"/>
    <n v="269.83"/>
    <s v="651 Main St"/>
    <s v="Online"/>
    <x v="3"/>
    <s v="TRK24451893"/>
    <n v="4"/>
    <s v="SAVE10"/>
    <s v="Email"/>
    <n v="539.66"/>
  </r>
  <r>
    <s v="ORD200157"/>
    <d v="2025-02-21T00:00:00"/>
    <s v="C50422"/>
    <s v="Monitor"/>
    <n v="2"/>
    <n v="564.58000000000004"/>
    <s v="636 Main St"/>
    <s v="Online"/>
    <x v="2"/>
    <s v="TRK71227815"/>
    <n v="4"/>
    <s v="WINTER15"/>
    <s v="Facebook"/>
    <n v="1129.1600000000001"/>
  </r>
  <r>
    <s v="ORD200158"/>
    <d v="2024-05-16T00:00:00"/>
    <s v="C23334"/>
    <s v="Tablet"/>
    <n v="1"/>
    <n v="331.06"/>
    <s v="737 Main St"/>
    <s v="Credit Card"/>
    <x v="4"/>
    <s v="TRK46335144"/>
    <n v="5"/>
    <s v="WINTER15"/>
    <s v="Instagram"/>
    <n v="331.06"/>
  </r>
  <r>
    <s v="ORD200159"/>
    <d v="2023-10-31T00:00:00"/>
    <s v="C48965"/>
    <s v="Printer"/>
    <n v="1"/>
    <n v="299.35000000000002"/>
    <s v="819 Main St"/>
    <s v="Credit Card"/>
    <x v="1"/>
    <s v="TRK50921780"/>
    <n v="5"/>
    <s v="WINTER15"/>
    <s v="Email"/>
    <n v="299.35000000000002"/>
  </r>
  <r>
    <s v="ORD200160"/>
    <d v="2023-02-17T00:00:00"/>
    <s v="C38669"/>
    <s v="Monitor"/>
    <n v="4"/>
    <n v="101.32"/>
    <s v="240 Main St"/>
    <s v="Cash"/>
    <x v="4"/>
    <s v="TRK81738254"/>
    <n v="7"/>
    <s v="No Coupon"/>
    <s v="Referral"/>
    <n v="405.28"/>
  </r>
  <r>
    <s v="ORD200161"/>
    <d v="2024-03-29T00:00:00"/>
    <s v="C35091"/>
    <s v="Monitor"/>
    <n v="1"/>
    <n v="211.14"/>
    <s v="513 Main St"/>
    <s v="Credit Card"/>
    <x v="1"/>
    <s v="TRK53784452"/>
    <n v="1"/>
    <s v="SAVE10"/>
    <s v="Facebook"/>
    <n v="211.14"/>
  </r>
  <r>
    <s v="ORD200162"/>
    <d v="2023-07-27T00:00:00"/>
    <s v="C82313"/>
    <s v="Chair"/>
    <n v="3"/>
    <n v="65.86"/>
    <s v="917 Main St"/>
    <s v="Online"/>
    <x v="4"/>
    <s v="TRK79854624"/>
    <n v="8"/>
    <s v="WINTER15"/>
    <s v="Google"/>
    <n v="197.57999999999998"/>
  </r>
  <r>
    <s v="ORD200163"/>
    <d v="2025-06-24T00:00:00"/>
    <s v="C99589"/>
    <s v="Tablet"/>
    <n v="1"/>
    <n v="641.39"/>
    <s v="277 Main St"/>
    <s v="Online"/>
    <x v="1"/>
    <s v="TRK16695001"/>
    <n v="1"/>
    <s v="No Coupon"/>
    <s v="Referral"/>
    <n v="641.39"/>
  </r>
  <r>
    <s v="ORD200164"/>
    <d v="2023-12-28T00:00:00"/>
    <s v="C70566"/>
    <s v="Desk"/>
    <n v="5"/>
    <n v="536.58000000000004"/>
    <s v="667 Main St"/>
    <s v="Gift Card"/>
    <x v="4"/>
    <s v="TRK49673411"/>
    <n v="5"/>
    <s v="SAVE10"/>
    <s v="Google"/>
    <n v="2682.9"/>
  </r>
  <r>
    <s v="ORD200165"/>
    <d v="2024-09-14T00:00:00"/>
    <s v="C60355"/>
    <s v="Monitor"/>
    <n v="2"/>
    <n v="500.29"/>
    <s v="226 Main St"/>
    <s v="Online"/>
    <x v="2"/>
    <s v="TRK30155194"/>
    <n v="7"/>
    <s v="WINTER15"/>
    <s v="Google"/>
    <n v="1000.58"/>
  </r>
  <r>
    <s v="ORD200166"/>
    <d v="2025-03-04T00:00:00"/>
    <s v="C28889"/>
    <s v="Chair"/>
    <n v="3"/>
    <n v="86.29"/>
    <s v="565 Main St"/>
    <s v="Cash"/>
    <x v="3"/>
    <s v="TRK23791726"/>
    <n v="6"/>
    <s v="WINTER15"/>
    <s v="Instagram"/>
    <n v="258.87"/>
  </r>
  <r>
    <s v="ORD200167"/>
    <d v="2023-05-27T00:00:00"/>
    <s v="C88304"/>
    <s v="Chair"/>
    <n v="2"/>
    <n v="384.14"/>
    <s v="219 Main St"/>
    <s v="Online"/>
    <x v="2"/>
    <s v="TRK44268941"/>
    <n v="2"/>
    <s v="WINTER15"/>
    <s v="Email"/>
    <n v="768.28"/>
  </r>
  <r>
    <s v="ORD200168"/>
    <d v="2025-01-04T00:00:00"/>
    <s v="C49517"/>
    <s v="Printer"/>
    <n v="1"/>
    <n v="594.96"/>
    <s v="878 Main St"/>
    <s v="Cash"/>
    <x v="2"/>
    <s v="TRK78551375"/>
    <n v="6"/>
    <s v="No Coupon"/>
    <s v="Facebook"/>
    <n v="594.96"/>
  </r>
  <r>
    <s v="ORD200169"/>
    <d v="2024-04-07T00:00:00"/>
    <s v="C35785"/>
    <s v="Printer"/>
    <n v="1"/>
    <n v="427.82"/>
    <s v="732 Main St"/>
    <s v="Online"/>
    <x v="3"/>
    <s v="TRK78923089"/>
    <n v="2"/>
    <s v="WINTER15"/>
    <s v="Email"/>
    <n v="427.82"/>
  </r>
  <r>
    <s v="ORD200170"/>
    <d v="2025-04-04T00:00:00"/>
    <s v="C80223"/>
    <s v="Desk"/>
    <n v="4"/>
    <n v="662.94"/>
    <s v="535 Main St"/>
    <s v="Cash"/>
    <x v="1"/>
    <s v="TRK68632951"/>
    <n v="8"/>
    <s v="SAVE10"/>
    <s v="Instagram"/>
    <n v="2651.76"/>
  </r>
  <r>
    <s v="ORD200171"/>
    <d v="2023-08-15T00:00:00"/>
    <s v="C20448"/>
    <s v="Tablet"/>
    <n v="2"/>
    <n v="148.22"/>
    <s v="336 Main St"/>
    <s v="Credit Card"/>
    <x v="3"/>
    <s v="TRK67379895"/>
    <n v="7"/>
    <s v="WINTER15"/>
    <s v="Instagram"/>
    <n v="296.44"/>
  </r>
  <r>
    <s v="ORD200172"/>
    <d v="2025-04-06T00:00:00"/>
    <s v="C34134"/>
    <s v="Printer"/>
    <n v="1"/>
    <n v="254.12"/>
    <s v="365 Main St"/>
    <s v="Online"/>
    <x v="3"/>
    <s v="TRK43074303"/>
    <n v="1"/>
    <s v="WINTER15"/>
    <s v="Email"/>
    <n v="254.12"/>
  </r>
  <r>
    <s v="ORD200173"/>
    <d v="2024-03-24T00:00:00"/>
    <s v="C95901"/>
    <s v="Phone"/>
    <n v="3"/>
    <n v="664.46"/>
    <s v="806 Main St"/>
    <s v="Online"/>
    <x v="3"/>
    <s v="TRK56989066"/>
    <n v="4"/>
    <s v="FREESHIP"/>
    <s v="Google"/>
    <n v="1993.38"/>
  </r>
  <r>
    <s v="ORD200174"/>
    <d v="2024-04-16T00:00:00"/>
    <s v="C51145"/>
    <s v="Printer"/>
    <n v="4"/>
    <n v="600.80999999999995"/>
    <s v="790 Main St"/>
    <s v="Debit Card"/>
    <x v="3"/>
    <s v="TRK59154274"/>
    <n v="9"/>
    <s v="SAVE10"/>
    <s v="Email"/>
    <n v="2403.2399999999998"/>
  </r>
  <r>
    <s v="ORD200175"/>
    <d v="2025-02-08T00:00:00"/>
    <s v="C78170"/>
    <s v="Chair"/>
    <n v="5"/>
    <n v="68.34"/>
    <s v="332 Main St"/>
    <s v="Debit Card"/>
    <x v="4"/>
    <s v="TRK71410605"/>
    <n v="6"/>
    <s v="WINTER15"/>
    <s v="Referral"/>
    <n v="341.70000000000005"/>
  </r>
  <r>
    <s v="ORD200176"/>
    <d v="2025-06-28T00:00:00"/>
    <s v="C80151"/>
    <s v="Tablet"/>
    <n v="4"/>
    <n v="430.83"/>
    <s v="553 Main St"/>
    <s v="Gift Card"/>
    <x v="4"/>
    <s v="TRK88251529"/>
    <n v="8"/>
    <s v="WINTER15"/>
    <s v="Referral"/>
    <n v="1723.32"/>
  </r>
  <r>
    <s v="ORD200177"/>
    <d v="2023-08-05T00:00:00"/>
    <s v="C55632"/>
    <s v="Chair"/>
    <n v="5"/>
    <n v="431.69"/>
    <s v="354 Main St"/>
    <s v="Credit Card"/>
    <x v="4"/>
    <s v="TRK13003066"/>
    <n v="10"/>
    <s v="No Coupon"/>
    <s v="Facebook"/>
    <n v="2158.4499999999998"/>
  </r>
  <r>
    <s v="ORD200178"/>
    <d v="2024-04-11T00:00:00"/>
    <s v="C53070"/>
    <s v="Chair"/>
    <n v="4"/>
    <n v="512.05999999999995"/>
    <s v="283 Main St"/>
    <s v="Online"/>
    <x v="3"/>
    <s v="TRK49791755"/>
    <n v="5"/>
    <s v="SAVE10"/>
    <s v="Google"/>
    <n v="2048.2399999999998"/>
  </r>
  <r>
    <s v="ORD200179"/>
    <d v="2024-11-24T00:00:00"/>
    <s v="C27401"/>
    <s v="Laptop"/>
    <n v="3"/>
    <n v="539.91"/>
    <s v="500 Main St"/>
    <s v="Credit Card"/>
    <x v="3"/>
    <s v="TRK14332053"/>
    <n v="8"/>
    <s v="No Coupon"/>
    <s v="Email"/>
    <n v="1619.73"/>
  </r>
  <r>
    <s v="ORD200180"/>
    <d v="2023-03-18T00:00:00"/>
    <s v="C87216"/>
    <s v="Tablet"/>
    <n v="5"/>
    <n v="316.07"/>
    <s v="970 Main St"/>
    <s v="Cash"/>
    <x v="2"/>
    <s v="TRK18713727"/>
    <n v="10"/>
    <s v="No Coupon"/>
    <s v="Google"/>
    <n v="1580.35"/>
  </r>
  <r>
    <s v="ORD200181"/>
    <d v="2024-08-31T00:00:00"/>
    <s v="C38966"/>
    <s v="Printer"/>
    <n v="5"/>
    <n v="404.39"/>
    <s v="247 Main St"/>
    <s v="Online"/>
    <x v="0"/>
    <s v="TRK17205146"/>
    <n v="10"/>
    <s v="No Coupon"/>
    <s v="Referral"/>
    <n v="2021.9499999999998"/>
  </r>
  <r>
    <s v="ORD200182"/>
    <d v="2025-03-19T00:00:00"/>
    <s v="C16612"/>
    <s v="Desk"/>
    <n v="1"/>
    <n v="600.54"/>
    <s v="596 Main St"/>
    <s v="Debit Card"/>
    <x v="4"/>
    <s v="TRK96188223"/>
    <n v="4"/>
    <s v="WINTER15"/>
    <s v="Google"/>
    <n v="600.54"/>
  </r>
  <r>
    <s v="ORD200183"/>
    <d v="2024-04-18T00:00:00"/>
    <s v="C39246"/>
    <s v="Monitor"/>
    <n v="5"/>
    <n v="186.28"/>
    <s v="258 Main St"/>
    <s v="Debit Card"/>
    <x v="3"/>
    <s v="TRK16658182"/>
    <n v="8"/>
    <s v="SAVE10"/>
    <s v="Email"/>
    <n v="931.4"/>
  </r>
  <r>
    <s v="ORD200184"/>
    <d v="2024-04-04T00:00:00"/>
    <s v="C65180"/>
    <s v="Tablet"/>
    <n v="4"/>
    <n v="214.54"/>
    <s v="231 Main St"/>
    <s v="Gift Card"/>
    <x v="1"/>
    <s v="TRK39255469"/>
    <n v="7"/>
    <s v="No Coupon"/>
    <s v="Referral"/>
    <n v="858.16"/>
  </r>
  <r>
    <s v="ORD200185"/>
    <d v="2025-02-02T00:00:00"/>
    <s v="C46877"/>
    <s v="Laptop"/>
    <n v="1"/>
    <n v="210.7"/>
    <s v="572 Main St"/>
    <s v="Online"/>
    <x v="0"/>
    <s v="TRK96935978"/>
    <n v="2"/>
    <s v="WINTER15"/>
    <s v="Referral"/>
    <n v="210.7"/>
  </r>
  <r>
    <s v="ORD200186"/>
    <d v="2023-12-07T00:00:00"/>
    <s v="C30334"/>
    <s v="Phone"/>
    <n v="2"/>
    <n v="133.55000000000001"/>
    <s v="322 Main St"/>
    <s v="Cash"/>
    <x v="4"/>
    <s v="TRK66388885"/>
    <n v="7"/>
    <s v="FREESHIP"/>
    <s v="Facebook"/>
    <n v="267.10000000000002"/>
  </r>
  <r>
    <s v="ORD200187"/>
    <d v="2023-02-08T00:00:00"/>
    <s v="C21227"/>
    <s v="Chair"/>
    <n v="1"/>
    <n v="590.87"/>
    <s v="689 Main St"/>
    <s v="Gift Card"/>
    <x v="2"/>
    <s v="TRK79129657"/>
    <n v="6"/>
    <s v="FREESHIP"/>
    <s v="Referral"/>
    <n v="590.87"/>
  </r>
  <r>
    <s v="ORD200188"/>
    <d v="2025-03-15T00:00:00"/>
    <s v="C97715"/>
    <s v="Chair"/>
    <n v="2"/>
    <n v="363.91"/>
    <s v="927 Main St"/>
    <s v="Gift Card"/>
    <x v="0"/>
    <s v="TRK19515949"/>
    <n v="2"/>
    <s v="FREESHIP"/>
    <s v="Referral"/>
    <n v="727.82"/>
  </r>
  <r>
    <s v="ORD200189"/>
    <d v="2023-07-05T00:00:00"/>
    <s v="C48939"/>
    <s v="Printer"/>
    <n v="5"/>
    <n v="429.45"/>
    <s v="597 Main St"/>
    <s v="Gift Card"/>
    <x v="1"/>
    <s v="TRK62786764"/>
    <n v="5"/>
    <s v="WINTER15"/>
    <s v="Email"/>
    <n v="2147.25"/>
  </r>
  <r>
    <s v="ORD200190"/>
    <d v="2024-08-31T00:00:00"/>
    <s v="C35483"/>
    <s v="Printer"/>
    <n v="3"/>
    <n v="223.7"/>
    <s v="725 Main St"/>
    <s v="Cash"/>
    <x v="2"/>
    <s v="TRK79638203"/>
    <n v="3"/>
    <s v="SAVE10"/>
    <s v="Email"/>
    <n v="671.09999999999991"/>
  </r>
  <r>
    <s v="ORD200191"/>
    <d v="2025-03-08T00:00:00"/>
    <s v="C51494"/>
    <s v="Laptop"/>
    <n v="2"/>
    <n v="488.87"/>
    <s v="505 Main St"/>
    <s v="Online"/>
    <x v="1"/>
    <s v="TRK58520306"/>
    <n v="4"/>
    <s v="FREESHIP"/>
    <s v="Google"/>
    <n v="977.74"/>
  </r>
  <r>
    <s v="ORD200192"/>
    <d v="2023-08-11T00:00:00"/>
    <s v="C58410"/>
    <s v="Desk"/>
    <n v="1"/>
    <n v="645.46"/>
    <s v="151 Main St"/>
    <s v="Gift Card"/>
    <x v="1"/>
    <s v="TRK19749672"/>
    <n v="5"/>
    <s v="SAVE10"/>
    <s v="Google"/>
    <n v="645.46"/>
  </r>
  <r>
    <s v="ORD200193"/>
    <d v="2023-07-21T00:00:00"/>
    <s v="C11644"/>
    <s v="Printer"/>
    <n v="1"/>
    <n v="46.66"/>
    <s v="429 Main St"/>
    <s v="Cash"/>
    <x v="1"/>
    <s v="TRK81320339"/>
    <n v="6"/>
    <s v="No Coupon"/>
    <s v="Google"/>
    <n v="46.66"/>
  </r>
  <r>
    <s v="ORD200194"/>
    <d v="2024-06-08T00:00:00"/>
    <s v="C53501"/>
    <s v="Monitor"/>
    <n v="1"/>
    <n v="249.57"/>
    <s v="899 Main St"/>
    <s v="Cash"/>
    <x v="0"/>
    <s v="TRK90144892"/>
    <n v="3"/>
    <s v="FREESHIP"/>
    <s v="Google"/>
    <n v="249.57"/>
  </r>
  <r>
    <s v="ORD200195"/>
    <d v="2024-04-22T00:00:00"/>
    <s v="C63619"/>
    <s v="Chair"/>
    <n v="3"/>
    <n v="619.21"/>
    <s v="801 Main St"/>
    <s v="Debit Card"/>
    <x v="1"/>
    <s v="TRK65385674"/>
    <n v="6"/>
    <s v="No Coupon"/>
    <s v="Email"/>
    <n v="1857.63"/>
  </r>
  <r>
    <s v="ORD200196"/>
    <d v="2025-01-24T00:00:00"/>
    <s v="C40882"/>
    <s v="Desk"/>
    <n v="4"/>
    <n v="217.13"/>
    <s v="719 Main St"/>
    <s v="Cash"/>
    <x v="3"/>
    <s v="TRK64165503"/>
    <n v="8"/>
    <s v="WINTER15"/>
    <s v="Email"/>
    <n v="868.52"/>
  </r>
  <r>
    <s v="ORD200197"/>
    <d v="2023-08-27T00:00:00"/>
    <s v="C80135"/>
    <s v="Laptop"/>
    <n v="5"/>
    <n v="221.51"/>
    <s v="723 Main St"/>
    <s v="Cash"/>
    <x v="2"/>
    <s v="TRK95222269"/>
    <n v="5"/>
    <s v="WINTER15"/>
    <s v="Referral"/>
    <n v="1107.55"/>
  </r>
  <r>
    <s v="ORD200198"/>
    <d v="2024-06-11T00:00:00"/>
    <s v="C37594"/>
    <s v="Laptop"/>
    <n v="4"/>
    <n v="340.3"/>
    <s v="926 Main St"/>
    <s v="Cash"/>
    <x v="1"/>
    <s v="TRK94405162"/>
    <n v="8"/>
    <s v="SAVE10"/>
    <s v="Referral"/>
    <n v="1361.2"/>
  </r>
  <r>
    <s v="ORD200199"/>
    <d v="2025-01-23T00:00:00"/>
    <s v="C87524"/>
    <s v="Phone"/>
    <n v="1"/>
    <n v="625"/>
    <s v="358 Main St"/>
    <s v="Online"/>
    <x v="2"/>
    <s v="TRK21114341"/>
    <n v="5"/>
    <s v="WINTER15"/>
    <s v="Google"/>
    <n v="625"/>
  </r>
  <r>
    <s v="ORD200200"/>
    <d v="2025-06-07T00:00:00"/>
    <s v="C97681"/>
    <s v="Tablet"/>
    <n v="5"/>
    <n v="433.26"/>
    <s v="895 Main St"/>
    <s v="Credit Card"/>
    <x v="3"/>
    <s v="TRK37531040"/>
    <n v="9"/>
    <s v="SAVE10"/>
    <s v="Google"/>
    <n v="2166.3000000000002"/>
  </r>
  <r>
    <s v="ORD200201"/>
    <d v="2023-06-18T00:00:00"/>
    <s v="C10126"/>
    <s v="Monitor"/>
    <n v="2"/>
    <n v="674.9"/>
    <s v="146 Main St"/>
    <s v="Online"/>
    <x v="0"/>
    <s v="TRK75607531"/>
    <n v="4"/>
    <s v="SAVE10"/>
    <s v="Facebook"/>
    <n v="1349.8"/>
  </r>
  <r>
    <s v="ORD200202"/>
    <d v="2025-02-06T00:00:00"/>
    <s v="C36938"/>
    <s v="Monitor"/>
    <n v="3"/>
    <n v="253.98"/>
    <s v="636 Main St"/>
    <s v="Credit Card"/>
    <x v="1"/>
    <s v="TRK52522904"/>
    <n v="3"/>
    <s v="FREESHIP"/>
    <s v="Email"/>
    <n v="761.93999999999994"/>
  </r>
  <r>
    <s v="ORD200203"/>
    <d v="2025-01-21T00:00:00"/>
    <s v="C99173"/>
    <s v="Printer"/>
    <n v="3"/>
    <n v="356.84"/>
    <s v="172 Main St"/>
    <s v="Online"/>
    <x v="0"/>
    <s v="TRK89849342"/>
    <n v="5"/>
    <s v="SAVE10"/>
    <s v="Instagram"/>
    <n v="1070.52"/>
  </r>
  <r>
    <s v="ORD200204"/>
    <d v="2023-09-05T00:00:00"/>
    <s v="C99775"/>
    <s v="Laptop"/>
    <n v="4"/>
    <n v="413.71"/>
    <s v="478 Main St"/>
    <s v="Gift Card"/>
    <x v="1"/>
    <s v="TRK21638425"/>
    <n v="9"/>
    <s v="FREESHIP"/>
    <s v="Facebook"/>
    <n v="1654.84"/>
  </r>
  <r>
    <s v="ORD200205"/>
    <d v="2023-03-04T00:00:00"/>
    <s v="C19266"/>
    <s v="Desk"/>
    <n v="3"/>
    <n v="147.38999999999999"/>
    <s v="609 Main St"/>
    <s v="Debit Card"/>
    <x v="2"/>
    <s v="TRK58357269"/>
    <n v="3"/>
    <s v="No Coupon"/>
    <s v="Email"/>
    <n v="442.16999999999996"/>
  </r>
  <r>
    <s v="ORD200206"/>
    <d v="2024-04-16T00:00:00"/>
    <s v="C31072"/>
    <s v="Laptop"/>
    <n v="4"/>
    <n v="229.1"/>
    <s v="729 Main St"/>
    <s v="Gift Card"/>
    <x v="2"/>
    <s v="TRK77172975"/>
    <n v="8"/>
    <s v="WINTER15"/>
    <s v="Email"/>
    <n v="916.4"/>
  </r>
  <r>
    <s v="ORD200207"/>
    <d v="2025-03-18T00:00:00"/>
    <s v="C54595"/>
    <s v="Phone"/>
    <n v="1"/>
    <n v="121.96"/>
    <s v="999 Main St"/>
    <s v="Debit Card"/>
    <x v="3"/>
    <s v="TRK44416659"/>
    <n v="3"/>
    <s v="No Coupon"/>
    <s v="Google"/>
    <n v="121.96"/>
  </r>
  <r>
    <s v="ORD200208"/>
    <d v="2024-10-08T00:00:00"/>
    <s v="C87777"/>
    <s v="Desk"/>
    <n v="2"/>
    <n v="408.32"/>
    <s v="597 Main St"/>
    <s v="Online"/>
    <x v="0"/>
    <s v="TRK29003608"/>
    <n v="3"/>
    <s v="FREESHIP"/>
    <s v="Facebook"/>
    <n v="816.64"/>
  </r>
  <r>
    <s v="ORD200209"/>
    <d v="2023-08-29T00:00:00"/>
    <s v="C35854"/>
    <s v="Tablet"/>
    <n v="5"/>
    <n v="187.97"/>
    <s v="706 Main St"/>
    <s v="Cash"/>
    <x v="2"/>
    <s v="TRK30615168"/>
    <n v="9"/>
    <s v="SAVE10"/>
    <s v="Google"/>
    <n v="939.85"/>
  </r>
  <r>
    <s v="ORD200210"/>
    <d v="2024-12-05T00:00:00"/>
    <s v="C93821"/>
    <s v="Chair"/>
    <n v="3"/>
    <n v="358.48"/>
    <s v="513 Main St"/>
    <s v="Gift Card"/>
    <x v="3"/>
    <s v="TRK10658539"/>
    <n v="7"/>
    <s v="FREESHIP"/>
    <s v="Facebook"/>
    <n v="1075.44"/>
  </r>
  <r>
    <s v="ORD200211"/>
    <d v="2025-01-03T00:00:00"/>
    <s v="C54390"/>
    <s v="Printer"/>
    <n v="3"/>
    <n v="193.58"/>
    <s v="185 Main St"/>
    <s v="Gift Card"/>
    <x v="4"/>
    <s v="TRK83853742"/>
    <n v="7"/>
    <s v="FREESHIP"/>
    <s v="Email"/>
    <n v="580.74"/>
  </r>
  <r>
    <s v="ORD200212"/>
    <d v="2023-06-20T00:00:00"/>
    <s v="C53215"/>
    <s v="Monitor"/>
    <n v="1"/>
    <n v="265.38"/>
    <s v="367 Main St"/>
    <s v="Credit Card"/>
    <x v="1"/>
    <s v="TRK34751835"/>
    <n v="6"/>
    <s v="WINTER15"/>
    <s v="Email"/>
    <n v="265.38"/>
  </r>
  <r>
    <s v="ORD200213"/>
    <d v="2023-04-20T00:00:00"/>
    <s v="C71122"/>
    <s v="Laptop"/>
    <n v="1"/>
    <n v="634.4"/>
    <s v="317 Main St"/>
    <s v="Cash"/>
    <x v="1"/>
    <s v="TRK54757882"/>
    <n v="6"/>
    <s v="SAVE10"/>
    <s v="Email"/>
    <n v="634.4"/>
  </r>
  <r>
    <s v="ORD200214"/>
    <d v="2024-08-21T00:00:00"/>
    <s v="C29483"/>
    <s v="Desk"/>
    <n v="4"/>
    <n v="305.72000000000003"/>
    <s v="673 Main St"/>
    <s v="Online"/>
    <x v="3"/>
    <s v="TRK89423603"/>
    <n v="5"/>
    <s v="No Coupon"/>
    <s v="Facebook"/>
    <n v="1222.8800000000001"/>
  </r>
  <r>
    <s v="ORD200215"/>
    <d v="2023-08-10T00:00:00"/>
    <s v="C26767"/>
    <s v="Printer"/>
    <n v="1"/>
    <n v="303.60000000000002"/>
    <s v="432 Main St"/>
    <s v="Cash"/>
    <x v="0"/>
    <s v="TRK24585307"/>
    <n v="5"/>
    <s v="FREESHIP"/>
    <s v="Facebook"/>
    <n v="303.60000000000002"/>
  </r>
  <r>
    <s v="ORD200216"/>
    <d v="2025-04-15T00:00:00"/>
    <s v="C70492"/>
    <s v="Monitor"/>
    <n v="4"/>
    <n v="496"/>
    <s v="811 Main St"/>
    <s v="Online"/>
    <x v="1"/>
    <s v="TRK84625405"/>
    <n v="8"/>
    <s v="WINTER15"/>
    <s v="Google"/>
    <n v="1984"/>
  </r>
  <r>
    <s v="ORD200217"/>
    <d v="2024-05-20T00:00:00"/>
    <s v="C61549"/>
    <s v="Desk"/>
    <n v="4"/>
    <n v="321.51"/>
    <s v="908 Main St"/>
    <s v="Cash"/>
    <x v="2"/>
    <s v="TRK65596914"/>
    <n v="9"/>
    <s v="No Coupon"/>
    <s v="Google"/>
    <n v="1286.04"/>
  </r>
  <r>
    <s v="ORD200218"/>
    <d v="2023-04-28T00:00:00"/>
    <s v="C11665"/>
    <s v="Tablet"/>
    <n v="3"/>
    <n v="112.46"/>
    <s v="882 Main St"/>
    <s v="Gift Card"/>
    <x v="0"/>
    <s v="TRK10993930"/>
    <n v="6"/>
    <s v="SAVE10"/>
    <s v="Instagram"/>
    <n v="337.38"/>
  </r>
  <r>
    <s v="ORD200219"/>
    <d v="2025-05-02T00:00:00"/>
    <s v="C48946"/>
    <s v="Laptop"/>
    <n v="5"/>
    <n v="61.97"/>
    <s v="457 Main St"/>
    <s v="Cash"/>
    <x v="3"/>
    <s v="TRK99387220"/>
    <n v="6"/>
    <s v="SAVE10"/>
    <s v="Email"/>
    <n v="309.85000000000002"/>
  </r>
  <r>
    <s v="ORD200220"/>
    <d v="2023-07-18T00:00:00"/>
    <s v="C79506"/>
    <s v="Laptop"/>
    <n v="2"/>
    <n v="373.17"/>
    <s v="497 Main St"/>
    <s v="Credit Card"/>
    <x v="4"/>
    <s v="TRK95188748"/>
    <n v="6"/>
    <s v="SAVE10"/>
    <s v="Referral"/>
    <n v="746.34"/>
  </r>
  <r>
    <s v="ORD200221"/>
    <d v="2024-02-23T00:00:00"/>
    <s v="C93473"/>
    <s v="Tablet"/>
    <n v="5"/>
    <n v="639.37"/>
    <s v="552 Main St"/>
    <s v="Debit Card"/>
    <x v="4"/>
    <s v="TRK50003989"/>
    <n v="6"/>
    <s v="SAVE10"/>
    <s v="Google"/>
    <n v="3196.85"/>
  </r>
  <r>
    <s v="ORD200222"/>
    <d v="2023-05-04T00:00:00"/>
    <s v="C43124"/>
    <s v="Chair"/>
    <n v="4"/>
    <n v="693.36"/>
    <s v="931 Main St"/>
    <s v="Online"/>
    <x v="0"/>
    <s v="TRK17293348"/>
    <n v="8"/>
    <s v="No Coupon"/>
    <s v="Instagram"/>
    <n v="2773.44"/>
  </r>
  <r>
    <s v="ORD200223"/>
    <d v="2024-09-11T00:00:00"/>
    <s v="C22783"/>
    <s v="Phone"/>
    <n v="4"/>
    <n v="692.91"/>
    <s v="673 Main St"/>
    <s v="Credit Card"/>
    <x v="4"/>
    <s v="TRK55009149"/>
    <n v="9"/>
    <s v="SAVE10"/>
    <s v="Instagram"/>
    <n v="2771.64"/>
  </r>
  <r>
    <s v="ORD200224"/>
    <d v="2023-09-23T00:00:00"/>
    <s v="C18567"/>
    <s v="Printer"/>
    <n v="4"/>
    <n v="91.46"/>
    <s v="507 Main St"/>
    <s v="Cash"/>
    <x v="1"/>
    <s v="TRK17554673"/>
    <n v="9"/>
    <s v="SAVE10"/>
    <s v="Referral"/>
    <n v="365.84"/>
  </r>
  <r>
    <s v="ORD200225"/>
    <d v="2024-03-13T00:00:00"/>
    <s v="C99879"/>
    <s v="Phone"/>
    <n v="3"/>
    <n v="273.95999999999998"/>
    <s v="692 Main St"/>
    <s v="Debit Card"/>
    <x v="2"/>
    <s v="TRK50246700"/>
    <n v="8"/>
    <s v="SAVE10"/>
    <s v="Google"/>
    <n v="821.87999999999988"/>
  </r>
  <r>
    <s v="ORD200226"/>
    <d v="2025-06-27T00:00:00"/>
    <s v="C31501"/>
    <s v="Desk"/>
    <n v="3"/>
    <n v="588.04999999999995"/>
    <s v="242 Main St"/>
    <s v="Gift Card"/>
    <x v="3"/>
    <s v="TRK93063929"/>
    <n v="8"/>
    <s v="No Coupon"/>
    <s v="Instagram"/>
    <n v="1764.1499999999999"/>
  </r>
  <r>
    <s v="ORD200227"/>
    <d v="2023-11-02T00:00:00"/>
    <s v="C93220"/>
    <s v="Monitor"/>
    <n v="2"/>
    <n v="365.17"/>
    <s v="353 Main St"/>
    <s v="Online"/>
    <x v="1"/>
    <s v="TRK89023251"/>
    <n v="4"/>
    <s v="FREESHIP"/>
    <s v="Facebook"/>
    <n v="730.34"/>
  </r>
  <r>
    <s v="ORD200228"/>
    <d v="2023-05-17T00:00:00"/>
    <s v="C57867"/>
    <s v="Chair"/>
    <n v="4"/>
    <n v="385.92"/>
    <s v="579 Main St"/>
    <s v="Credit Card"/>
    <x v="1"/>
    <s v="TRK92055007"/>
    <n v="8"/>
    <s v="No Coupon"/>
    <s v="Instagram"/>
    <n v="1543.68"/>
  </r>
  <r>
    <s v="ORD200229"/>
    <d v="2025-03-28T00:00:00"/>
    <s v="C62622"/>
    <s v="Tablet"/>
    <n v="1"/>
    <n v="562.61"/>
    <s v="762 Main St"/>
    <s v="Credit Card"/>
    <x v="3"/>
    <s v="TRK70997648"/>
    <n v="3"/>
    <s v="WINTER15"/>
    <s v="Facebook"/>
    <n v="562.61"/>
  </r>
  <r>
    <s v="ORD200230"/>
    <d v="2023-12-16T00:00:00"/>
    <s v="C94595"/>
    <s v="Desk"/>
    <n v="4"/>
    <n v="61.91"/>
    <s v="948 Main St"/>
    <s v="Gift Card"/>
    <x v="3"/>
    <s v="TRK24497305"/>
    <n v="6"/>
    <s v="WINTER15"/>
    <s v="Email"/>
    <n v="247.64"/>
  </r>
  <r>
    <s v="ORD200231"/>
    <d v="2023-11-05T00:00:00"/>
    <s v="C30955"/>
    <s v="Phone"/>
    <n v="4"/>
    <n v="41.9"/>
    <s v="327 Main St"/>
    <s v="Gift Card"/>
    <x v="4"/>
    <s v="TRK46898848"/>
    <n v="9"/>
    <s v="FREESHIP"/>
    <s v="Instagram"/>
    <n v="167.6"/>
  </r>
  <r>
    <s v="ORD200232"/>
    <d v="2023-05-19T00:00:00"/>
    <s v="C20731"/>
    <s v="Printer"/>
    <n v="4"/>
    <n v="444.44"/>
    <s v="610 Main St"/>
    <s v="Debit Card"/>
    <x v="1"/>
    <s v="TRK75568437"/>
    <n v="8"/>
    <s v="WINTER15"/>
    <s v="Google"/>
    <n v="1777.76"/>
  </r>
  <r>
    <s v="ORD200233"/>
    <d v="2024-08-24T00:00:00"/>
    <s v="C30168"/>
    <s v="Phone"/>
    <n v="3"/>
    <n v="311.33"/>
    <s v="146 Main St"/>
    <s v="Cash"/>
    <x v="1"/>
    <s v="TRK73699939"/>
    <n v="3"/>
    <s v="WINTER15"/>
    <s v="Instagram"/>
    <n v="933.99"/>
  </r>
  <r>
    <s v="ORD200234"/>
    <d v="2024-11-26T00:00:00"/>
    <s v="C79842"/>
    <s v="Printer"/>
    <n v="4"/>
    <n v="236.41"/>
    <s v="337 Main St"/>
    <s v="Debit Card"/>
    <x v="4"/>
    <s v="TRK26957950"/>
    <n v="7"/>
    <s v="SAVE10"/>
    <s v="Google"/>
    <n v="945.64"/>
  </r>
  <r>
    <s v="ORD200235"/>
    <d v="2023-02-20T00:00:00"/>
    <s v="C32854"/>
    <s v="Desk"/>
    <n v="1"/>
    <n v="65.45"/>
    <s v="815 Main St"/>
    <s v="Cash"/>
    <x v="4"/>
    <s v="TRK30009218"/>
    <n v="2"/>
    <s v="WINTER15"/>
    <s v="Google"/>
    <n v="65.45"/>
  </r>
  <r>
    <s v="ORD200236"/>
    <d v="2023-01-01T00:00:00"/>
    <s v="C14847"/>
    <s v="Monitor"/>
    <n v="1"/>
    <n v="318.81"/>
    <s v="562 Main St"/>
    <s v="Debit Card"/>
    <x v="4"/>
    <s v="TRK39663243"/>
    <n v="3"/>
    <s v="WINTER15"/>
    <s v="Email"/>
    <n v="318.81"/>
  </r>
  <r>
    <s v="ORD200237"/>
    <d v="2024-03-14T00:00:00"/>
    <s v="C88645"/>
    <s v="Monitor"/>
    <n v="3"/>
    <n v="583.72"/>
    <s v="783 Main St"/>
    <s v="Credit Card"/>
    <x v="0"/>
    <s v="TRK74097570"/>
    <n v="5"/>
    <s v="FREESHIP"/>
    <s v="Facebook"/>
    <n v="1751.16"/>
  </r>
  <r>
    <s v="ORD200238"/>
    <d v="2024-12-13T00:00:00"/>
    <s v="C66149"/>
    <s v="Desk"/>
    <n v="4"/>
    <n v="384.32"/>
    <s v="770 Main St"/>
    <s v="Credit Card"/>
    <x v="4"/>
    <s v="TRK76307307"/>
    <n v="6"/>
    <s v="WINTER15"/>
    <s v="Google"/>
    <n v="1537.28"/>
  </r>
  <r>
    <s v="ORD200239"/>
    <d v="2024-12-11T00:00:00"/>
    <s v="C20256"/>
    <s v="Tablet"/>
    <n v="3"/>
    <n v="538.74"/>
    <s v="456 Main St"/>
    <s v="Online"/>
    <x v="0"/>
    <s v="TRK71127943"/>
    <n v="6"/>
    <s v="FREESHIP"/>
    <s v="Email"/>
    <n v="1616.22"/>
  </r>
  <r>
    <s v="ORD200240"/>
    <d v="2023-07-12T00:00:00"/>
    <s v="C14983"/>
    <s v="Tablet"/>
    <n v="1"/>
    <n v="17.239999999999998"/>
    <s v="255 Main St"/>
    <s v="Online"/>
    <x v="4"/>
    <s v="TRK93444157"/>
    <n v="2"/>
    <s v="FREESHIP"/>
    <s v="Instagram"/>
    <n v="17.239999999999998"/>
  </r>
  <r>
    <s v="ORD200241"/>
    <d v="2023-05-16T00:00:00"/>
    <s v="C20817"/>
    <s v="Chair"/>
    <n v="5"/>
    <n v="615.66999999999996"/>
    <s v="407 Main St"/>
    <s v="Online"/>
    <x v="4"/>
    <s v="TRK44164590"/>
    <n v="6"/>
    <s v="SAVE10"/>
    <s v="Email"/>
    <n v="3078.35"/>
  </r>
  <r>
    <s v="ORD200242"/>
    <d v="2023-05-09T00:00:00"/>
    <s v="C94921"/>
    <s v="Printer"/>
    <n v="2"/>
    <n v="219.1"/>
    <s v="134 Main St"/>
    <s v="Online"/>
    <x v="4"/>
    <s v="TRK97794327"/>
    <n v="4"/>
    <s v="SAVE10"/>
    <s v="Referral"/>
    <n v="438.2"/>
  </r>
  <r>
    <s v="ORD200243"/>
    <d v="2025-05-09T00:00:00"/>
    <s v="C54725"/>
    <s v="Chair"/>
    <n v="2"/>
    <n v="144.66"/>
    <s v="506 Main St"/>
    <s v="Online"/>
    <x v="1"/>
    <s v="TRK30601940"/>
    <n v="7"/>
    <s v="FREESHIP"/>
    <s v="Google"/>
    <n v="289.32"/>
  </r>
  <r>
    <s v="ORD200244"/>
    <d v="2023-02-16T00:00:00"/>
    <s v="C98096"/>
    <s v="Desk"/>
    <n v="2"/>
    <n v="317.77"/>
    <s v="838 Main St"/>
    <s v="Debit Card"/>
    <x v="1"/>
    <s v="TRK51518631"/>
    <n v="4"/>
    <s v="WINTER15"/>
    <s v="Facebook"/>
    <n v="635.54"/>
  </r>
  <r>
    <s v="ORD200245"/>
    <d v="2025-04-20T00:00:00"/>
    <s v="C12667"/>
    <s v="Laptop"/>
    <n v="1"/>
    <n v="223.3"/>
    <s v="306 Main St"/>
    <s v="Online"/>
    <x v="2"/>
    <s v="TRK25390491"/>
    <n v="1"/>
    <s v="No Coupon"/>
    <s v="Facebook"/>
    <n v="223.3"/>
  </r>
  <r>
    <s v="ORD200246"/>
    <d v="2024-08-30T00:00:00"/>
    <s v="C55354"/>
    <s v="Desk"/>
    <n v="2"/>
    <n v="342.11"/>
    <s v="164 Main St"/>
    <s v="Gift Card"/>
    <x v="0"/>
    <s v="TRK15439493"/>
    <n v="2"/>
    <s v="WINTER15"/>
    <s v="Instagram"/>
    <n v="684.22"/>
  </r>
  <r>
    <s v="ORD200247"/>
    <d v="2023-07-20T00:00:00"/>
    <s v="C14600"/>
    <s v="Printer"/>
    <n v="2"/>
    <n v="220.9"/>
    <s v="785 Main St"/>
    <s v="Gift Card"/>
    <x v="0"/>
    <s v="TRK84984764"/>
    <n v="4"/>
    <s v="No Coupon"/>
    <s v="Email"/>
    <n v="441.8"/>
  </r>
  <r>
    <s v="ORD200248"/>
    <d v="2023-07-02T00:00:00"/>
    <s v="C97187"/>
    <s v="Laptop"/>
    <n v="1"/>
    <n v="670.54"/>
    <s v="471 Main St"/>
    <s v="Cash"/>
    <x v="0"/>
    <s v="TRK62283713"/>
    <n v="6"/>
    <s v="FREESHIP"/>
    <s v="Referral"/>
    <n v="670.54"/>
  </r>
  <r>
    <s v="ORD200249"/>
    <d v="2024-02-07T00:00:00"/>
    <s v="C39106"/>
    <s v="Printer"/>
    <n v="1"/>
    <n v="546.19000000000005"/>
    <s v="245 Main St"/>
    <s v="Cash"/>
    <x v="4"/>
    <s v="TRK35464433"/>
    <n v="5"/>
    <s v="FREESHIP"/>
    <s v="Referral"/>
    <n v="546.19000000000005"/>
  </r>
  <r>
    <s v="ORD200250"/>
    <d v="2023-04-05T00:00:00"/>
    <s v="C93379"/>
    <s v="Desk"/>
    <n v="3"/>
    <n v="42.95"/>
    <s v="318 Main St"/>
    <s v="Gift Card"/>
    <x v="2"/>
    <s v="TRK67954150"/>
    <n v="8"/>
    <s v="SAVE10"/>
    <s v="Email"/>
    <n v="128.85000000000002"/>
  </r>
  <r>
    <s v="ORD200251"/>
    <d v="2025-05-15T00:00:00"/>
    <s v="C93175"/>
    <s v="Monitor"/>
    <n v="4"/>
    <n v="14.69"/>
    <s v="814 Main St"/>
    <s v="Cash"/>
    <x v="1"/>
    <s v="TRK32995144"/>
    <n v="9"/>
    <s v="No Coupon"/>
    <s v="Email"/>
    <n v="58.76"/>
  </r>
  <r>
    <s v="ORD200252"/>
    <d v="2024-09-20T00:00:00"/>
    <s v="C19648"/>
    <s v="Phone"/>
    <n v="4"/>
    <n v="668.36"/>
    <s v="821 Main St"/>
    <s v="Gift Card"/>
    <x v="1"/>
    <s v="TRK51297879"/>
    <n v="5"/>
    <s v="FREESHIP"/>
    <s v="Facebook"/>
    <n v="2673.44"/>
  </r>
  <r>
    <s v="ORD200253"/>
    <d v="2024-03-23T00:00:00"/>
    <s v="C14891"/>
    <s v="Chair"/>
    <n v="4"/>
    <n v="413.74"/>
    <s v="743 Main St"/>
    <s v="Gift Card"/>
    <x v="2"/>
    <s v="TRK79471534"/>
    <n v="7"/>
    <s v="FREESHIP"/>
    <s v="Instagram"/>
    <n v="1654.96"/>
  </r>
  <r>
    <s v="ORD200254"/>
    <d v="2023-12-26T00:00:00"/>
    <s v="C10866"/>
    <s v="Monitor"/>
    <n v="3"/>
    <n v="263.19"/>
    <s v="770 Main St"/>
    <s v="Online"/>
    <x v="3"/>
    <s v="TRK34809583"/>
    <n v="5"/>
    <s v="No Coupon"/>
    <s v="Instagram"/>
    <n v="789.56999999999994"/>
  </r>
  <r>
    <s v="ORD200255"/>
    <d v="2024-05-13T00:00:00"/>
    <s v="C47283"/>
    <s v="Monitor"/>
    <n v="1"/>
    <n v="263.95999999999998"/>
    <s v="806 Main St"/>
    <s v="Gift Card"/>
    <x v="2"/>
    <s v="TRK56235117"/>
    <n v="2"/>
    <s v="SAVE10"/>
    <s v="Google"/>
    <n v="263.95999999999998"/>
  </r>
  <r>
    <s v="ORD200256"/>
    <d v="2025-06-30T00:00:00"/>
    <s v="C94323"/>
    <s v="Chair"/>
    <n v="5"/>
    <n v="75.81"/>
    <s v="463 Main St"/>
    <s v="Gift Card"/>
    <x v="2"/>
    <s v="TRK22663277"/>
    <n v="10"/>
    <s v="WINTER15"/>
    <s v="Instagram"/>
    <n v="379.05"/>
  </r>
  <r>
    <s v="ORD200257"/>
    <d v="2024-04-23T00:00:00"/>
    <s v="C89732"/>
    <s v="Phone"/>
    <n v="1"/>
    <n v="406.22"/>
    <s v="712 Main St"/>
    <s v="Credit Card"/>
    <x v="1"/>
    <s v="TRK41059233"/>
    <n v="5"/>
    <s v="SAVE10"/>
    <s v="Referral"/>
    <n v="406.22"/>
  </r>
  <r>
    <s v="ORD200258"/>
    <d v="2024-02-26T00:00:00"/>
    <s v="C87764"/>
    <s v="Tablet"/>
    <n v="2"/>
    <n v="103.41"/>
    <s v="294 Main St"/>
    <s v="Online"/>
    <x v="0"/>
    <s v="TRK94082469"/>
    <n v="2"/>
    <s v="FREESHIP"/>
    <s v="Referral"/>
    <n v="206.82"/>
  </r>
  <r>
    <s v="ORD200259"/>
    <d v="2023-06-11T00:00:00"/>
    <s v="C20977"/>
    <s v="Chair"/>
    <n v="4"/>
    <n v="435.12"/>
    <s v="636 Main St"/>
    <s v="Credit Card"/>
    <x v="3"/>
    <s v="TRK54991561"/>
    <n v="9"/>
    <s v="SAVE10"/>
    <s v="Instagram"/>
    <n v="1740.48"/>
  </r>
  <r>
    <s v="ORD200260"/>
    <d v="2023-05-17T00:00:00"/>
    <s v="C12245"/>
    <s v="Monitor"/>
    <n v="2"/>
    <n v="407.79"/>
    <s v="153 Main St"/>
    <s v="Debit Card"/>
    <x v="0"/>
    <s v="TRK22000463"/>
    <n v="3"/>
    <s v="No Coupon"/>
    <s v="Google"/>
    <n v="815.58"/>
  </r>
  <r>
    <s v="ORD200261"/>
    <d v="2025-05-28T00:00:00"/>
    <s v="C68976"/>
    <s v="Phone"/>
    <n v="5"/>
    <n v="173.65"/>
    <s v="460 Main St"/>
    <s v="Gift Card"/>
    <x v="3"/>
    <s v="TRK25491356"/>
    <n v="9"/>
    <s v="SAVE10"/>
    <s v="Email"/>
    <n v="868.25"/>
  </r>
  <r>
    <s v="ORD200262"/>
    <d v="2023-01-10T00:00:00"/>
    <s v="C69476"/>
    <s v="Phone"/>
    <n v="4"/>
    <n v="249.07"/>
    <s v="642 Main St"/>
    <s v="Credit Card"/>
    <x v="2"/>
    <s v="TRK65869386"/>
    <n v="5"/>
    <s v="WINTER15"/>
    <s v="Referral"/>
    <n v="996.28"/>
  </r>
  <r>
    <s v="ORD200263"/>
    <d v="2023-03-25T00:00:00"/>
    <s v="C71040"/>
    <s v="Phone"/>
    <n v="4"/>
    <n v="434.85"/>
    <s v="250 Main St"/>
    <s v="Credit Card"/>
    <x v="4"/>
    <s v="TRK41397604"/>
    <n v="4"/>
    <s v="WINTER15"/>
    <s v="Google"/>
    <n v="1739.4"/>
  </r>
  <r>
    <s v="ORD200264"/>
    <d v="2024-08-03T00:00:00"/>
    <s v="C71035"/>
    <s v="Tablet"/>
    <n v="1"/>
    <n v="436.77"/>
    <s v="977 Main St"/>
    <s v="Cash"/>
    <x v="2"/>
    <s v="TRK19599578"/>
    <n v="5"/>
    <s v="FREESHIP"/>
    <s v="Google"/>
    <n v="436.77"/>
  </r>
  <r>
    <s v="ORD200265"/>
    <d v="2023-12-22T00:00:00"/>
    <s v="C20752"/>
    <s v="Printer"/>
    <n v="1"/>
    <n v="572.13"/>
    <s v="150 Main St"/>
    <s v="Debit Card"/>
    <x v="1"/>
    <s v="TRK22298450"/>
    <n v="4"/>
    <s v="SAVE10"/>
    <s v="Google"/>
    <n v="572.13"/>
  </r>
  <r>
    <s v="ORD200266"/>
    <d v="2024-06-08T00:00:00"/>
    <s v="C38840"/>
    <s v="Chair"/>
    <n v="4"/>
    <n v="583.07000000000005"/>
    <s v="589 Main St"/>
    <s v="Credit Card"/>
    <x v="1"/>
    <s v="TRK48484633"/>
    <n v="6"/>
    <s v="FREESHIP"/>
    <s v="Referral"/>
    <n v="2332.2800000000002"/>
  </r>
  <r>
    <s v="ORD200267"/>
    <d v="2025-04-17T00:00:00"/>
    <s v="C84480"/>
    <s v="Chair"/>
    <n v="5"/>
    <n v="468.51"/>
    <s v="803 Main St"/>
    <s v="Debit Card"/>
    <x v="3"/>
    <s v="TRK62361867"/>
    <n v="9"/>
    <s v="No Coupon"/>
    <s v="Facebook"/>
    <n v="2342.5500000000002"/>
  </r>
  <r>
    <s v="ORD200268"/>
    <d v="2023-08-11T00:00:00"/>
    <s v="C37032"/>
    <s v="Phone"/>
    <n v="2"/>
    <n v="423.88"/>
    <s v="655 Main St"/>
    <s v="Debit Card"/>
    <x v="3"/>
    <s v="TRK48639226"/>
    <n v="7"/>
    <s v="SAVE10"/>
    <s v="Referral"/>
    <n v="847.76"/>
  </r>
  <r>
    <s v="ORD200269"/>
    <d v="2023-11-25T00:00:00"/>
    <s v="C48942"/>
    <s v="Tablet"/>
    <n v="4"/>
    <n v="663.67"/>
    <s v="129 Main St"/>
    <s v="Credit Card"/>
    <x v="4"/>
    <s v="TRK29355120"/>
    <n v="7"/>
    <s v="FREESHIP"/>
    <s v="Google"/>
    <n v="2654.68"/>
  </r>
  <r>
    <s v="ORD200270"/>
    <d v="2023-06-04T00:00:00"/>
    <s v="C13540"/>
    <s v="Printer"/>
    <n v="4"/>
    <n v="309.91000000000003"/>
    <s v="127 Main St"/>
    <s v="Debit Card"/>
    <x v="0"/>
    <s v="TRK81087373"/>
    <n v="5"/>
    <s v="WINTER15"/>
    <s v="Google"/>
    <n v="1239.6400000000001"/>
  </r>
  <r>
    <s v="ORD200271"/>
    <d v="2023-03-28T00:00:00"/>
    <s v="C59572"/>
    <s v="Monitor"/>
    <n v="1"/>
    <n v="542.07000000000005"/>
    <s v="791 Main St"/>
    <s v="Cash"/>
    <x v="0"/>
    <s v="TRK16792991"/>
    <n v="6"/>
    <s v="WINTER15"/>
    <s v="Referral"/>
    <n v="542.07000000000005"/>
  </r>
  <r>
    <s v="ORD200272"/>
    <d v="2023-09-19T00:00:00"/>
    <s v="C29758"/>
    <s v="Chair"/>
    <n v="2"/>
    <n v="399.32"/>
    <s v="119 Main St"/>
    <s v="Online"/>
    <x v="4"/>
    <s v="TRK12990043"/>
    <n v="6"/>
    <s v="WINTER15"/>
    <s v="Instagram"/>
    <n v="798.64"/>
  </r>
  <r>
    <s v="ORD200273"/>
    <d v="2024-10-27T00:00:00"/>
    <s v="C11849"/>
    <s v="Tablet"/>
    <n v="2"/>
    <n v="238.25"/>
    <s v="974 Main St"/>
    <s v="Online"/>
    <x v="1"/>
    <s v="TRK91195261"/>
    <n v="7"/>
    <s v="FREESHIP"/>
    <s v="Email"/>
    <n v="476.5"/>
  </r>
  <r>
    <s v="ORD200274"/>
    <d v="2023-02-04T00:00:00"/>
    <s v="C50967"/>
    <s v="Phone"/>
    <n v="2"/>
    <n v="182.4"/>
    <s v="884 Main St"/>
    <s v="Gift Card"/>
    <x v="1"/>
    <s v="TRK65300814"/>
    <n v="5"/>
    <s v="SAVE10"/>
    <s v="Referral"/>
    <n v="364.8"/>
  </r>
  <r>
    <s v="ORD200275"/>
    <d v="2023-11-04T00:00:00"/>
    <s v="C80735"/>
    <s v="Chair"/>
    <n v="2"/>
    <n v="65.069999999999993"/>
    <s v="360 Main St"/>
    <s v="Credit Card"/>
    <x v="1"/>
    <s v="TRK99880231"/>
    <n v="4"/>
    <s v="SAVE10"/>
    <s v="Google"/>
    <n v="130.13999999999999"/>
  </r>
  <r>
    <s v="ORD200276"/>
    <d v="2025-03-29T00:00:00"/>
    <s v="C99050"/>
    <s v="Printer"/>
    <n v="2"/>
    <n v="600.57000000000005"/>
    <s v="654 Main St"/>
    <s v="Debit Card"/>
    <x v="2"/>
    <s v="TRK56927089"/>
    <n v="3"/>
    <s v="WINTER15"/>
    <s v="Instagram"/>
    <n v="1201.1400000000001"/>
  </r>
  <r>
    <s v="ORD200277"/>
    <d v="2024-09-09T00:00:00"/>
    <s v="C11210"/>
    <s v="Chair"/>
    <n v="5"/>
    <n v="90.92"/>
    <s v="910 Main St"/>
    <s v="Credit Card"/>
    <x v="3"/>
    <s v="TRK44929965"/>
    <n v="9"/>
    <s v="SAVE10"/>
    <s v="Facebook"/>
    <n v="454.6"/>
  </r>
  <r>
    <s v="ORD200278"/>
    <d v="2024-11-18T00:00:00"/>
    <s v="C46015"/>
    <s v="Laptop"/>
    <n v="5"/>
    <n v="362.46"/>
    <s v="299 Main St"/>
    <s v="Cash"/>
    <x v="3"/>
    <s v="TRK46598430"/>
    <n v="6"/>
    <s v="FREESHIP"/>
    <s v="Instagram"/>
    <n v="1812.3"/>
  </r>
  <r>
    <s v="ORD200279"/>
    <d v="2023-10-20T00:00:00"/>
    <s v="C69167"/>
    <s v="Chair"/>
    <n v="3"/>
    <n v="55.01"/>
    <s v="263 Main St"/>
    <s v="Online"/>
    <x v="4"/>
    <s v="TRK12425655"/>
    <n v="7"/>
    <s v="WINTER15"/>
    <s v="Email"/>
    <n v="165.03"/>
  </r>
  <r>
    <s v="ORD200280"/>
    <d v="2023-03-27T00:00:00"/>
    <s v="C55388"/>
    <s v="Tablet"/>
    <n v="3"/>
    <n v="404.62"/>
    <s v="740 Main St"/>
    <s v="Gift Card"/>
    <x v="3"/>
    <s v="TRK75741001"/>
    <n v="6"/>
    <s v="FREESHIP"/>
    <s v="Instagram"/>
    <n v="1213.8600000000001"/>
  </r>
  <r>
    <s v="ORD200281"/>
    <d v="2023-07-27T00:00:00"/>
    <s v="C87181"/>
    <s v="Desk"/>
    <n v="4"/>
    <n v="654.79"/>
    <s v="195 Main St"/>
    <s v="Cash"/>
    <x v="4"/>
    <s v="TRK60093390"/>
    <n v="9"/>
    <s v="No Coupon"/>
    <s v="Referral"/>
    <n v="2619.16"/>
  </r>
  <r>
    <s v="ORD200282"/>
    <d v="2025-04-22T00:00:00"/>
    <s v="C30411"/>
    <s v="Printer"/>
    <n v="4"/>
    <n v="637.79"/>
    <s v="375 Main St"/>
    <s v="Gift Card"/>
    <x v="1"/>
    <s v="TRK71810536"/>
    <n v="9"/>
    <s v="FREESHIP"/>
    <s v="Google"/>
    <n v="2551.16"/>
  </r>
  <r>
    <s v="ORD200283"/>
    <d v="2025-02-28T00:00:00"/>
    <s v="C39638"/>
    <s v="Laptop"/>
    <n v="4"/>
    <n v="540.33000000000004"/>
    <s v="990 Main St"/>
    <s v="Cash"/>
    <x v="0"/>
    <s v="TRK69745608"/>
    <n v="6"/>
    <s v="No Coupon"/>
    <s v="Google"/>
    <n v="2161.3200000000002"/>
  </r>
  <r>
    <s v="ORD200284"/>
    <d v="2023-02-16T00:00:00"/>
    <s v="C27203"/>
    <s v="Laptop"/>
    <n v="5"/>
    <n v="208.17"/>
    <s v="516 Main St"/>
    <s v="Credit Card"/>
    <x v="2"/>
    <s v="TRK22023906"/>
    <n v="6"/>
    <s v="SAVE10"/>
    <s v="Facebook"/>
    <n v="1040.8499999999999"/>
  </r>
  <r>
    <s v="ORD200285"/>
    <d v="2025-06-10T00:00:00"/>
    <s v="C67583"/>
    <s v="Phone"/>
    <n v="1"/>
    <n v="338.31"/>
    <s v="974 Main St"/>
    <s v="Online"/>
    <x v="3"/>
    <s v="TRK93281700"/>
    <n v="3"/>
    <s v="No Coupon"/>
    <s v="Google"/>
    <n v="338.31"/>
  </r>
  <r>
    <s v="ORD200286"/>
    <d v="2025-04-07T00:00:00"/>
    <s v="C70554"/>
    <s v="Monitor"/>
    <n v="3"/>
    <n v="139.44999999999999"/>
    <s v="187 Main St"/>
    <s v="Gift Card"/>
    <x v="2"/>
    <s v="TRK61086952"/>
    <n v="8"/>
    <s v="WINTER15"/>
    <s v="Google"/>
    <n v="418.34999999999997"/>
  </r>
  <r>
    <s v="ORD200287"/>
    <d v="2023-11-24T00:00:00"/>
    <s v="C70437"/>
    <s v="Chair"/>
    <n v="4"/>
    <n v="655.17999999999995"/>
    <s v="630 Main St"/>
    <s v="Online"/>
    <x v="0"/>
    <s v="TRK26628830"/>
    <n v="5"/>
    <s v="No Coupon"/>
    <s v="Facebook"/>
    <n v="2620.7199999999998"/>
  </r>
  <r>
    <s v="ORD200288"/>
    <d v="2023-03-12T00:00:00"/>
    <s v="C97643"/>
    <s v="Laptop"/>
    <n v="4"/>
    <n v="512.75"/>
    <s v="537 Main St"/>
    <s v="Debit Card"/>
    <x v="2"/>
    <s v="TRK60831391"/>
    <n v="8"/>
    <s v="WINTER15"/>
    <s v="Google"/>
    <n v="2051"/>
  </r>
  <r>
    <s v="ORD200289"/>
    <d v="2023-07-26T00:00:00"/>
    <s v="C17136"/>
    <s v="Chair"/>
    <n v="4"/>
    <n v="160.49"/>
    <s v="333 Main St"/>
    <s v="Credit Card"/>
    <x v="0"/>
    <s v="TRK55362541"/>
    <n v="8"/>
    <s v="WINTER15"/>
    <s v="Referral"/>
    <n v="641.96"/>
  </r>
  <r>
    <s v="ORD200290"/>
    <d v="2023-05-05T00:00:00"/>
    <s v="C24901"/>
    <s v="Chair"/>
    <n v="3"/>
    <n v="99.9"/>
    <s v="258 Main St"/>
    <s v="Cash"/>
    <x v="3"/>
    <s v="TRK14029489"/>
    <n v="8"/>
    <s v="FREESHIP"/>
    <s v="Facebook"/>
    <n v="299.70000000000005"/>
  </r>
  <r>
    <s v="ORD200291"/>
    <d v="2024-05-12T00:00:00"/>
    <s v="C61521"/>
    <s v="Phone"/>
    <n v="2"/>
    <n v="345.01"/>
    <s v="670 Main St"/>
    <s v="Credit Card"/>
    <x v="3"/>
    <s v="TRK93676567"/>
    <n v="6"/>
    <s v="FREESHIP"/>
    <s v="Google"/>
    <n v="690.02"/>
  </r>
  <r>
    <s v="ORD200292"/>
    <d v="2025-01-15T00:00:00"/>
    <s v="C39639"/>
    <s v="Monitor"/>
    <n v="1"/>
    <n v="65.95"/>
    <s v="185 Main St"/>
    <s v="Credit Card"/>
    <x v="3"/>
    <s v="TRK31042152"/>
    <n v="5"/>
    <s v="No Coupon"/>
    <s v="Facebook"/>
    <n v="65.95"/>
  </r>
  <r>
    <s v="ORD200293"/>
    <d v="2023-02-16T00:00:00"/>
    <s v="C33220"/>
    <s v="Tablet"/>
    <n v="4"/>
    <n v="463.04"/>
    <s v="564 Main St"/>
    <s v="Gift Card"/>
    <x v="2"/>
    <s v="TRK40450219"/>
    <n v="9"/>
    <s v="No Coupon"/>
    <s v="Instagram"/>
    <n v="1852.16"/>
  </r>
  <r>
    <s v="ORD200294"/>
    <d v="2025-04-01T00:00:00"/>
    <s v="C65414"/>
    <s v="Phone"/>
    <n v="2"/>
    <n v="297.70999999999998"/>
    <s v="208 Main St"/>
    <s v="Online"/>
    <x v="0"/>
    <s v="TRK67562517"/>
    <n v="7"/>
    <s v="SAVE10"/>
    <s v="Referral"/>
    <n v="595.41999999999996"/>
  </r>
  <r>
    <s v="ORD200295"/>
    <d v="2023-01-25T00:00:00"/>
    <s v="C49009"/>
    <s v="Printer"/>
    <n v="5"/>
    <n v="107.48"/>
    <s v="278 Main St"/>
    <s v="Debit Card"/>
    <x v="1"/>
    <s v="TRK46285799"/>
    <n v="9"/>
    <s v="FREESHIP"/>
    <s v="Email"/>
    <n v="537.4"/>
  </r>
  <r>
    <s v="ORD200296"/>
    <d v="2024-06-19T00:00:00"/>
    <s v="C48453"/>
    <s v="Desk"/>
    <n v="5"/>
    <n v="638.79999999999995"/>
    <s v="434 Main St"/>
    <s v="Debit Card"/>
    <x v="1"/>
    <s v="TRK52110494"/>
    <n v="10"/>
    <s v="WINTER15"/>
    <s v="Referral"/>
    <n v="3194"/>
  </r>
  <r>
    <s v="ORD200297"/>
    <d v="2023-02-22T00:00:00"/>
    <s v="C68078"/>
    <s v="Desk"/>
    <n v="2"/>
    <n v="493.88"/>
    <s v="252 Main St"/>
    <s v="Credit Card"/>
    <x v="2"/>
    <s v="TRK64862812"/>
    <n v="7"/>
    <s v="SAVE10"/>
    <s v="Instagram"/>
    <n v="987.76"/>
  </r>
  <r>
    <s v="ORD200298"/>
    <d v="2023-12-19T00:00:00"/>
    <s v="C19402"/>
    <s v="Printer"/>
    <n v="4"/>
    <n v="301.17"/>
    <s v="267 Main St"/>
    <s v="Online"/>
    <x v="1"/>
    <s v="TRK97825212"/>
    <n v="6"/>
    <s v="No Coupon"/>
    <s v="Email"/>
    <n v="1204.68"/>
  </r>
  <r>
    <s v="ORD200299"/>
    <d v="2024-01-20T00:00:00"/>
    <s v="C30711"/>
    <s v="Monitor"/>
    <n v="1"/>
    <n v="278.66000000000003"/>
    <s v="856 Main St"/>
    <s v="Gift Card"/>
    <x v="1"/>
    <s v="TRK42696593"/>
    <n v="2"/>
    <s v="FREESHIP"/>
    <s v="Instagram"/>
    <n v="278.66000000000003"/>
  </r>
  <r>
    <s v="ORD200300"/>
    <d v="2024-09-02T00:00:00"/>
    <s v="C39000"/>
    <s v="Phone"/>
    <n v="1"/>
    <n v="287.45999999999998"/>
    <s v="894 Main St"/>
    <s v="Debit Card"/>
    <x v="2"/>
    <s v="TRK33753945"/>
    <n v="3"/>
    <s v="FREESHIP"/>
    <s v="Facebook"/>
    <n v="287.45999999999998"/>
  </r>
  <r>
    <s v="ORD200301"/>
    <d v="2023-05-11T00:00:00"/>
    <s v="C31105"/>
    <s v="Chair"/>
    <n v="1"/>
    <n v="583.99"/>
    <s v="726 Main St"/>
    <s v="Cash"/>
    <x v="1"/>
    <s v="TRK40149095"/>
    <n v="2"/>
    <s v="SAVE10"/>
    <s v="Email"/>
    <n v="583.99"/>
  </r>
  <r>
    <s v="ORD200302"/>
    <d v="2023-05-16T00:00:00"/>
    <s v="C29432"/>
    <s v="Chair"/>
    <n v="3"/>
    <n v="468.74"/>
    <s v="121 Main St"/>
    <s v="Cash"/>
    <x v="4"/>
    <s v="TRK44142517"/>
    <n v="4"/>
    <s v="FREESHIP"/>
    <s v="Instagram"/>
    <n v="1406.22"/>
  </r>
  <r>
    <s v="ORD200303"/>
    <d v="2024-12-07T00:00:00"/>
    <s v="C48531"/>
    <s v="Tablet"/>
    <n v="1"/>
    <n v="30.54"/>
    <s v="368 Main St"/>
    <s v="Debit Card"/>
    <x v="2"/>
    <s v="TRK95462192"/>
    <n v="1"/>
    <s v="No Coupon"/>
    <s v="Google"/>
    <n v="30.54"/>
  </r>
  <r>
    <s v="ORD200304"/>
    <d v="2024-10-18T00:00:00"/>
    <s v="C86762"/>
    <s v="Monitor"/>
    <n v="5"/>
    <n v="408.73"/>
    <s v="326 Main St"/>
    <s v="Gift Card"/>
    <x v="3"/>
    <s v="TRK75686292"/>
    <n v="10"/>
    <s v="FREESHIP"/>
    <s v="Instagram"/>
    <n v="2043.65"/>
  </r>
  <r>
    <s v="ORD200305"/>
    <d v="2023-11-25T00:00:00"/>
    <s v="C63822"/>
    <s v="Laptop"/>
    <n v="4"/>
    <n v="126.89"/>
    <s v="235 Main St"/>
    <s v="Cash"/>
    <x v="4"/>
    <s v="TRK59353216"/>
    <n v="9"/>
    <s v="FREESHIP"/>
    <s v="Instagram"/>
    <n v="507.56"/>
  </r>
  <r>
    <s v="ORD200306"/>
    <d v="2024-06-07T00:00:00"/>
    <s v="C70495"/>
    <s v="Printer"/>
    <n v="2"/>
    <n v="57.07"/>
    <s v="238 Main St"/>
    <s v="Debit Card"/>
    <x v="2"/>
    <s v="TRK65511225"/>
    <n v="3"/>
    <s v="SAVE10"/>
    <s v="Instagram"/>
    <n v="114.14"/>
  </r>
  <r>
    <s v="ORD200307"/>
    <d v="2023-07-01T00:00:00"/>
    <s v="C92407"/>
    <s v="Laptop"/>
    <n v="3"/>
    <n v="557.41"/>
    <s v="135 Main St"/>
    <s v="Online"/>
    <x v="3"/>
    <s v="TRK11755610"/>
    <n v="4"/>
    <s v="No Coupon"/>
    <s v="Email"/>
    <n v="1672.23"/>
  </r>
  <r>
    <s v="ORD200308"/>
    <d v="2023-12-11T00:00:00"/>
    <s v="C75888"/>
    <s v="Printer"/>
    <n v="3"/>
    <n v="448.9"/>
    <s v="790 Main St"/>
    <s v="Debit Card"/>
    <x v="2"/>
    <s v="TRK98467398"/>
    <n v="7"/>
    <s v="SAVE10"/>
    <s v="Instagram"/>
    <n v="1346.6999999999998"/>
  </r>
  <r>
    <s v="ORD200309"/>
    <d v="2023-10-03T00:00:00"/>
    <s v="C63153"/>
    <s v="Chair"/>
    <n v="4"/>
    <n v="549.76"/>
    <s v="625 Main St"/>
    <s v="Debit Card"/>
    <x v="3"/>
    <s v="TRK38033305"/>
    <n v="4"/>
    <s v="FREESHIP"/>
    <s v="Facebook"/>
    <n v="2199.04"/>
  </r>
  <r>
    <s v="ORD200310"/>
    <d v="2024-02-24T00:00:00"/>
    <s v="C85863"/>
    <s v="Printer"/>
    <n v="3"/>
    <n v="132.47999999999999"/>
    <s v="968 Main St"/>
    <s v="Online"/>
    <x v="0"/>
    <s v="TRK16094218"/>
    <n v="4"/>
    <s v="No Coupon"/>
    <s v="Referral"/>
    <n v="397.43999999999994"/>
  </r>
  <r>
    <s v="ORD200311"/>
    <d v="2025-05-17T00:00:00"/>
    <s v="C71698"/>
    <s v="Desk"/>
    <n v="5"/>
    <n v="489.37"/>
    <s v="274 Main St"/>
    <s v="Online"/>
    <x v="2"/>
    <s v="TRK34786818"/>
    <n v="8"/>
    <s v="No Coupon"/>
    <s v="Instagram"/>
    <n v="2446.85"/>
  </r>
  <r>
    <s v="ORD200312"/>
    <d v="2025-05-24T00:00:00"/>
    <s v="C35397"/>
    <s v="Printer"/>
    <n v="5"/>
    <n v="66.31"/>
    <s v="579 Main St"/>
    <s v="Gift Card"/>
    <x v="4"/>
    <s v="TRK64742535"/>
    <n v="7"/>
    <s v="FREESHIP"/>
    <s v="Referral"/>
    <n v="331.55"/>
  </r>
  <r>
    <s v="ORD200313"/>
    <d v="2023-07-09T00:00:00"/>
    <s v="C67687"/>
    <s v="Chair"/>
    <n v="2"/>
    <n v="434.3"/>
    <s v="978 Main St"/>
    <s v="Cash"/>
    <x v="3"/>
    <s v="TRK22838735"/>
    <n v="7"/>
    <s v="SAVE10"/>
    <s v="Instagram"/>
    <n v="868.6"/>
  </r>
  <r>
    <s v="ORD200314"/>
    <d v="2023-10-04T00:00:00"/>
    <s v="C29931"/>
    <s v="Desk"/>
    <n v="4"/>
    <n v="153.09"/>
    <s v="540 Main St"/>
    <s v="Online"/>
    <x v="3"/>
    <s v="TRK48712417"/>
    <n v="4"/>
    <s v="FREESHIP"/>
    <s v="Referral"/>
    <n v="612.36"/>
  </r>
  <r>
    <s v="ORD200315"/>
    <d v="2025-05-12T00:00:00"/>
    <s v="C59139"/>
    <s v="Tablet"/>
    <n v="5"/>
    <n v="91.67"/>
    <s v="301 Main St"/>
    <s v="Online"/>
    <x v="1"/>
    <s v="TRK45507090"/>
    <n v="9"/>
    <s v="FREESHIP"/>
    <s v="Email"/>
    <n v="458.35"/>
  </r>
  <r>
    <s v="ORD200316"/>
    <d v="2023-10-02T00:00:00"/>
    <s v="C66078"/>
    <s v="Desk"/>
    <n v="4"/>
    <n v="275.27999999999997"/>
    <s v="101 Main St"/>
    <s v="Gift Card"/>
    <x v="0"/>
    <s v="TRK86474559"/>
    <n v="9"/>
    <s v="WINTER15"/>
    <s v="Facebook"/>
    <n v="1101.1199999999999"/>
  </r>
  <r>
    <s v="ORD200317"/>
    <d v="2023-04-10T00:00:00"/>
    <s v="C88370"/>
    <s v="Monitor"/>
    <n v="2"/>
    <n v="139.94999999999999"/>
    <s v="339 Main St"/>
    <s v="Online"/>
    <x v="2"/>
    <s v="TRK22575151"/>
    <n v="5"/>
    <s v="No Coupon"/>
    <s v="Instagram"/>
    <n v="279.89999999999998"/>
  </r>
  <r>
    <s v="ORD200318"/>
    <d v="2024-07-27T00:00:00"/>
    <s v="C93375"/>
    <s v="Chair"/>
    <n v="3"/>
    <n v="148.72"/>
    <s v="317 Main St"/>
    <s v="Debit Card"/>
    <x v="1"/>
    <s v="TRK95706967"/>
    <n v="7"/>
    <s v="SAVE10"/>
    <s v="Google"/>
    <n v="446.15999999999997"/>
  </r>
  <r>
    <s v="ORD200319"/>
    <d v="2023-12-02T00:00:00"/>
    <s v="C53049"/>
    <s v="Laptop"/>
    <n v="2"/>
    <n v="563.05999999999995"/>
    <s v="413 Main St"/>
    <s v="Cash"/>
    <x v="2"/>
    <s v="TRK48974907"/>
    <n v="6"/>
    <s v="No Coupon"/>
    <s v="Instagram"/>
    <n v="1126.1199999999999"/>
  </r>
  <r>
    <s v="ORD200320"/>
    <d v="2024-12-19T00:00:00"/>
    <s v="C55590"/>
    <s v="Printer"/>
    <n v="1"/>
    <n v="625.51"/>
    <s v="772 Main St"/>
    <s v="Credit Card"/>
    <x v="0"/>
    <s v="TRK48792951"/>
    <n v="1"/>
    <s v="FREESHIP"/>
    <s v="Facebook"/>
    <n v="625.51"/>
  </r>
  <r>
    <s v="ORD200321"/>
    <d v="2023-08-09T00:00:00"/>
    <s v="C47086"/>
    <s v="Phone"/>
    <n v="4"/>
    <n v="152.29"/>
    <s v="135 Main St"/>
    <s v="Debit Card"/>
    <x v="1"/>
    <s v="TRK44194358"/>
    <n v="6"/>
    <s v="WINTER15"/>
    <s v="Google"/>
    <n v="609.16"/>
  </r>
  <r>
    <s v="ORD200322"/>
    <d v="2024-06-14T00:00:00"/>
    <s v="C48646"/>
    <s v="Phone"/>
    <n v="5"/>
    <n v="231.82"/>
    <s v="339 Main St"/>
    <s v="Debit Card"/>
    <x v="3"/>
    <s v="TRK18233748"/>
    <n v="6"/>
    <s v="SAVE10"/>
    <s v="Facebook"/>
    <n v="1159.0999999999999"/>
  </r>
  <r>
    <s v="ORD200323"/>
    <d v="2025-01-26T00:00:00"/>
    <s v="C29416"/>
    <s v="Laptop"/>
    <n v="1"/>
    <n v="150.16999999999999"/>
    <s v="414 Main St"/>
    <s v="Debit Card"/>
    <x v="2"/>
    <s v="TRK63820842"/>
    <n v="1"/>
    <s v="SAVE10"/>
    <s v="Referral"/>
    <n v="150.16999999999999"/>
  </r>
  <r>
    <s v="ORD200324"/>
    <d v="2024-06-13T00:00:00"/>
    <s v="C13525"/>
    <s v="Tablet"/>
    <n v="3"/>
    <n v="70.930000000000007"/>
    <s v="847 Main St"/>
    <s v="Debit Card"/>
    <x v="2"/>
    <s v="TRK70193221"/>
    <n v="5"/>
    <s v="No Coupon"/>
    <s v="Referral"/>
    <n v="212.79000000000002"/>
  </r>
  <r>
    <s v="ORD200325"/>
    <d v="2023-06-29T00:00:00"/>
    <s v="C53545"/>
    <s v="Desk"/>
    <n v="3"/>
    <n v="361.39"/>
    <s v="665 Main St"/>
    <s v="Credit Card"/>
    <x v="0"/>
    <s v="TRK61123177"/>
    <n v="8"/>
    <s v="No Coupon"/>
    <s v="Referral"/>
    <n v="1084.17"/>
  </r>
  <r>
    <s v="ORD200326"/>
    <d v="2024-07-01T00:00:00"/>
    <s v="C65986"/>
    <s v="Laptop"/>
    <n v="5"/>
    <n v="670.48"/>
    <s v="273 Main St"/>
    <s v="Gift Card"/>
    <x v="2"/>
    <s v="TRK98353867"/>
    <n v="5"/>
    <s v="SAVE10"/>
    <s v="Facebook"/>
    <n v="3352.4"/>
  </r>
  <r>
    <s v="ORD200327"/>
    <d v="2023-07-25T00:00:00"/>
    <s v="C17302"/>
    <s v="Phone"/>
    <n v="1"/>
    <n v="359.99"/>
    <s v="385 Main St"/>
    <s v="Gift Card"/>
    <x v="1"/>
    <s v="TRK43940016"/>
    <n v="5"/>
    <s v="SAVE10"/>
    <s v="Email"/>
    <n v="359.99"/>
  </r>
  <r>
    <s v="ORD200328"/>
    <d v="2023-02-28T00:00:00"/>
    <s v="C18404"/>
    <s v="Tablet"/>
    <n v="5"/>
    <n v="674.04"/>
    <s v="546 Main St"/>
    <s v="Online"/>
    <x v="1"/>
    <s v="TRK89401624"/>
    <n v="7"/>
    <s v="SAVE10"/>
    <s v="Google"/>
    <n v="3370.2"/>
  </r>
  <r>
    <s v="ORD200329"/>
    <d v="2024-12-25T00:00:00"/>
    <s v="C88371"/>
    <s v="Chair"/>
    <n v="4"/>
    <n v="283.16000000000003"/>
    <s v="306 Main St"/>
    <s v="Credit Card"/>
    <x v="0"/>
    <s v="TRK63224811"/>
    <n v="6"/>
    <s v="No Coupon"/>
    <s v="Google"/>
    <n v="1132.6400000000001"/>
  </r>
  <r>
    <s v="ORD200330"/>
    <d v="2024-06-02T00:00:00"/>
    <s v="C38068"/>
    <s v="Desk"/>
    <n v="5"/>
    <n v="260.52999999999997"/>
    <s v="532 Main St"/>
    <s v="Gift Card"/>
    <x v="4"/>
    <s v="TRK54059198"/>
    <n v="5"/>
    <s v="SAVE10"/>
    <s v="Instagram"/>
    <n v="1302.6499999999999"/>
  </r>
  <r>
    <s v="ORD200331"/>
    <d v="2023-04-15T00:00:00"/>
    <s v="C78724"/>
    <s v="Printer"/>
    <n v="3"/>
    <n v="422.13"/>
    <s v="187 Main St"/>
    <s v="Online"/>
    <x v="3"/>
    <s v="TRK25703134"/>
    <n v="7"/>
    <s v="SAVE10"/>
    <s v="Facebook"/>
    <n v="1266.3899999999999"/>
  </r>
  <r>
    <s v="ORD200332"/>
    <d v="2024-07-03T00:00:00"/>
    <s v="C26163"/>
    <s v="Desk"/>
    <n v="5"/>
    <n v="125.02"/>
    <s v="607 Main St"/>
    <s v="Debit Card"/>
    <x v="4"/>
    <s v="TRK67499316"/>
    <n v="9"/>
    <s v="SAVE10"/>
    <s v="Google"/>
    <n v="625.1"/>
  </r>
  <r>
    <s v="ORD200333"/>
    <d v="2024-04-16T00:00:00"/>
    <s v="C87124"/>
    <s v="Phone"/>
    <n v="1"/>
    <n v="198.51"/>
    <s v="818 Main St"/>
    <s v="Credit Card"/>
    <x v="2"/>
    <s v="TRK52086740"/>
    <n v="5"/>
    <s v="WINTER15"/>
    <s v="Instagram"/>
    <n v="198.51"/>
  </r>
  <r>
    <s v="ORD200334"/>
    <d v="2024-03-26T00:00:00"/>
    <s v="C90348"/>
    <s v="Chair"/>
    <n v="4"/>
    <n v="224.75"/>
    <s v="728 Main St"/>
    <s v="Online"/>
    <x v="3"/>
    <s v="TRK20635777"/>
    <n v="7"/>
    <s v="WINTER15"/>
    <s v="Facebook"/>
    <n v="899"/>
  </r>
  <r>
    <s v="ORD200335"/>
    <d v="2025-03-03T00:00:00"/>
    <s v="C58721"/>
    <s v="Tablet"/>
    <n v="3"/>
    <n v="205.86"/>
    <s v="978 Main St"/>
    <s v="Gift Card"/>
    <x v="0"/>
    <s v="TRK34801199"/>
    <n v="4"/>
    <s v="No Coupon"/>
    <s v="Email"/>
    <n v="617.58000000000004"/>
  </r>
  <r>
    <s v="ORD200336"/>
    <d v="2023-12-29T00:00:00"/>
    <s v="C88174"/>
    <s v="Laptop"/>
    <n v="1"/>
    <n v="18.2"/>
    <s v="441 Main St"/>
    <s v="Debit Card"/>
    <x v="4"/>
    <s v="TRK10143345"/>
    <n v="4"/>
    <s v="SAVE10"/>
    <s v="Instagram"/>
    <n v="18.2"/>
  </r>
  <r>
    <s v="ORD200337"/>
    <d v="2023-05-29T00:00:00"/>
    <s v="C77763"/>
    <s v="Tablet"/>
    <n v="3"/>
    <n v="502.77"/>
    <s v="599 Main St"/>
    <s v="Debit Card"/>
    <x v="2"/>
    <s v="TRK66980447"/>
    <n v="8"/>
    <s v="WINTER15"/>
    <s v="Email"/>
    <n v="1508.31"/>
  </r>
  <r>
    <s v="ORD200338"/>
    <d v="2023-11-08T00:00:00"/>
    <s v="C53627"/>
    <s v="Phone"/>
    <n v="5"/>
    <n v="305.49"/>
    <s v="704 Main St"/>
    <s v="Debit Card"/>
    <x v="0"/>
    <s v="TRK64112352"/>
    <n v="10"/>
    <s v="No Coupon"/>
    <s v="Referral"/>
    <n v="1527.45"/>
  </r>
  <r>
    <s v="ORD200339"/>
    <d v="2024-04-10T00:00:00"/>
    <s v="C84563"/>
    <s v="Printer"/>
    <n v="2"/>
    <n v="236.33"/>
    <s v="398 Main St"/>
    <s v="Online"/>
    <x v="4"/>
    <s v="TRK62422797"/>
    <n v="3"/>
    <s v="SAVE10"/>
    <s v="Instagram"/>
    <n v="472.66"/>
  </r>
  <r>
    <s v="ORD200340"/>
    <d v="2023-04-23T00:00:00"/>
    <s v="C76207"/>
    <s v="Laptop"/>
    <n v="5"/>
    <n v="521.25"/>
    <s v="826 Main St"/>
    <s v="Cash"/>
    <x v="1"/>
    <s v="TRK25569378"/>
    <n v="8"/>
    <s v="No Coupon"/>
    <s v="Email"/>
    <n v="2606.25"/>
  </r>
  <r>
    <s v="ORD200341"/>
    <d v="2024-09-23T00:00:00"/>
    <s v="C94671"/>
    <s v="Tablet"/>
    <n v="1"/>
    <n v="167.15"/>
    <s v="293 Main St"/>
    <s v="Gift Card"/>
    <x v="0"/>
    <s v="TRK61357272"/>
    <n v="5"/>
    <s v="WINTER15"/>
    <s v="Email"/>
    <n v="167.15"/>
  </r>
  <r>
    <s v="ORD200342"/>
    <d v="2025-06-24T00:00:00"/>
    <s v="C69994"/>
    <s v="Monitor"/>
    <n v="5"/>
    <n v="466.42"/>
    <s v="619 Main St"/>
    <s v="Gift Card"/>
    <x v="2"/>
    <s v="TRK95935805"/>
    <n v="5"/>
    <s v="No Coupon"/>
    <s v="Referral"/>
    <n v="2332.1"/>
  </r>
  <r>
    <s v="ORD200343"/>
    <d v="2023-02-26T00:00:00"/>
    <s v="C64638"/>
    <s v="Printer"/>
    <n v="1"/>
    <n v="527.57000000000005"/>
    <s v="919 Main St"/>
    <s v="Debit Card"/>
    <x v="4"/>
    <s v="TRK64087938"/>
    <n v="3"/>
    <s v="FREESHIP"/>
    <s v="Facebook"/>
    <n v="527.57000000000005"/>
  </r>
  <r>
    <s v="ORD200344"/>
    <d v="2025-03-06T00:00:00"/>
    <s v="C95623"/>
    <s v="Tablet"/>
    <n v="3"/>
    <n v="623.34"/>
    <s v="248 Main St"/>
    <s v="Online"/>
    <x v="1"/>
    <s v="TRK67558189"/>
    <n v="3"/>
    <s v="SAVE10"/>
    <s v="Instagram"/>
    <n v="1870.02"/>
  </r>
  <r>
    <s v="ORD200345"/>
    <d v="2023-12-07T00:00:00"/>
    <s v="C24751"/>
    <s v="Tablet"/>
    <n v="5"/>
    <n v="501.26"/>
    <s v="259 Main St"/>
    <s v="Gift Card"/>
    <x v="0"/>
    <s v="TRK37285406"/>
    <n v="10"/>
    <s v="FREESHIP"/>
    <s v="Referral"/>
    <n v="2506.3000000000002"/>
  </r>
  <r>
    <s v="ORD200346"/>
    <d v="2024-12-06T00:00:00"/>
    <s v="C31764"/>
    <s v="Tablet"/>
    <n v="1"/>
    <n v="655.09"/>
    <s v="876 Main St"/>
    <s v="Cash"/>
    <x v="4"/>
    <s v="TRK44680433"/>
    <n v="6"/>
    <s v="No Coupon"/>
    <s v="Referral"/>
    <n v="655.09"/>
  </r>
  <r>
    <s v="ORD200347"/>
    <d v="2024-02-03T00:00:00"/>
    <s v="C83556"/>
    <s v="Printer"/>
    <n v="4"/>
    <n v="264.79000000000002"/>
    <s v="380 Main St"/>
    <s v="Credit Card"/>
    <x v="4"/>
    <s v="TRK21109187"/>
    <n v="5"/>
    <s v="SAVE10"/>
    <s v="Google"/>
    <n v="1059.1600000000001"/>
  </r>
  <r>
    <s v="ORD200348"/>
    <d v="2024-03-13T00:00:00"/>
    <s v="C24369"/>
    <s v="Laptop"/>
    <n v="3"/>
    <n v="359.73"/>
    <s v="885 Main St"/>
    <s v="Debit Card"/>
    <x v="2"/>
    <s v="TRK72633998"/>
    <n v="7"/>
    <s v="FREESHIP"/>
    <s v="Email"/>
    <n v="1079.19"/>
  </r>
  <r>
    <s v="ORD200349"/>
    <d v="2023-11-30T00:00:00"/>
    <s v="C39648"/>
    <s v="Chair"/>
    <n v="1"/>
    <n v="465.33"/>
    <s v="824 Main St"/>
    <s v="Gift Card"/>
    <x v="3"/>
    <s v="TRK56016905"/>
    <n v="2"/>
    <s v="FREESHIP"/>
    <s v="Google"/>
    <n v="465.33"/>
  </r>
  <r>
    <s v="ORD200350"/>
    <d v="2023-06-03T00:00:00"/>
    <s v="C13296"/>
    <s v="Chair"/>
    <n v="2"/>
    <n v="54.41"/>
    <s v="495 Main St"/>
    <s v="Online"/>
    <x v="0"/>
    <s v="TRK60127216"/>
    <n v="6"/>
    <s v="No Coupon"/>
    <s v="Instagram"/>
    <n v="108.82"/>
  </r>
  <r>
    <s v="ORD200351"/>
    <d v="2025-02-15T00:00:00"/>
    <s v="C94248"/>
    <s v="Laptop"/>
    <n v="1"/>
    <n v="64.66"/>
    <s v="494 Main St"/>
    <s v="Debit Card"/>
    <x v="3"/>
    <s v="TRK89406816"/>
    <n v="4"/>
    <s v="No Coupon"/>
    <s v="Instagram"/>
    <n v="64.66"/>
  </r>
  <r>
    <s v="ORD200352"/>
    <d v="2023-08-31T00:00:00"/>
    <s v="C26637"/>
    <s v="Chair"/>
    <n v="5"/>
    <n v="173.96"/>
    <s v="995 Main St"/>
    <s v="Debit Card"/>
    <x v="4"/>
    <s v="TRK59546992"/>
    <n v="8"/>
    <s v="WINTER15"/>
    <s v="Instagram"/>
    <n v="869.80000000000007"/>
  </r>
  <r>
    <s v="ORD200353"/>
    <d v="2025-03-28T00:00:00"/>
    <s v="C16012"/>
    <s v="Tablet"/>
    <n v="1"/>
    <n v="630.82000000000005"/>
    <s v="171 Main St"/>
    <s v="Online"/>
    <x v="3"/>
    <s v="TRK15195225"/>
    <n v="5"/>
    <s v="FREESHIP"/>
    <s v="Google"/>
    <n v="630.82000000000005"/>
  </r>
  <r>
    <s v="ORD200354"/>
    <d v="2023-07-11T00:00:00"/>
    <s v="C31772"/>
    <s v="Phone"/>
    <n v="1"/>
    <n v="693.41"/>
    <s v="992 Main St"/>
    <s v="Debit Card"/>
    <x v="0"/>
    <s v="TRK11970357"/>
    <n v="4"/>
    <s v="No Coupon"/>
    <s v="Instagram"/>
    <n v="693.41"/>
  </r>
  <r>
    <s v="ORD200355"/>
    <d v="2025-06-03T00:00:00"/>
    <s v="C18353"/>
    <s v="Tablet"/>
    <n v="3"/>
    <n v="433.33"/>
    <s v="677 Main St"/>
    <s v="Credit Card"/>
    <x v="1"/>
    <s v="TRK78766533"/>
    <n v="4"/>
    <s v="FREESHIP"/>
    <s v="Referral"/>
    <n v="1299.99"/>
  </r>
  <r>
    <s v="ORD200356"/>
    <d v="2023-05-06T00:00:00"/>
    <s v="C26966"/>
    <s v="Printer"/>
    <n v="5"/>
    <n v="374.58"/>
    <s v="907 Main St"/>
    <s v="Gift Card"/>
    <x v="1"/>
    <s v="TRK83889574"/>
    <n v="10"/>
    <s v="FREESHIP"/>
    <s v="Instagram"/>
    <n v="1872.8999999999999"/>
  </r>
  <r>
    <s v="ORD200357"/>
    <d v="2023-07-08T00:00:00"/>
    <s v="C74982"/>
    <s v="Laptop"/>
    <n v="5"/>
    <n v="408.56"/>
    <s v="398 Main St"/>
    <s v="Debit Card"/>
    <x v="3"/>
    <s v="TRK98700702"/>
    <n v="8"/>
    <s v="FREESHIP"/>
    <s v="Instagram"/>
    <n v="2042.8"/>
  </r>
  <r>
    <s v="ORD200358"/>
    <d v="2024-04-07T00:00:00"/>
    <s v="C70633"/>
    <s v="Tablet"/>
    <n v="2"/>
    <n v="183.67"/>
    <s v="747 Main St"/>
    <s v="Online"/>
    <x v="1"/>
    <s v="TRK82540521"/>
    <n v="3"/>
    <s v="SAVE10"/>
    <s v="Google"/>
    <n v="367.34"/>
  </r>
  <r>
    <s v="ORD200359"/>
    <d v="2023-06-09T00:00:00"/>
    <s v="C95643"/>
    <s v="Desk"/>
    <n v="4"/>
    <n v="606.57000000000005"/>
    <s v="303 Main St"/>
    <s v="Debit Card"/>
    <x v="3"/>
    <s v="TRK23286689"/>
    <n v="5"/>
    <s v="WINTER15"/>
    <s v="Referral"/>
    <n v="2426.2800000000002"/>
  </r>
  <r>
    <s v="ORD200360"/>
    <d v="2024-06-06T00:00:00"/>
    <s v="C53810"/>
    <s v="Phone"/>
    <n v="4"/>
    <n v="589.57000000000005"/>
    <s v="779 Main St"/>
    <s v="Cash"/>
    <x v="4"/>
    <s v="TRK34630612"/>
    <n v="8"/>
    <s v="No Coupon"/>
    <s v="Instagram"/>
    <n v="2358.2800000000002"/>
  </r>
  <r>
    <s v="ORD200361"/>
    <d v="2024-06-29T00:00:00"/>
    <s v="C53464"/>
    <s v="Printer"/>
    <n v="5"/>
    <n v="659.85"/>
    <s v="197 Main St"/>
    <s v="Credit Card"/>
    <x v="3"/>
    <s v="TRK32743531"/>
    <n v="9"/>
    <s v="SAVE10"/>
    <s v="Facebook"/>
    <n v="3299.25"/>
  </r>
  <r>
    <s v="ORD200362"/>
    <d v="2023-06-27T00:00:00"/>
    <s v="C53697"/>
    <s v="Monitor"/>
    <n v="4"/>
    <n v="206.84"/>
    <s v="312 Main St"/>
    <s v="Cash"/>
    <x v="1"/>
    <s v="TRK60476656"/>
    <n v="5"/>
    <s v="WINTER15"/>
    <s v="Instagram"/>
    <n v="827.36"/>
  </r>
  <r>
    <s v="ORD200363"/>
    <d v="2024-05-24T00:00:00"/>
    <s v="C31668"/>
    <s v="Laptop"/>
    <n v="5"/>
    <n v="113.87"/>
    <s v="871 Main St"/>
    <s v="Credit Card"/>
    <x v="4"/>
    <s v="TRK42584392"/>
    <n v="6"/>
    <s v="SAVE10"/>
    <s v="Email"/>
    <n v="569.35"/>
  </r>
  <r>
    <s v="ORD200364"/>
    <d v="2023-11-24T00:00:00"/>
    <s v="C85282"/>
    <s v="Phone"/>
    <n v="5"/>
    <n v="628.74"/>
    <s v="740 Main St"/>
    <s v="Cash"/>
    <x v="1"/>
    <s v="TRK86767206"/>
    <n v="9"/>
    <s v="FREESHIP"/>
    <s v="Facebook"/>
    <n v="3143.7"/>
  </r>
  <r>
    <s v="ORD200365"/>
    <d v="2025-02-14T00:00:00"/>
    <s v="C56796"/>
    <s v="Phone"/>
    <n v="1"/>
    <n v="678.38"/>
    <s v="607 Main St"/>
    <s v="Credit Card"/>
    <x v="1"/>
    <s v="TRK74263180"/>
    <n v="4"/>
    <s v="SAVE10"/>
    <s v="Referral"/>
    <n v="678.38"/>
  </r>
  <r>
    <s v="ORD200366"/>
    <d v="2023-02-10T00:00:00"/>
    <s v="C95213"/>
    <s v="Printer"/>
    <n v="3"/>
    <n v="602.24"/>
    <s v="603 Main St"/>
    <s v="Debit Card"/>
    <x v="4"/>
    <s v="TRK40630538"/>
    <n v="8"/>
    <s v="No Coupon"/>
    <s v="Referral"/>
    <n v="1806.72"/>
  </r>
  <r>
    <s v="ORD200367"/>
    <d v="2024-04-25T00:00:00"/>
    <s v="C13108"/>
    <s v="Laptop"/>
    <n v="5"/>
    <n v="658.77"/>
    <s v="712 Main St"/>
    <s v="Gift Card"/>
    <x v="4"/>
    <s v="TRK82284400"/>
    <n v="10"/>
    <s v="FREESHIP"/>
    <s v="Instagram"/>
    <n v="3293.85"/>
  </r>
  <r>
    <s v="ORD200368"/>
    <d v="2023-05-01T00:00:00"/>
    <s v="C85322"/>
    <s v="Monitor"/>
    <n v="3"/>
    <n v="271.02"/>
    <s v="403 Main St"/>
    <s v="Credit Card"/>
    <x v="1"/>
    <s v="TRK89728869"/>
    <n v="6"/>
    <s v="No Coupon"/>
    <s v="Google"/>
    <n v="813.06"/>
  </r>
  <r>
    <s v="ORD200369"/>
    <d v="2024-12-22T00:00:00"/>
    <s v="C43545"/>
    <s v="Monitor"/>
    <n v="5"/>
    <n v="375.25"/>
    <s v="216 Main St"/>
    <s v="Gift Card"/>
    <x v="4"/>
    <s v="TRK73937402"/>
    <n v="9"/>
    <s v="SAVE10"/>
    <s v="Email"/>
    <n v="1876.25"/>
  </r>
  <r>
    <s v="ORD200370"/>
    <d v="2025-05-03T00:00:00"/>
    <s v="C80649"/>
    <s v="Phone"/>
    <n v="1"/>
    <n v="312.11"/>
    <s v="870 Main St"/>
    <s v="Online"/>
    <x v="1"/>
    <s v="TRK41143313"/>
    <n v="4"/>
    <s v="WINTER15"/>
    <s v="Facebook"/>
    <n v="312.11"/>
  </r>
  <r>
    <s v="ORD200371"/>
    <d v="2023-01-05T00:00:00"/>
    <s v="C59752"/>
    <s v="Phone"/>
    <n v="5"/>
    <n v="307.76"/>
    <s v="179 Main St"/>
    <s v="Gift Card"/>
    <x v="4"/>
    <s v="TRK82229639"/>
    <n v="9"/>
    <s v="FREESHIP"/>
    <s v="Google"/>
    <n v="1538.8"/>
  </r>
  <r>
    <s v="ORD200372"/>
    <d v="2025-02-14T00:00:00"/>
    <s v="C53645"/>
    <s v="Chair"/>
    <n v="3"/>
    <n v="483.53"/>
    <s v="166 Main St"/>
    <s v="Cash"/>
    <x v="2"/>
    <s v="TRK12123939"/>
    <n v="4"/>
    <s v="No Coupon"/>
    <s v="Referral"/>
    <n v="1450.59"/>
  </r>
  <r>
    <s v="ORD200373"/>
    <d v="2023-01-02T00:00:00"/>
    <s v="C60178"/>
    <s v="Laptop"/>
    <n v="3"/>
    <n v="341.15"/>
    <s v="969 Main St"/>
    <s v="Cash"/>
    <x v="4"/>
    <s v="TRK84505143"/>
    <n v="4"/>
    <s v="FREESHIP"/>
    <s v="Instagram"/>
    <n v="1023.4499999999999"/>
  </r>
  <r>
    <s v="ORD200374"/>
    <d v="2024-09-16T00:00:00"/>
    <s v="C20286"/>
    <s v="Monitor"/>
    <n v="1"/>
    <n v="571.9"/>
    <s v="129 Main St"/>
    <s v="Gift Card"/>
    <x v="4"/>
    <s v="TRK67648338"/>
    <n v="1"/>
    <s v="WINTER15"/>
    <s v="Instagram"/>
    <n v="571.9"/>
  </r>
  <r>
    <s v="ORD200375"/>
    <d v="2025-01-16T00:00:00"/>
    <s v="C87547"/>
    <s v="Monitor"/>
    <n v="4"/>
    <n v="95.03"/>
    <s v="400 Main St"/>
    <s v="Online"/>
    <x v="0"/>
    <s v="TRK71027262"/>
    <n v="8"/>
    <s v="FREESHIP"/>
    <s v="Facebook"/>
    <n v="380.12"/>
  </r>
  <r>
    <s v="ORD200376"/>
    <d v="2023-08-24T00:00:00"/>
    <s v="C64549"/>
    <s v="Monitor"/>
    <n v="5"/>
    <n v="201.22"/>
    <s v="341 Main St"/>
    <s v="Debit Card"/>
    <x v="4"/>
    <s v="TRK20788231"/>
    <n v="6"/>
    <s v="FREESHIP"/>
    <s v="Facebook"/>
    <n v="1006.1"/>
  </r>
  <r>
    <s v="ORD200377"/>
    <d v="2024-07-22T00:00:00"/>
    <s v="C24884"/>
    <s v="Monitor"/>
    <n v="1"/>
    <n v="260.26"/>
    <s v="625 Main St"/>
    <s v="Online"/>
    <x v="4"/>
    <s v="TRK44538419"/>
    <n v="5"/>
    <s v="WINTER15"/>
    <s v="Instagram"/>
    <n v="260.26"/>
  </r>
  <r>
    <s v="ORD200378"/>
    <d v="2024-02-01T00:00:00"/>
    <s v="C62666"/>
    <s v="Chair"/>
    <n v="5"/>
    <n v="64.5"/>
    <s v="148 Main St"/>
    <s v="Credit Card"/>
    <x v="4"/>
    <s v="TRK91029390"/>
    <n v="8"/>
    <s v="WINTER15"/>
    <s v="Instagram"/>
    <n v="322.5"/>
  </r>
  <r>
    <s v="ORD200379"/>
    <d v="2024-09-21T00:00:00"/>
    <s v="C47284"/>
    <s v="Phone"/>
    <n v="3"/>
    <n v="297.67"/>
    <s v="500 Main St"/>
    <s v="Online"/>
    <x v="0"/>
    <s v="TRK85756094"/>
    <n v="6"/>
    <s v="No Coupon"/>
    <s v="Google"/>
    <n v="893.01"/>
  </r>
  <r>
    <s v="ORD200380"/>
    <d v="2024-04-20T00:00:00"/>
    <s v="C35355"/>
    <s v="Printer"/>
    <n v="4"/>
    <n v="331.9"/>
    <s v="127 Main St"/>
    <s v="Cash"/>
    <x v="4"/>
    <s v="TRK52935059"/>
    <n v="5"/>
    <s v="SAVE10"/>
    <s v="Instagram"/>
    <n v="1327.6"/>
  </r>
  <r>
    <s v="ORD200381"/>
    <d v="2023-06-07T00:00:00"/>
    <s v="C29467"/>
    <s v="Chair"/>
    <n v="1"/>
    <n v="191.76"/>
    <s v="223 Main St"/>
    <s v="Credit Card"/>
    <x v="2"/>
    <s v="TRK98103385"/>
    <n v="1"/>
    <s v="FREESHIP"/>
    <s v="Instagram"/>
    <n v="191.76"/>
  </r>
  <r>
    <s v="ORD200382"/>
    <d v="2025-01-30T00:00:00"/>
    <s v="C26718"/>
    <s v="Printer"/>
    <n v="4"/>
    <n v="263.08999999999997"/>
    <s v="272 Main St"/>
    <s v="Debit Card"/>
    <x v="0"/>
    <s v="TRK91702525"/>
    <n v="8"/>
    <s v="SAVE10"/>
    <s v="Google"/>
    <n v="1052.3599999999999"/>
  </r>
  <r>
    <s v="ORD200383"/>
    <d v="2023-01-20T00:00:00"/>
    <s v="C18944"/>
    <s v="Chair"/>
    <n v="4"/>
    <n v="393.8"/>
    <s v="837 Main St"/>
    <s v="Credit Card"/>
    <x v="4"/>
    <s v="TRK45275439"/>
    <n v="7"/>
    <s v="SAVE10"/>
    <s v="Email"/>
    <n v="1575.2"/>
  </r>
  <r>
    <s v="ORD200384"/>
    <d v="2024-11-24T00:00:00"/>
    <s v="C35628"/>
    <s v="Chair"/>
    <n v="3"/>
    <n v="553.57000000000005"/>
    <s v="147 Main St"/>
    <s v="Credit Card"/>
    <x v="2"/>
    <s v="TRK45688220"/>
    <n v="4"/>
    <s v="FREESHIP"/>
    <s v="Facebook"/>
    <n v="1660.71"/>
  </r>
  <r>
    <s v="ORD200385"/>
    <d v="2023-10-31T00:00:00"/>
    <s v="C56851"/>
    <s v="Chair"/>
    <n v="5"/>
    <n v="191.63"/>
    <s v="752 Main St"/>
    <s v="Gift Card"/>
    <x v="3"/>
    <s v="TRK65290904"/>
    <n v="6"/>
    <s v="FREESHIP"/>
    <s v="Facebook"/>
    <n v="958.15"/>
  </r>
  <r>
    <s v="ORD200386"/>
    <d v="2023-04-28T00:00:00"/>
    <s v="C12421"/>
    <s v="Tablet"/>
    <n v="1"/>
    <n v="93.02"/>
    <s v="373 Main St"/>
    <s v="Online"/>
    <x v="2"/>
    <s v="TRK32588504"/>
    <n v="4"/>
    <s v="No Coupon"/>
    <s v="Email"/>
    <n v="93.02"/>
  </r>
  <r>
    <s v="ORD200387"/>
    <d v="2024-06-27T00:00:00"/>
    <s v="C25316"/>
    <s v="Printer"/>
    <n v="2"/>
    <n v="39.53"/>
    <s v="904 Main St"/>
    <s v="Credit Card"/>
    <x v="0"/>
    <s v="TRK55423551"/>
    <n v="3"/>
    <s v="WINTER15"/>
    <s v="Google"/>
    <n v="79.06"/>
  </r>
  <r>
    <s v="ORD200388"/>
    <d v="2023-12-28T00:00:00"/>
    <s v="C22657"/>
    <s v="Printer"/>
    <n v="3"/>
    <n v="633.97"/>
    <s v="152 Main St"/>
    <s v="Cash"/>
    <x v="4"/>
    <s v="TRK49157047"/>
    <n v="7"/>
    <s v="WINTER15"/>
    <s v="Facebook"/>
    <n v="1901.91"/>
  </r>
  <r>
    <s v="ORD200389"/>
    <d v="2023-12-17T00:00:00"/>
    <s v="C29703"/>
    <s v="Desk"/>
    <n v="4"/>
    <n v="697.5"/>
    <s v="558 Main St"/>
    <s v="Cash"/>
    <x v="0"/>
    <s v="TRK40543461"/>
    <n v="7"/>
    <s v="FREESHIP"/>
    <s v="Referral"/>
    <n v="2790"/>
  </r>
  <r>
    <s v="ORD200390"/>
    <d v="2023-07-14T00:00:00"/>
    <s v="C55996"/>
    <s v="Printer"/>
    <n v="5"/>
    <n v="508.69"/>
    <s v="885 Main St"/>
    <s v="Cash"/>
    <x v="3"/>
    <s v="TRK30547638"/>
    <n v="10"/>
    <s v="FREESHIP"/>
    <s v="Google"/>
    <n v="2543.4499999999998"/>
  </r>
  <r>
    <s v="ORD200391"/>
    <d v="2025-01-16T00:00:00"/>
    <s v="C60037"/>
    <s v="Laptop"/>
    <n v="2"/>
    <n v="527.46"/>
    <s v="516 Main St"/>
    <s v="Debit Card"/>
    <x v="1"/>
    <s v="TRK82009557"/>
    <n v="3"/>
    <s v="FREESHIP"/>
    <s v="Referral"/>
    <n v="1054.92"/>
  </r>
  <r>
    <s v="ORD200392"/>
    <d v="2024-02-28T00:00:00"/>
    <s v="C95100"/>
    <s v="Phone"/>
    <n v="1"/>
    <n v="627.20000000000005"/>
    <s v="197 Main St"/>
    <s v="Online"/>
    <x v="3"/>
    <s v="TRK47366265"/>
    <n v="1"/>
    <s v="WINTER15"/>
    <s v="Email"/>
    <n v="627.20000000000005"/>
  </r>
  <r>
    <s v="ORD200393"/>
    <d v="2024-07-14T00:00:00"/>
    <s v="C39906"/>
    <s v="Printer"/>
    <n v="1"/>
    <n v="75.010000000000005"/>
    <s v="921 Main St"/>
    <s v="Credit Card"/>
    <x v="2"/>
    <s v="TRK24632134"/>
    <n v="3"/>
    <s v="No Coupon"/>
    <s v="Google"/>
    <n v="75.010000000000005"/>
  </r>
  <r>
    <s v="ORD200394"/>
    <d v="2023-07-05T00:00:00"/>
    <s v="C70148"/>
    <s v="Desk"/>
    <n v="5"/>
    <n v="529.54999999999995"/>
    <s v="359 Main St"/>
    <s v="Gift Card"/>
    <x v="0"/>
    <s v="TRK34848650"/>
    <n v="10"/>
    <s v="No Coupon"/>
    <s v="Facebook"/>
    <n v="2647.75"/>
  </r>
  <r>
    <s v="ORD200395"/>
    <d v="2025-04-25T00:00:00"/>
    <s v="C30010"/>
    <s v="Phone"/>
    <n v="3"/>
    <n v="127.41"/>
    <s v="830 Main St"/>
    <s v="Gift Card"/>
    <x v="3"/>
    <s v="TRK35386084"/>
    <n v="7"/>
    <s v="SAVE10"/>
    <s v="Referral"/>
    <n v="382.23"/>
  </r>
  <r>
    <s v="ORD200396"/>
    <d v="2023-12-01T00:00:00"/>
    <s v="C99217"/>
    <s v="Tablet"/>
    <n v="5"/>
    <n v="287.13"/>
    <s v="778 Main St"/>
    <s v="Online"/>
    <x v="0"/>
    <s v="TRK82004594"/>
    <n v="10"/>
    <s v="SAVE10"/>
    <s v="Email"/>
    <n v="1435.65"/>
  </r>
  <r>
    <s v="ORD200397"/>
    <d v="2023-09-28T00:00:00"/>
    <s v="C30184"/>
    <s v="Monitor"/>
    <n v="1"/>
    <n v="427.06"/>
    <s v="987 Main St"/>
    <s v="Online"/>
    <x v="1"/>
    <s v="TRK86674704"/>
    <n v="1"/>
    <s v="WINTER15"/>
    <s v="Referral"/>
    <n v="427.06"/>
  </r>
  <r>
    <s v="ORD200398"/>
    <d v="2024-09-04T00:00:00"/>
    <s v="C50275"/>
    <s v="Phone"/>
    <n v="5"/>
    <n v="53.93"/>
    <s v="729 Main St"/>
    <s v="Gift Card"/>
    <x v="0"/>
    <s v="TRK98925264"/>
    <n v="7"/>
    <s v="SAVE10"/>
    <s v="Instagram"/>
    <n v="269.64999999999998"/>
  </r>
  <r>
    <s v="ORD200399"/>
    <d v="2024-01-07T00:00:00"/>
    <s v="C64641"/>
    <s v="Tablet"/>
    <n v="5"/>
    <n v="423.93"/>
    <s v="319 Main St"/>
    <s v="Debit Card"/>
    <x v="2"/>
    <s v="TRK32012588"/>
    <n v="5"/>
    <s v="FREESHIP"/>
    <s v="Facebook"/>
    <n v="2119.65"/>
  </r>
  <r>
    <s v="ORD200400"/>
    <d v="2024-09-28T00:00:00"/>
    <s v="C56266"/>
    <s v="Desk"/>
    <n v="4"/>
    <n v="160.22"/>
    <s v="304 Main St"/>
    <s v="Debit Card"/>
    <x v="2"/>
    <s v="TRK60088901"/>
    <n v="9"/>
    <s v="WINTER15"/>
    <s v="Instagram"/>
    <n v="640.88"/>
  </r>
  <r>
    <s v="ORD200401"/>
    <d v="2025-04-09T00:00:00"/>
    <s v="C98635"/>
    <s v="Printer"/>
    <n v="1"/>
    <n v="538.67999999999995"/>
    <s v="197 Main St"/>
    <s v="Debit Card"/>
    <x v="2"/>
    <s v="TRK14225465"/>
    <n v="6"/>
    <s v="No Coupon"/>
    <s v="Referral"/>
    <n v="538.67999999999995"/>
  </r>
  <r>
    <s v="ORD200402"/>
    <d v="2023-04-09T00:00:00"/>
    <s v="C83026"/>
    <s v="Printer"/>
    <n v="5"/>
    <n v="337.38"/>
    <s v="858 Main St"/>
    <s v="Gift Card"/>
    <x v="0"/>
    <s v="TRK79746259"/>
    <n v="5"/>
    <s v="No Coupon"/>
    <s v="Referral"/>
    <n v="1686.9"/>
  </r>
  <r>
    <s v="ORD200403"/>
    <d v="2024-11-10T00:00:00"/>
    <s v="C28893"/>
    <s v="Tablet"/>
    <n v="1"/>
    <n v="620.21"/>
    <s v="740 Main St"/>
    <s v="Online"/>
    <x v="2"/>
    <s v="TRK98333066"/>
    <n v="1"/>
    <s v="FREESHIP"/>
    <s v="Referral"/>
    <n v="620.21"/>
  </r>
  <r>
    <s v="ORD200404"/>
    <d v="2023-03-09T00:00:00"/>
    <s v="C45482"/>
    <s v="Monitor"/>
    <n v="2"/>
    <n v="99.1"/>
    <s v="440 Main St"/>
    <s v="Cash"/>
    <x v="3"/>
    <s v="TRK54571699"/>
    <n v="6"/>
    <s v="No Coupon"/>
    <s v="Instagram"/>
    <n v="198.2"/>
  </r>
  <r>
    <s v="ORD200405"/>
    <d v="2025-01-26T00:00:00"/>
    <s v="C97774"/>
    <s v="Monitor"/>
    <n v="4"/>
    <n v="451.97"/>
    <s v="603 Main St"/>
    <s v="Online"/>
    <x v="1"/>
    <s v="TRK64664424"/>
    <n v="7"/>
    <s v="WINTER15"/>
    <s v="Email"/>
    <n v="1807.88"/>
  </r>
  <r>
    <s v="ORD200406"/>
    <d v="2023-12-10T00:00:00"/>
    <s v="C11657"/>
    <s v="Tablet"/>
    <n v="4"/>
    <n v="66.099999999999994"/>
    <s v="572 Main St"/>
    <s v="Cash"/>
    <x v="2"/>
    <s v="TRK50284486"/>
    <n v="9"/>
    <s v="WINTER15"/>
    <s v="Google"/>
    <n v="264.39999999999998"/>
  </r>
  <r>
    <s v="ORD200407"/>
    <d v="2023-08-13T00:00:00"/>
    <s v="C85993"/>
    <s v="Tablet"/>
    <n v="4"/>
    <n v="547.32000000000005"/>
    <s v="250 Main St"/>
    <s v="Cash"/>
    <x v="2"/>
    <s v="TRK72547640"/>
    <n v="8"/>
    <s v="FREESHIP"/>
    <s v="Instagram"/>
    <n v="2189.2800000000002"/>
  </r>
  <r>
    <s v="ORD200408"/>
    <d v="2025-01-01T00:00:00"/>
    <s v="C11906"/>
    <s v="Printer"/>
    <n v="3"/>
    <n v="412.53"/>
    <s v="536 Main St"/>
    <s v="Online"/>
    <x v="4"/>
    <s v="TRK31140158"/>
    <n v="6"/>
    <s v="WINTER15"/>
    <s v="Google"/>
    <n v="1237.5899999999999"/>
  </r>
  <r>
    <s v="ORD200409"/>
    <d v="2023-06-28T00:00:00"/>
    <s v="C45187"/>
    <s v="Desk"/>
    <n v="5"/>
    <n v="84.13"/>
    <s v="767 Main St"/>
    <s v="Online"/>
    <x v="3"/>
    <s v="TRK12320793"/>
    <n v="9"/>
    <s v="SAVE10"/>
    <s v="Google"/>
    <n v="420.65"/>
  </r>
  <r>
    <s v="ORD200410"/>
    <d v="2024-01-18T00:00:00"/>
    <s v="C37375"/>
    <s v="Tablet"/>
    <n v="2"/>
    <n v="518.23"/>
    <s v="184 Main St"/>
    <s v="Debit Card"/>
    <x v="0"/>
    <s v="TRK52470162"/>
    <n v="5"/>
    <s v="No Coupon"/>
    <s v="Email"/>
    <n v="1036.46"/>
  </r>
  <r>
    <s v="ORD200411"/>
    <d v="2024-06-19T00:00:00"/>
    <s v="C66567"/>
    <s v="Desk"/>
    <n v="2"/>
    <n v="39.51"/>
    <s v="981 Main St"/>
    <s v="Online"/>
    <x v="0"/>
    <s v="TRK21174822"/>
    <n v="5"/>
    <s v="No Coupon"/>
    <s v="Facebook"/>
    <n v="79.02"/>
  </r>
  <r>
    <s v="ORD200412"/>
    <d v="2025-04-11T00:00:00"/>
    <s v="C42451"/>
    <s v="Tablet"/>
    <n v="5"/>
    <n v="133.01"/>
    <s v="246 Main St"/>
    <s v="Credit Card"/>
    <x v="2"/>
    <s v="TRK31313343"/>
    <n v="10"/>
    <s v="No Coupon"/>
    <s v="Facebook"/>
    <n v="665.05"/>
  </r>
  <r>
    <s v="ORD200413"/>
    <d v="2023-10-08T00:00:00"/>
    <s v="C13923"/>
    <s v="Tablet"/>
    <n v="1"/>
    <n v="118.8"/>
    <s v="123 Main St"/>
    <s v="Online"/>
    <x v="3"/>
    <s v="TRK87598790"/>
    <n v="6"/>
    <s v="SAVE10"/>
    <s v="Email"/>
    <n v="118.8"/>
  </r>
  <r>
    <s v="ORD200414"/>
    <d v="2025-05-04T00:00:00"/>
    <s v="C11829"/>
    <s v="Desk"/>
    <n v="2"/>
    <n v="139.57"/>
    <s v="797 Main St"/>
    <s v="Cash"/>
    <x v="3"/>
    <s v="TRK84229257"/>
    <n v="4"/>
    <s v="WINTER15"/>
    <s v="Facebook"/>
    <n v="279.14"/>
  </r>
  <r>
    <s v="ORD200415"/>
    <d v="2025-04-06T00:00:00"/>
    <s v="C62169"/>
    <s v="Chair"/>
    <n v="1"/>
    <n v="184.15"/>
    <s v="655 Main St"/>
    <s v="Gift Card"/>
    <x v="0"/>
    <s v="TRK64558985"/>
    <n v="5"/>
    <s v="FREESHIP"/>
    <s v="Facebook"/>
    <n v="184.15"/>
  </r>
  <r>
    <s v="ORD200416"/>
    <d v="2023-07-18T00:00:00"/>
    <s v="C20881"/>
    <s v="Laptop"/>
    <n v="2"/>
    <n v="644.04999999999995"/>
    <s v="652 Main St"/>
    <s v="Gift Card"/>
    <x v="1"/>
    <s v="TRK26263902"/>
    <n v="5"/>
    <s v="WINTER15"/>
    <s v="Referral"/>
    <n v="1288.0999999999999"/>
  </r>
  <r>
    <s v="ORD200417"/>
    <d v="2023-10-24T00:00:00"/>
    <s v="C44492"/>
    <s v="Laptop"/>
    <n v="5"/>
    <n v="55.41"/>
    <s v="954 Main St"/>
    <s v="Online"/>
    <x v="1"/>
    <s v="TRK51429869"/>
    <n v="5"/>
    <s v="No Coupon"/>
    <s v="Google"/>
    <n v="277.04999999999995"/>
  </r>
  <r>
    <s v="ORD200418"/>
    <d v="2023-01-11T00:00:00"/>
    <s v="C74169"/>
    <s v="Printer"/>
    <n v="1"/>
    <n v="310.93"/>
    <s v="862 Main St"/>
    <s v="Online"/>
    <x v="1"/>
    <s v="TRK66144809"/>
    <n v="3"/>
    <s v="No Coupon"/>
    <s v="Facebook"/>
    <n v="310.93"/>
  </r>
  <r>
    <s v="ORD200419"/>
    <d v="2024-04-17T00:00:00"/>
    <s v="C70999"/>
    <s v="Tablet"/>
    <n v="2"/>
    <n v="216.66"/>
    <s v="885 Main St"/>
    <s v="Debit Card"/>
    <x v="4"/>
    <s v="TRK75644156"/>
    <n v="6"/>
    <s v="FREESHIP"/>
    <s v="Instagram"/>
    <n v="433.32"/>
  </r>
  <r>
    <s v="ORD200420"/>
    <d v="2024-11-29T00:00:00"/>
    <s v="C11921"/>
    <s v="Phone"/>
    <n v="1"/>
    <n v="452.7"/>
    <s v="439 Main St"/>
    <s v="Debit Card"/>
    <x v="0"/>
    <s v="TRK91362635"/>
    <n v="5"/>
    <s v="FREESHIP"/>
    <s v="Instagram"/>
    <n v="452.7"/>
  </r>
  <r>
    <s v="ORD200421"/>
    <d v="2023-10-15T00:00:00"/>
    <s v="C50683"/>
    <s v="Chair"/>
    <n v="2"/>
    <n v="288.20999999999998"/>
    <s v="769 Main St"/>
    <s v="Debit Card"/>
    <x v="1"/>
    <s v="TRK53032122"/>
    <n v="5"/>
    <s v="No Coupon"/>
    <s v="Email"/>
    <n v="576.41999999999996"/>
  </r>
  <r>
    <s v="ORD200422"/>
    <d v="2023-06-05T00:00:00"/>
    <s v="C76140"/>
    <s v="Phone"/>
    <n v="4"/>
    <n v="206.6"/>
    <s v="914 Main St"/>
    <s v="Gift Card"/>
    <x v="2"/>
    <s v="TRK25861469"/>
    <n v="6"/>
    <s v="WINTER15"/>
    <s v="Referral"/>
    <n v="826.4"/>
  </r>
  <r>
    <s v="ORD200423"/>
    <d v="2024-07-20T00:00:00"/>
    <s v="C94311"/>
    <s v="Printer"/>
    <n v="4"/>
    <n v="685.2"/>
    <s v="195 Main St"/>
    <s v="Gift Card"/>
    <x v="1"/>
    <s v="TRK97308771"/>
    <n v="6"/>
    <s v="WINTER15"/>
    <s v="Google"/>
    <n v="2740.8"/>
  </r>
  <r>
    <s v="ORD200424"/>
    <d v="2023-04-12T00:00:00"/>
    <s v="C49491"/>
    <s v="Chair"/>
    <n v="5"/>
    <n v="22.94"/>
    <s v="339 Main St"/>
    <s v="Cash"/>
    <x v="4"/>
    <s v="TRK64012257"/>
    <n v="10"/>
    <s v="No Coupon"/>
    <s v="Email"/>
    <n v="114.7"/>
  </r>
  <r>
    <s v="ORD200425"/>
    <d v="2023-03-09T00:00:00"/>
    <s v="C40648"/>
    <s v="Laptop"/>
    <n v="2"/>
    <n v="301.88"/>
    <s v="488 Main St"/>
    <s v="Gift Card"/>
    <x v="2"/>
    <s v="TRK25325993"/>
    <n v="5"/>
    <s v="WINTER15"/>
    <s v="Email"/>
    <n v="603.76"/>
  </r>
  <r>
    <s v="ORD200426"/>
    <d v="2025-03-16T00:00:00"/>
    <s v="C40967"/>
    <s v="Monitor"/>
    <n v="5"/>
    <n v="57.45"/>
    <s v="315 Main St"/>
    <s v="Cash"/>
    <x v="1"/>
    <s v="TRK24839296"/>
    <n v="10"/>
    <s v="No Coupon"/>
    <s v="Facebook"/>
    <n v="287.25"/>
  </r>
  <r>
    <s v="ORD200427"/>
    <d v="2024-12-18T00:00:00"/>
    <s v="C25406"/>
    <s v="Desk"/>
    <n v="1"/>
    <n v="161.24"/>
    <s v="379 Main St"/>
    <s v="Credit Card"/>
    <x v="4"/>
    <s v="TRK70952564"/>
    <n v="3"/>
    <s v="WINTER15"/>
    <s v="Instagram"/>
    <n v="161.24"/>
  </r>
  <r>
    <s v="ORD200428"/>
    <d v="2024-11-26T00:00:00"/>
    <s v="C77085"/>
    <s v="Chair"/>
    <n v="4"/>
    <n v="262.58"/>
    <s v="895 Main St"/>
    <s v="Online"/>
    <x v="1"/>
    <s v="TRK57227640"/>
    <n v="8"/>
    <s v="WINTER15"/>
    <s v="Email"/>
    <n v="1050.32"/>
  </r>
  <r>
    <s v="ORD200429"/>
    <d v="2024-12-19T00:00:00"/>
    <s v="C38126"/>
    <s v="Printer"/>
    <n v="4"/>
    <n v="515.19000000000005"/>
    <s v="522 Main St"/>
    <s v="Credit Card"/>
    <x v="4"/>
    <s v="TRK90838498"/>
    <n v="9"/>
    <s v="SAVE10"/>
    <s v="Facebook"/>
    <n v="2060.7600000000002"/>
  </r>
  <r>
    <s v="ORD200430"/>
    <d v="2023-06-07T00:00:00"/>
    <s v="C87448"/>
    <s v="Phone"/>
    <n v="1"/>
    <n v="450.07"/>
    <s v="433 Main St"/>
    <s v="Gift Card"/>
    <x v="0"/>
    <s v="TRK44134016"/>
    <n v="6"/>
    <s v="FREESHIP"/>
    <s v="Google"/>
    <n v="450.07"/>
  </r>
  <r>
    <s v="ORD200431"/>
    <d v="2024-10-06T00:00:00"/>
    <s v="C62312"/>
    <s v="Printer"/>
    <n v="1"/>
    <n v="52.54"/>
    <s v="651 Main St"/>
    <s v="Debit Card"/>
    <x v="1"/>
    <s v="TRK59623037"/>
    <n v="6"/>
    <s v="WINTER15"/>
    <s v="Facebook"/>
    <n v="52.54"/>
  </r>
  <r>
    <s v="ORD200432"/>
    <d v="2023-09-04T00:00:00"/>
    <s v="C58443"/>
    <s v="Tablet"/>
    <n v="2"/>
    <n v="424.32"/>
    <s v="662 Main St"/>
    <s v="Credit Card"/>
    <x v="2"/>
    <s v="TRK77163738"/>
    <n v="6"/>
    <s v="No Coupon"/>
    <s v="Referral"/>
    <n v="848.64"/>
  </r>
  <r>
    <s v="ORD200433"/>
    <d v="2023-08-26T00:00:00"/>
    <s v="C36613"/>
    <s v="Monitor"/>
    <n v="3"/>
    <n v="631.64"/>
    <s v="785 Main St"/>
    <s v="Credit Card"/>
    <x v="2"/>
    <s v="TRK13282106"/>
    <n v="3"/>
    <s v="FREESHIP"/>
    <s v="Facebook"/>
    <n v="1894.92"/>
  </r>
  <r>
    <s v="ORD200434"/>
    <d v="2023-10-22T00:00:00"/>
    <s v="C73893"/>
    <s v="Printer"/>
    <n v="5"/>
    <n v="327.68"/>
    <s v="384 Main St"/>
    <s v="Credit Card"/>
    <x v="2"/>
    <s v="TRK85939879"/>
    <n v="6"/>
    <s v="No Coupon"/>
    <s v="Facebook"/>
    <n v="1638.4"/>
  </r>
  <r>
    <s v="ORD200435"/>
    <d v="2023-05-27T00:00:00"/>
    <s v="C48601"/>
    <s v="Printer"/>
    <n v="1"/>
    <n v="414.47"/>
    <s v="101 Main St"/>
    <s v="Debit Card"/>
    <x v="2"/>
    <s v="TRK97868309"/>
    <n v="3"/>
    <s v="FREESHIP"/>
    <s v="Instagram"/>
    <n v="414.47"/>
  </r>
  <r>
    <s v="ORD200436"/>
    <d v="2023-02-11T00:00:00"/>
    <s v="C14568"/>
    <s v="Laptop"/>
    <n v="4"/>
    <n v="221.33"/>
    <s v="651 Main St"/>
    <s v="Online"/>
    <x v="4"/>
    <s v="TRK73545796"/>
    <n v="5"/>
    <s v="No Coupon"/>
    <s v="Google"/>
    <n v="885.32"/>
  </r>
  <r>
    <s v="ORD200437"/>
    <d v="2024-04-18T00:00:00"/>
    <s v="C63378"/>
    <s v="Phone"/>
    <n v="1"/>
    <n v="512.39"/>
    <s v="955 Main St"/>
    <s v="Online"/>
    <x v="3"/>
    <s v="TRK20863705"/>
    <n v="2"/>
    <s v="FREESHIP"/>
    <s v="Instagram"/>
    <n v="512.39"/>
  </r>
  <r>
    <s v="ORD200438"/>
    <d v="2025-01-03T00:00:00"/>
    <s v="C77800"/>
    <s v="Tablet"/>
    <n v="3"/>
    <n v="459.34"/>
    <s v="436 Main St"/>
    <s v="Gift Card"/>
    <x v="4"/>
    <s v="TRK27439574"/>
    <n v="3"/>
    <s v="SAVE10"/>
    <s v="Instagram"/>
    <n v="1378.02"/>
  </r>
  <r>
    <s v="ORD200439"/>
    <d v="2024-09-08T00:00:00"/>
    <s v="C91155"/>
    <s v="Tablet"/>
    <n v="1"/>
    <n v="146.32"/>
    <s v="321 Main St"/>
    <s v="Online"/>
    <x v="0"/>
    <s v="TRK36260319"/>
    <n v="4"/>
    <s v="WINTER15"/>
    <s v="Facebook"/>
    <n v="146.32"/>
  </r>
  <r>
    <s v="ORD200440"/>
    <d v="2024-11-05T00:00:00"/>
    <s v="C60215"/>
    <s v="Desk"/>
    <n v="4"/>
    <n v="83.6"/>
    <s v="978 Main St"/>
    <s v="Debit Card"/>
    <x v="4"/>
    <s v="TRK31727767"/>
    <n v="4"/>
    <s v="SAVE10"/>
    <s v="Facebook"/>
    <n v="334.4"/>
  </r>
  <r>
    <s v="ORD200441"/>
    <d v="2023-12-13T00:00:00"/>
    <s v="C52915"/>
    <s v="Printer"/>
    <n v="2"/>
    <n v="328.54"/>
    <s v="475 Main St"/>
    <s v="Gift Card"/>
    <x v="2"/>
    <s v="TRK79466982"/>
    <n v="6"/>
    <s v="FREESHIP"/>
    <s v="Email"/>
    <n v="657.08"/>
  </r>
  <r>
    <s v="ORD200442"/>
    <d v="2024-05-06T00:00:00"/>
    <s v="C72588"/>
    <s v="Chair"/>
    <n v="5"/>
    <n v="314.94"/>
    <s v="661 Main St"/>
    <s v="Cash"/>
    <x v="4"/>
    <s v="TRK43410829"/>
    <n v="8"/>
    <s v="SAVE10"/>
    <s v="Instagram"/>
    <n v="1574.7"/>
  </r>
  <r>
    <s v="ORD200443"/>
    <d v="2024-05-14T00:00:00"/>
    <s v="C61668"/>
    <s v="Chair"/>
    <n v="2"/>
    <n v="69.64"/>
    <s v="813 Main St"/>
    <s v="Cash"/>
    <x v="2"/>
    <s v="TRK58970302"/>
    <n v="6"/>
    <s v="No Coupon"/>
    <s v="Facebook"/>
    <n v="139.28"/>
  </r>
  <r>
    <s v="ORD200444"/>
    <d v="2024-06-08T00:00:00"/>
    <s v="C79508"/>
    <s v="Printer"/>
    <n v="1"/>
    <n v="135.16999999999999"/>
    <s v="585 Main St"/>
    <s v="Online"/>
    <x v="0"/>
    <s v="TRK61882353"/>
    <n v="6"/>
    <s v="FREESHIP"/>
    <s v="Instagram"/>
    <n v="135.16999999999999"/>
  </r>
  <r>
    <s v="ORD200445"/>
    <d v="2024-03-23T00:00:00"/>
    <s v="C94569"/>
    <s v="Phone"/>
    <n v="1"/>
    <n v="487.21"/>
    <s v="227 Main St"/>
    <s v="Cash"/>
    <x v="3"/>
    <s v="TRK31351770"/>
    <n v="3"/>
    <s v="SAVE10"/>
    <s v="Referral"/>
    <n v="487.21"/>
  </r>
  <r>
    <s v="ORD200446"/>
    <d v="2023-10-18T00:00:00"/>
    <s v="C89592"/>
    <s v="Laptop"/>
    <n v="5"/>
    <n v="509.58"/>
    <s v="262 Main St"/>
    <s v="Online"/>
    <x v="3"/>
    <s v="TRK49442402"/>
    <n v="6"/>
    <s v="FREESHIP"/>
    <s v="Instagram"/>
    <n v="2547.9"/>
  </r>
  <r>
    <s v="ORD200447"/>
    <d v="2024-04-07T00:00:00"/>
    <s v="C48207"/>
    <s v="Printer"/>
    <n v="2"/>
    <n v="416.81"/>
    <s v="356 Main St"/>
    <s v="Cash"/>
    <x v="2"/>
    <s v="TRK45355655"/>
    <n v="2"/>
    <s v="No Coupon"/>
    <s v="Facebook"/>
    <n v="833.62"/>
  </r>
  <r>
    <s v="ORD200448"/>
    <d v="2023-09-04T00:00:00"/>
    <s v="C16776"/>
    <s v="Laptop"/>
    <n v="2"/>
    <n v="160"/>
    <s v="854 Main St"/>
    <s v="Cash"/>
    <x v="4"/>
    <s v="TRK12860600"/>
    <n v="4"/>
    <s v="SAVE10"/>
    <s v="Instagram"/>
    <n v="320"/>
  </r>
  <r>
    <s v="ORD200449"/>
    <d v="2024-08-26T00:00:00"/>
    <s v="C91518"/>
    <s v="Tablet"/>
    <n v="3"/>
    <n v="253.05"/>
    <s v="286 Main St"/>
    <s v="Online"/>
    <x v="4"/>
    <s v="TRK48688724"/>
    <n v="3"/>
    <s v="No Coupon"/>
    <s v="Instagram"/>
    <n v="759.15000000000009"/>
  </r>
  <r>
    <s v="ORD200450"/>
    <d v="2024-01-15T00:00:00"/>
    <s v="C36408"/>
    <s v="Monitor"/>
    <n v="5"/>
    <n v="615.1"/>
    <s v="160 Main St"/>
    <s v="Gift Card"/>
    <x v="2"/>
    <s v="TRK94023253"/>
    <n v="10"/>
    <s v="WINTER15"/>
    <s v="Instagram"/>
    <n v="3075.5"/>
  </r>
  <r>
    <s v="ORD200451"/>
    <d v="2023-04-01T00:00:00"/>
    <s v="C14837"/>
    <s v="Monitor"/>
    <n v="1"/>
    <n v="183.18"/>
    <s v="647 Main St"/>
    <s v="Debit Card"/>
    <x v="1"/>
    <s v="TRK17501136"/>
    <n v="6"/>
    <s v="SAVE10"/>
    <s v="Email"/>
    <n v="183.18"/>
  </r>
  <r>
    <s v="ORD200452"/>
    <d v="2023-07-23T00:00:00"/>
    <s v="C36467"/>
    <s v="Printer"/>
    <n v="1"/>
    <n v="75.78"/>
    <s v="581 Main St"/>
    <s v="Cash"/>
    <x v="4"/>
    <s v="TRK20863987"/>
    <n v="5"/>
    <s v="SAVE10"/>
    <s v="Google"/>
    <n v="75.78"/>
  </r>
  <r>
    <s v="ORD200453"/>
    <d v="2025-05-02T00:00:00"/>
    <s v="C15017"/>
    <s v="Tablet"/>
    <n v="1"/>
    <n v="675.57"/>
    <s v="492 Main St"/>
    <s v="Cash"/>
    <x v="0"/>
    <s v="TRK51241924"/>
    <n v="1"/>
    <s v="WINTER15"/>
    <s v="Facebook"/>
    <n v="675.57"/>
  </r>
  <r>
    <s v="ORD200454"/>
    <d v="2024-11-27T00:00:00"/>
    <s v="C54759"/>
    <s v="Laptop"/>
    <n v="1"/>
    <n v="109.29"/>
    <s v="686 Main St"/>
    <s v="Debit Card"/>
    <x v="1"/>
    <s v="TRK75583042"/>
    <n v="5"/>
    <s v="FREESHIP"/>
    <s v="Google"/>
    <n v="109.29"/>
  </r>
  <r>
    <s v="ORD200455"/>
    <d v="2024-03-26T00:00:00"/>
    <s v="C58341"/>
    <s v="Phone"/>
    <n v="1"/>
    <n v="639.83000000000004"/>
    <s v="874 Main St"/>
    <s v="Debit Card"/>
    <x v="4"/>
    <s v="TRK32856728"/>
    <n v="2"/>
    <s v="SAVE10"/>
    <s v="Referral"/>
    <n v="639.83000000000004"/>
  </r>
  <r>
    <s v="ORD200456"/>
    <d v="2023-06-26T00:00:00"/>
    <s v="C94479"/>
    <s v="Desk"/>
    <n v="5"/>
    <n v="62.81"/>
    <s v="259 Main St"/>
    <s v="Credit Card"/>
    <x v="0"/>
    <s v="TRK69089975"/>
    <n v="9"/>
    <s v="SAVE10"/>
    <s v="Facebook"/>
    <n v="314.05"/>
  </r>
  <r>
    <s v="ORD200457"/>
    <d v="2025-05-25T00:00:00"/>
    <s v="C50236"/>
    <s v="Desk"/>
    <n v="4"/>
    <n v="615.83000000000004"/>
    <s v="545 Main St"/>
    <s v="Online"/>
    <x v="2"/>
    <s v="TRK67692578"/>
    <n v="4"/>
    <s v="WINTER15"/>
    <s v="Instagram"/>
    <n v="2463.3200000000002"/>
  </r>
  <r>
    <s v="ORD200458"/>
    <d v="2024-07-02T00:00:00"/>
    <s v="C31412"/>
    <s v="Monitor"/>
    <n v="4"/>
    <n v="510.58"/>
    <s v="196 Main St"/>
    <s v="Credit Card"/>
    <x v="2"/>
    <s v="TRK61946127"/>
    <n v="7"/>
    <s v="WINTER15"/>
    <s v="Email"/>
    <n v="2042.32"/>
  </r>
  <r>
    <s v="ORD200459"/>
    <d v="2024-07-24T00:00:00"/>
    <s v="C90142"/>
    <s v="Desk"/>
    <n v="1"/>
    <n v="334.39"/>
    <s v="433 Main St"/>
    <s v="Credit Card"/>
    <x v="2"/>
    <s v="TRK39717191"/>
    <n v="2"/>
    <s v="No Coupon"/>
    <s v="Instagram"/>
    <n v="334.39"/>
  </r>
  <r>
    <s v="ORD200460"/>
    <d v="2024-10-06T00:00:00"/>
    <s v="C83548"/>
    <s v="Laptop"/>
    <n v="1"/>
    <n v="144.25"/>
    <s v="474 Main St"/>
    <s v="Cash"/>
    <x v="2"/>
    <s v="TRK93822942"/>
    <n v="2"/>
    <s v="WINTER15"/>
    <s v="Referral"/>
    <n v="144.25"/>
  </r>
  <r>
    <s v="ORD200461"/>
    <d v="2024-06-08T00:00:00"/>
    <s v="C29697"/>
    <s v="Tablet"/>
    <n v="1"/>
    <n v="401.82"/>
    <s v="407 Main St"/>
    <s v="Credit Card"/>
    <x v="0"/>
    <s v="TRK47776482"/>
    <n v="5"/>
    <s v="FREESHIP"/>
    <s v="Google"/>
    <n v="401.82"/>
  </r>
  <r>
    <s v="ORD200462"/>
    <d v="2025-03-31T00:00:00"/>
    <s v="C22991"/>
    <s v="Phone"/>
    <n v="1"/>
    <n v="252.68"/>
    <s v="731 Main St"/>
    <s v="Online"/>
    <x v="1"/>
    <s v="TRK32796086"/>
    <n v="1"/>
    <s v="No Coupon"/>
    <s v="Referral"/>
    <n v="252.68"/>
  </r>
  <r>
    <s v="ORD200463"/>
    <d v="2023-05-26T00:00:00"/>
    <s v="C25276"/>
    <s v="Laptop"/>
    <n v="5"/>
    <n v="662.78"/>
    <s v="214 Main St"/>
    <s v="Debit Card"/>
    <x v="0"/>
    <s v="TRK14011732"/>
    <n v="9"/>
    <s v="SAVE10"/>
    <s v="Instagram"/>
    <n v="3313.8999999999996"/>
  </r>
  <r>
    <s v="ORD200464"/>
    <d v="2023-03-14T00:00:00"/>
    <s v="C39176"/>
    <s v="Tablet"/>
    <n v="4"/>
    <n v="434.42"/>
    <s v="739 Main St"/>
    <s v="Online"/>
    <x v="1"/>
    <s v="TRK71418686"/>
    <n v="6"/>
    <s v="FREESHIP"/>
    <s v="Google"/>
    <n v="1737.68"/>
  </r>
  <r>
    <s v="ORD200465"/>
    <d v="2024-02-26T00:00:00"/>
    <s v="C58773"/>
    <s v="Printer"/>
    <n v="5"/>
    <n v="513.49"/>
    <s v="391 Main St"/>
    <s v="Gift Card"/>
    <x v="1"/>
    <s v="TRK65438300"/>
    <n v="8"/>
    <s v="No Coupon"/>
    <s v="Google"/>
    <n v="2567.4499999999998"/>
  </r>
  <r>
    <s v="ORD200466"/>
    <d v="2023-07-18T00:00:00"/>
    <s v="C37412"/>
    <s v="Phone"/>
    <n v="1"/>
    <n v="432.47"/>
    <s v="895 Main St"/>
    <s v="Cash"/>
    <x v="3"/>
    <s v="TRK97829604"/>
    <n v="4"/>
    <s v="FREESHIP"/>
    <s v="Referral"/>
    <n v="432.47"/>
  </r>
  <r>
    <s v="ORD200467"/>
    <d v="2024-08-30T00:00:00"/>
    <s v="C36492"/>
    <s v="Desk"/>
    <n v="1"/>
    <n v="45.94"/>
    <s v="572 Main St"/>
    <s v="Cash"/>
    <x v="1"/>
    <s v="TRK44350440"/>
    <n v="2"/>
    <s v="WINTER15"/>
    <s v="Email"/>
    <n v="45.94"/>
  </r>
  <r>
    <s v="ORD200468"/>
    <d v="2025-06-21T00:00:00"/>
    <s v="C90110"/>
    <s v="Phone"/>
    <n v="1"/>
    <n v="418.36"/>
    <s v="998 Main St"/>
    <s v="Credit Card"/>
    <x v="3"/>
    <s v="TRK60203957"/>
    <n v="5"/>
    <s v="FREESHIP"/>
    <s v="Email"/>
    <n v="418.36"/>
  </r>
  <r>
    <s v="ORD200469"/>
    <d v="2023-11-26T00:00:00"/>
    <s v="C13877"/>
    <s v="Chair"/>
    <n v="5"/>
    <n v="676.98"/>
    <s v="893 Main St"/>
    <s v="Cash"/>
    <x v="1"/>
    <s v="TRK17254691"/>
    <n v="5"/>
    <s v="No Coupon"/>
    <s v="Facebook"/>
    <n v="3384.9"/>
  </r>
  <r>
    <s v="ORD200470"/>
    <d v="2023-09-29T00:00:00"/>
    <s v="C25149"/>
    <s v="Tablet"/>
    <n v="4"/>
    <n v="263.62"/>
    <s v="672 Main St"/>
    <s v="Cash"/>
    <x v="0"/>
    <s v="TRK33538608"/>
    <n v="5"/>
    <s v="SAVE10"/>
    <s v="Email"/>
    <n v="1054.48"/>
  </r>
  <r>
    <s v="ORD200471"/>
    <d v="2025-04-19T00:00:00"/>
    <s v="C52717"/>
    <s v="Desk"/>
    <n v="5"/>
    <n v="551.27"/>
    <s v="395 Main St"/>
    <s v="Online"/>
    <x v="1"/>
    <s v="TRK27625571"/>
    <n v="7"/>
    <s v="FREESHIP"/>
    <s v="Referral"/>
    <n v="2756.35"/>
  </r>
  <r>
    <s v="ORD200472"/>
    <d v="2023-01-06T00:00:00"/>
    <s v="C60029"/>
    <s v="Chair"/>
    <n v="3"/>
    <n v="508.12"/>
    <s v="796 Main St"/>
    <s v="Credit Card"/>
    <x v="1"/>
    <s v="TRK86461316"/>
    <n v="8"/>
    <s v="FREESHIP"/>
    <s v="Referral"/>
    <n v="1524.3600000000001"/>
  </r>
  <r>
    <s v="ORD200473"/>
    <d v="2025-02-25T00:00:00"/>
    <s v="C28552"/>
    <s v="Chair"/>
    <n v="2"/>
    <n v="14.93"/>
    <s v="449 Main St"/>
    <s v="Online"/>
    <x v="0"/>
    <s v="TRK71597160"/>
    <n v="4"/>
    <s v="No Coupon"/>
    <s v="Facebook"/>
    <n v="29.86"/>
  </r>
  <r>
    <s v="ORD200474"/>
    <d v="2023-11-15T00:00:00"/>
    <s v="C72293"/>
    <s v="Printer"/>
    <n v="3"/>
    <n v="229.34"/>
    <s v="398 Main St"/>
    <s v="Credit Card"/>
    <x v="0"/>
    <s v="TRK84378003"/>
    <n v="6"/>
    <s v="SAVE10"/>
    <s v="Referral"/>
    <n v="688.02"/>
  </r>
  <r>
    <s v="ORD200475"/>
    <d v="2025-04-19T00:00:00"/>
    <s v="C29844"/>
    <s v="Tablet"/>
    <n v="2"/>
    <n v="438.62"/>
    <s v="363 Main St"/>
    <s v="Cash"/>
    <x v="1"/>
    <s v="TRK91642337"/>
    <n v="3"/>
    <s v="SAVE10"/>
    <s v="Facebook"/>
    <n v="877.24"/>
  </r>
  <r>
    <s v="ORD200476"/>
    <d v="2024-01-15T00:00:00"/>
    <s v="C77872"/>
    <s v="Phone"/>
    <n v="2"/>
    <n v="513.59"/>
    <s v="867 Main St"/>
    <s v="Online"/>
    <x v="2"/>
    <s v="TRK19292184"/>
    <n v="4"/>
    <s v="FREESHIP"/>
    <s v="Referral"/>
    <n v="1027.18"/>
  </r>
  <r>
    <s v="ORD200477"/>
    <d v="2025-03-05T00:00:00"/>
    <s v="C56564"/>
    <s v="Phone"/>
    <n v="2"/>
    <n v="253.74"/>
    <s v="481 Main St"/>
    <s v="Online"/>
    <x v="0"/>
    <s v="TRK13166044"/>
    <n v="5"/>
    <s v="SAVE10"/>
    <s v="Google"/>
    <n v="507.48"/>
  </r>
  <r>
    <s v="ORD200478"/>
    <d v="2024-11-01T00:00:00"/>
    <s v="C16758"/>
    <s v="Tablet"/>
    <n v="3"/>
    <n v="62.77"/>
    <s v="914 Main St"/>
    <s v="Gift Card"/>
    <x v="0"/>
    <s v="TRK88544431"/>
    <n v="6"/>
    <s v="FREESHIP"/>
    <s v="Referral"/>
    <n v="188.31"/>
  </r>
  <r>
    <s v="ORD200479"/>
    <d v="2023-02-18T00:00:00"/>
    <s v="C87011"/>
    <s v="Monitor"/>
    <n v="4"/>
    <n v="25.29"/>
    <s v="943 Main St"/>
    <s v="Credit Card"/>
    <x v="4"/>
    <s v="TRK21429162"/>
    <n v="8"/>
    <s v="No Coupon"/>
    <s v="Google"/>
    <n v="101.16"/>
  </r>
  <r>
    <s v="ORD200480"/>
    <d v="2023-06-16T00:00:00"/>
    <s v="C21147"/>
    <s v="Chair"/>
    <n v="1"/>
    <n v="335.1"/>
    <s v="126 Main St"/>
    <s v="Debit Card"/>
    <x v="4"/>
    <s v="TRK93171043"/>
    <n v="6"/>
    <s v="FREESHIP"/>
    <s v="Referral"/>
    <n v="335.1"/>
  </r>
  <r>
    <s v="ORD200481"/>
    <d v="2023-04-23T00:00:00"/>
    <s v="C94568"/>
    <s v="Laptop"/>
    <n v="4"/>
    <n v="484.85"/>
    <s v="317 Main St"/>
    <s v="Debit Card"/>
    <x v="3"/>
    <s v="TRK58653915"/>
    <n v="5"/>
    <s v="WINTER15"/>
    <s v="Referral"/>
    <n v="1939.4"/>
  </r>
  <r>
    <s v="ORD200482"/>
    <d v="2025-03-02T00:00:00"/>
    <s v="C35852"/>
    <s v="Monitor"/>
    <n v="3"/>
    <n v="381.41"/>
    <s v="989 Main St"/>
    <s v="Online"/>
    <x v="4"/>
    <s v="TRK22302049"/>
    <n v="6"/>
    <s v="No Coupon"/>
    <s v="Instagram"/>
    <n v="1144.23"/>
  </r>
  <r>
    <s v="ORD200483"/>
    <d v="2023-01-18T00:00:00"/>
    <s v="C66462"/>
    <s v="Phone"/>
    <n v="5"/>
    <n v="347.92"/>
    <s v="982 Main St"/>
    <s v="Cash"/>
    <x v="4"/>
    <s v="TRK52743700"/>
    <n v="6"/>
    <s v="WINTER15"/>
    <s v="Google"/>
    <n v="1739.6000000000001"/>
  </r>
  <r>
    <s v="ORD200484"/>
    <d v="2024-05-29T00:00:00"/>
    <s v="C29092"/>
    <s v="Chair"/>
    <n v="4"/>
    <n v="15.01"/>
    <s v="767 Main St"/>
    <s v="Cash"/>
    <x v="1"/>
    <s v="TRK90455340"/>
    <n v="6"/>
    <s v="No Coupon"/>
    <s v="Facebook"/>
    <n v="60.04"/>
  </r>
  <r>
    <s v="ORD200485"/>
    <d v="2023-08-01T00:00:00"/>
    <s v="C46651"/>
    <s v="Chair"/>
    <n v="3"/>
    <n v="404.79"/>
    <s v="764 Main St"/>
    <s v="Cash"/>
    <x v="0"/>
    <s v="TRK67679195"/>
    <n v="6"/>
    <s v="SAVE10"/>
    <s v="Instagram"/>
    <n v="1214.3700000000001"/>
  </r>
  <r>
    <s v="ORD200486"/>
    <d v="2023-02-03T00:00:00"/>
    <s v="C88981"/>
    <s v="Printer"/>
    <n v="4"/>
    <n v="611.26"/>
    <s v="558 Main St"/>
    <s v="Cash"/>
    <x v="0"/>
    <s v="TRK75267873"/>
    <n v="5"/>
    <s v="SAVE10"/>
    <s v="Referral"/>
    <n v="2445.04"/>
  </r>
  <r>
    <s v="ORD200487"/>
    <d v="2023-03-09T00:00:00"/>
    <s v="C40136"/>
    <s v="Printer"/>
    <n v="3"/>
    <n v="346.52"/>
    <s v="211 Main St"/>
    <s v="Credit Card"/>
    <x v="4"/>
    <s v="TRK92924852"/>
    <n v="3"/>
    <s v="SAVE10"/>
    <s v="Google"/>
    <n v="1039.56"/>
  </r>
  <r>
    <s v="ORD200488"/>
    <d v="2024-12-05T00:00:00"/>
    <s v="C81573"/>
    <s v="Chair"/>
    <n v="1"/>
    <n v="36.65"/>
    <s v="556 Main St"/>
    <s v="Online"/>
    <x v="1"/>
    <s v="TRK96522994"/>
    <n v="1"/>
    <s v="WINTER15"/>
    <s v="Email"/>
    <n v="36.65"/>
  </r>
  <r>
    <s v="ORD200489"/>
    <d v="2023-09-05T00:00:00"/>
    <s v="C11940"/>
    <s v="Tablet"/>
    <n v="3"/>
    <n v="149.34"/>
    <s v="589 Main St"/>
    <s v="Gift Card"/>
    <x v="1"/>
    <s v="TRK85466461"/>
    <n v="7"/>
    <s v="WINTER15"/>
    <s v="Email"/>
    <n v="448.02"/>
  </r>
  <r>
    <s v="ORD200490"/>
    <d v="2024-07-22T00:00:00"/>
    <s v="C50097"/>
    <s v="Chair"/>
    <n v="5"/>
    <n v="467.81"/>
    <s v="539 Main St"/>
    <s v="Online"/>
    <x v="1"/>
    <s v="TRK62785150"/>
    <n v="10"/>
    <s v="No Coupon"/>
    <s v="Facebook"/>
    <n v="2339.0500000000002"/>
  </r>
  <r>
    <s v="ORD200491"/>
    <d v="2023-01-05T00:00:00"/>
    <s v="C98168"/>
    <s v="Phone"/>
    <n v="5"/>
    <n v="420.7"/>
    <s v="481 Main St"/>
    <s v="Cash"/>
    <x v="4"/>
    <s v="TRK56423359"/>
    <n v="5"/>
    <s v="WINTER15"/>
    <s v="Facebook"/>
    <n v="2103.5"/>
  </r>
  <r>
    <s v="ORD200492"/>
    <d v="2023-10-25T00:00:00"/>
    <s v="C39074"/>
    <s v="Laptop"/>
    <n v="5"/>
    <n v="606.52"/>
    <s v="103 Main St"/>
    <s v="Debit Card"/>
    <x v="0"/>
    <s v="TRK13027036"/>
    <n v="6"/>
    <s v="SAVE10"/>
    <s v="Instagram"/>
    <n v="3032.6"/>
  </r>
  <r>
    <s v="ORD200493"/>
    <d v="2025-01-28T00:00:00"/>
    <s v="C84908"/>
    <s v="Phone"/>
    <n v="1"/>
    <n v="420.26"/>
    <s v="372 Main St"/>
    <s v="Credit Card"/>
    <x v="4"/>
    <s v="TRK64135970"/>
    <n v="4"/>
    <s v="FREESHIP"/>
    <s v="Facebook"/>
    <n v="420.26"/>
  </r>
  <r>
    <s v="ORD200494"/>
    <d v="2023-07-19T00:00:00"/>
    <s v="C64516"/>
    <s v="Laptop"/>
    <n v="3"/>
    <n v="505.79"/>
    <s v="459 Main St"/>
    <s v="Debit Card"/>
    <x v="4"/>
    <s v="TRK63920573"/>
    <n v="3"/>
    <s v="FREESHIP"/>
    <s v="Referral"/>
    <n v="1517.3700000000001"/>
  </r>
  <r>
    <s v="ORD200495"/>
    <d v="2025-06-05T00:00:00"/>
    <s v="C63827"/>
    <s v="Phone"/>
    <n v="4"/>
    <n v="493.73"/>
    <s v="947 Main St"/>
    <s v="Debit Card"/>
    <x v="4"/>
    <s v="TRK35730581"/>
    <n v="6"/>
    <s v="SAVE10"/>
    <s v="Facebook"/>
    <n v="1974.92"/>
  </r>
  <r>
    <s v="ORD200496"/>
    <d v="2025-03-14T00:00:00"/>
    <s v="C93618"/>
    <s v="Printer"/>
    <n v="3"/>
    <n v="201.21"/>
    <s v="249 Main St"/>
    <s v="Online"/>
    <x v="1"/>
    <s v="TRK66129326"/>
    <n v="3"/>
    <s v="SAVE10"/>
    <s v="Google"/>
    <n v="603.63"/>
  </r>
  <r>
    <s v="ORD200497"/>
    <d v="2024-10-24T00:00:00"/>
    <s v="C93948"/>
    <s v="Printer"/>
    <n v="3"/>
    <n v="112.29"/>
    <s v="454 Main St"/>
    <s v="Gift Card"/>
    <x v="0"/>
    <s v="TRK77358113"/>
    <n v="6"/>
    <s v="No Coupon"/>
    <s v="Google"/>
    <n v="336.87"/>
  </r>
  <r>
    <s v="ORD200498"/>
    <d v="2023-07-12T00:00:00"/>
    <s v="C73961"/>
    <s v="Tablet"/>
    <n v="4"/>
    <n v="132.56"/>
    <s v="306 Main St"/>
    <s v="Cash"/>
    <x v="2"/>
    <s v="TRK32607173"/>
    <n v="8"/>
    <s v="WINTER15"/>
    <s v="Instagram"/>
    <n v="530.24"/>
  </r>
  <r>
    <s v="ORD200499"/>
    <d v="2023-04-06T00:00:00"/>
    <s v="C18138"/>
    <s v="Printer"/>
    <n v="3"/>
    <n v="539.46"/>
    <s v="520 Main St"/>
    <s v="Credit Card"/>
    <x v="0"/>
    <s v="TRK20289483"/>
    <n v="4"/>
    <s v="SAVE10"/>
    <s v="Facebook"/>
    <n v="1618.38"/>
  </r>
  <r>
    <s v="ORD200500"/>
    <d v="2024-04-07T00:00:00"/>
    <s v="C79475"/>
    <s v="Laptop"/>
    <n v="5"/>
    <n v="508.59"/>
    <s v="169 Main St"/>
    <s v="Cash"/>
    <x v="2"/>
    <s v="TRK42168516"/>
    <n v="8"/>
    <s v="WINTER15"/>
    <s v="Facebook"/>
    <n v="2542.9499999999998"/>
  </r>
  <r>
    <s v="ORD200501"/>
    <d v="2024-02-04T00:00:00"/>
    <s v="C88546"/>
    <s v="Desk"/>
    <n v="4"/>
    <n v="203.46"/>
    <s v="226 Main St"/>
    <s v="Credit Card"/>
    <x v="4"/>
    <s v="TRK19867754"/>
    <n v="7"/>
    <s v="SAVE10"/>
    <s v="Referral"/>
    <n v="813.84"/>
  </r>
  <r>
    <s v="ORD200502"/>
    <d v="2023-05-20T00:00:00"/>
    <s v="C69332"/>
    <s v="Monitor"/>
    <n v="3"/>
    <n v="565.25"/>
    <s v="745 Main St"/>
    <s v="Debit Card"/>
    <x v="2"/>
    <s v="TRK65718848"/>
    <n v="7"/>
    <s v="SAVE10"/>
    <s v="Email"/>
    <n v="1695.75"/>
  </r>
  <r>
    <s v="ORD200503"/>
    <d v="2023-08-31T00:00:00"/>
    <s v="C64554"/>
    <s v="Tablet"/>
    <n v="3"/>
    <n v="136.84"/>
    <s v="498 Main St"/>
    <s v="Online"/>
    <x v="4"/>
    <s v="TRK95384568"/>
    <n v="4"/>
    <s v="FREESHIP"/>
    <s v="Facebook"/>
    <n v="410.52"/>
  </r>
  <r>
    <s v="ORD200504"/>
    <d v="2025-06-11T00:00:00"/>
    <s v="C11676"/>
    <s v="Monitor"/>
    <n v="2"/>
    <n v="464.5"/>
    <s v="805 Main St"/>
    <s v="Online"/>
    <x v="1"/>
    <s v="TRK35726395"/>
    <n v="2"/>
    <s v="WINTER15"/>
    <s v="Instagram"/>
    <n v="929"/>
  </r>
  <r>
    <s v="ORD200505"/>
    <d v="2023-06-11T00:00:00"/>
    <s v="C36014"/>
    <s v="Printer"/>
    <n v="2"/>
    <n v="434.97"/>
    <s v="558 Main St"/>
    <s v="Online"/>
    <x v="0"/>
    <s v="TRK97246526"/>
    <n v="7"/>
    <s v="No Coupon"/>
    <s v="Email"/>
    <n v="869.94"/>
  </r>
  <r>
    <s v="ORD200506"/>
    <d v="2023-07-25T00:00:00"/>
    <s v="C23279"/>
    <s v="Monitor"/>
    <n v="2"/>
    <n v="43.67"/>
    <s v="696 Main St"/>
    <s v="Cash"/>
    <x v="2"/>
    <s v="TRK58039693"/>
    <n v="4"/>
    <s v="WINTER15"/>
    <s v="Instagram"/>
    <n v="87.34"/>
  </r>
  <r>
    <s v="ORD200507"/>
    <d v="2023-07-05T00:00:00"/>
    <s v="C86481"/>
    <s v="Phone"/>
    <n v="1"/>
    <n v="171.59"/>
    <s v="546 Main St"/>
    <s v="Credit Card"/>
    <x v="4"/>
    <s v="TRK87513944"/>
    <n v="5"/>
    <s v="WINTER15"/>
    <s v="Email"/>
    <n v="171.59"/>
  </r>
  <r>
    <s v="ORD200508"/>
    <d v="2025-05-14T00:00:00"/>
    <s v="C39550"/>
    <s v="Phone"/>
    <n v="1"/>
    <n v="558.27"/>
    <s v="976 Main St"/>
    <s v="Online"/>
    <x v="3"/>
    <s v="TRK24120267"/>
    <n v="1"/>
    <s v="No Coupon"/>
    <s v="Referral"/>
    <n v="558.27"/>
  </r>
  <r>
    <s v="ORD200509"/>
    <d v="2023-02-15T00:00:00"/>
    <s v="C68937"/>
    <s v="Laptop"/>
    <n v="2"/>
    <n v="425.03"/>
    <s v="560 Main St"/>
    <s v="Cash"/>
    <x v="2"/>
    <s v="TRK31908657"/>
    <n v="2"/>
    <s v="WINTER15"/>
    <s v="Google"/>
    <n v="850.06"/>
  </r>
  <r>
    <s v="ORD200510"/>
    <d v="2024-12-16T00:00:00"/>
    <s v="C72533"/>
    <s v="Printer"/>
    <n v="1"/>
    <n v="376.76"/>
    <s v="389 Main St"/>
    <s v="Debit Card"/>
    <x v="3"/>
    <s v="TRK51288986"/>
    <n v="5"/>
    <s v="SAVE10"/>
    <s v="Email"/>
    <n v="376.76"/>
  </r>
  <r>
    <s v="ORD200511"/>
    <d v="2024-03-15T00:00:00"/>
    <s v="C11415"/>
    <s v="Monitor"/>
    <n v="5"/>
    <n v="575.24"/>
    <s v="267 Main St"/>
    <s v="Cash"/>
    <x v="3"/>
    <s v="TRK65061457"/>
    <n v="7"/>
    <s v="WINTER15"/>
    <s v="Email"/>
    <n v="2876.2"/>
  </r>
  <r>
    <s v="ORD200512"/>
    <d v="2024-09-27T00:00:00"/>
    <s v="C14114"/>
    <s v="Desk"/>
    <n v="3"/>
    <n v="568.02"/>
    <s v="856 Main St"/>
    <s v="Online"/>
    <x v="4"/>
    <s v="TRK63290700"/>
    <n v="3"/>
    <s v="FREESHIP"/>
    <s v="Instagram"/>
    <n v="1704.06"/>
  </r>
  <r>
    <s v="ORD200513"/>
    <d v="2025-02-09T00:00:00"/>
    <s v="C64128"/>
    <s v="Tablet"/>
    <n v="3"/>
    <n v="94.88"/>
    <s v="533 Main St"/>
    <s v="Gift Card"/>
    <x v="0"/>
    <s v="TRK37053575"/>
    <n v="8"/>
    <s v="No Coupon"/>
    <s v="Referral"/>
    <n v="284.64"/>
  </r>
  <r>
    <s v="ORD200514"/>
    <d v="2023-04-16T00:00:00"/>
    <s v="C15629"/>
    <s v="Printer"/>
    <n v="3"/>
    <n v="304.14999999999998"/>
    <s v="492 Main St"/>
    <s v="Gift Card"/>
    <x v="0"/>
    <s v="TRK64926044"/>
    <n v="3"/>
    <s v="WINTER15"/>
    <s v="Instagram"/>
    <n v="912.44999999999993"/>
  </r>
  <r>
    <s v="ORD200515"/>
    <d v="2023-03-14T00:00:00"/>
    <s v="C67561"/>
    <s v="Phone"/>
    <n v="3"/>
    <n v="553.52"/>
    <s v="160 Main St"/>
    <s v="Gift Card"/>
    <x v="0"/>
    <s v="TRK75900717"/>
    <n v="4"/>
    <s v="FREESHIP"/>
    <s v="Facebook"/>
    <n v="1660.56"/>
  </r>
  <r>
    <s v="ORD200516"/>
    <d v="2024-04-07T00:00:00"/>
    <s v="C47022"/>
    <s v="Monitor"/>
    <n v="3"/>
    <n v="166.99"/>
    <s v="208 Main St"/>
    <s v="Cash"/>
    <x v="2"/>
    <s v="TRK28855040"/>
    <n v="8"/>
    <s v="No Coupon"/>
    <s v="Facebook"/>
    <n v="500.97"/>
  </r>
  <r>
    <s v="ORD200517"/>
    <d v="2024-04-09T00:00:00"/>
    <s v="C55205"/>
    <s v="Tablet"/>
    <n v="4"/>
    <n v="198.35"/>
    <s v="943 Main St"/>
    <s v="Cash"/>
    <x v="1"/>
    <s v="TRK88141634"/>
    <n v="7"/>
    <s v="FREESHIP"/>
    <s v="Google"/>
    <n v="793.4"/>
  </r>
  <r>
    <s v="ORD200518"/>
    <d v="2025-06-13T00:00:00"/>
    <s v="C30686"/>
    <s v="Printer"/>
    <n v="4"/>
    <n v="403.58"/>
    <s v="319 Main St"/>
    <s v="Online"/>
    <x v="4"/>
    <s v="TRK59807273"/>
    <n v="9"/>
    <s v="SAVE10"/>
    <s v="Referral"/>
    <n v="1614.32"/>
  </r>
  <r>
    <s v="ORD200519"/>
    <d v="2025-05-10T00:00:00"/>
    <s v="C71797"/>
    <s v="Laptop"/>
    <n v="4"/>
    <n v="464.29"/>
    <s v="941 Main St"/>
    <s v="Debit Card"/>
    <x v="2"/>
    <s v="TRK66010667"/>
    <n v="5"/>
    <s v="SAVE10"/>
    <s v="Email"/>
    <n v="1857.16"/>
  </r>
  <r>
    <s v="ORD200520"/>
    <d v="2023-03-10T00:00:00"/>
    <s v="C66332"/>
    <s v="Monitor"/>
    <n v="3"/>
    <n v="635.98"/>
    <s v="959 Main St"/>
    <s v="Cash"/>
    <x v="2"/>
    <s v="TRK27063398"/>
    <n v="5"/>
    <s v="No Coupon"/>
    <s v="Referral"/>
    <n v="1907.94"/>
  </r>
  <r>
    <s v="ORD200521"/>
    <d v="2024-02-25T00:00:00"/>
    <s v="C82318"/>
    <s v="Phone"/>
    <n v="1"/>
    <n v="528.05999999999995"/>
    <s v="991 Main St"/>
    <s v="Credit Card"/>
    <x v="0"/>
    <s v="TRK37534165"/>
    <n v="2"/>
    <s v="No Coupon"/>
    <s v="Facebook"/>
    <n v="528.05999999999995"/>
  </r>
  <r>
    <s v="ORD200522"/>
    <d v="2024-04-20T00:00:00"/>
    <s v="C66254"/>
    <s v="Chair"/>
    <n v="1"/>
    <n v="515.32000000000005"/>
    <s v="740 Main St"/>
    <s v="Gift Card"/>
    <x v="1"/>
    <s v="TRK82843861"/>
    <n v="1"/>
    <s v="FREESHIP"/>
    <s v="Email"/>
    <n v="515.32000000000005"/>
  </r>
  <r>
    <s v="ORD200523"/>
    <d v="2025-02-18T00:00:00"/>
    <s v="C65083"/>
    <s v="Desk"/>
    <n v="4"/>
    <n v="657.79"/>
    <s v="652 Main St"/>
    <s v="Credit Card"/>
    <x v="2"/>
    <s v="TRK60937148"/>
    <n v="6"/>
    <s v="WINTER15"/>
    <s v="Google"/>
    <n v="2631.16"/>
  </r>
  <r>
    <s v="ORD200524"/>
    <d v="2023-10-25T00:00:00"/>
    <s v="C44778"/>
    <s v="Phone"/>
    <n v="1"/>
    <n v="153"/>
    <s v="103 Main St"/>
    <s v="Credit Card"/>
    <x v="2"/>
    <s v="TRK92617366"/>
    <n v="4"/>
    <s v="No Coupon"/>
    <s v="Referral"/>
    <n v="153"/>
  </r>
  <r>
    <s v="ORD200525"/>
    <d v="2023-12-03T00:00:00"/>
    <s v="C54499"/>
    <s v="Monitor"/>
    <n v="1"/>
    <n v="668.48"/>
    <s v="160 Main St"/>
    <s v="Debit Card"/>
    <x v="0"/>
    <s v="TRK18061555"/>
    <n v="1"/>
    <s v="SAVE10"/>
    <s v="Email"/>
    <n v="668.48"/>
  </r>
  <r>
    <s v="ORD200526"/>
    <d v="2024-02-29T00:00:00"/>
    <s v="C91201"/>
    <s v="Desk"/>
    <n v="2"/>
    <n v="46.5"/>
    <s v="837 Main St"/>
    <s v="Cash"/>
    <x v="2"/>
    <s v="TRK63526023"/>
    <n v="7"/>
    <s v="WINTER15"/>
    <s v="Google"/>
    <n v="93"/>
  </r>
  <r>
    <s v="ORD200527"/>
    <d v="2024-08-19T00:00:00"/>
    <s v="C27202"/>
    <s v="Chair"/>
    <n v="5"/>
    <n v="653.47"/>
    <s v="967 Main St"/>
    <s v="Credit Card"/>
    <x v="1"/>
    <s v="TRK75406128"/>
    <n v="10"/>
    <s v="SAVE10"/>
    <s v="Referral"/>
    <n v="3267.3500000000004"/>
  </r>
  <r>
    <s v="ORD200528"/>
    <d v="2025-02-26T00:00:00"/>
    <s v="C32011"/>
    <s v="Chair"/>
    <n v="1"/>
    <n v="628.89"/>
    <s v="686 Main St"/>
    <s v="Credit Card"/>
    <x v="2"/>
    <s v="TRK70997744"/>
    <n v="2"/>
    <s v="SAVE10"/>
    <s v="Referral"/>
    <n v="628.89"/>
  </r>
  <r>
    <s v="ORD200529"/>
    <d v="2024-04-07T00:00:00"/>
    <s v="C21181"/>
    <s v="Tablet"/>
    <n v="2"/>
    <n v="675.1"/>
    <s v="938 Main St"/>
    <s v="Cash"/>
    <x v="4"/>
    <s v="TRK50363421"/>
    <n v="4"/>
    <s v="FREESHIP"/>
    <s v="Google"/>
    <n v="1350.2"/>
  </r>
  <r>
    <s v="ORD200530"/>
    <d v="2024-07-18T00:00:00"/>
    <s v="C98450"/>
    <s v="Chair"/>
    <n v="4"/>
    <n v="89.41"/>
    <s v="613 Main St"/>
    <s v="Online"/>
    <x v="4"/>
    <s v="TRK14809530"/>
    <n v="9"/>
    <s v="No Coupon"/>
    <s v="Google"/>
    <n v="357.64"/>
  </r>
  <r>
    <s v="ORD200531"/>
    <d v="2024-07-02T00:00:00"/>
    <s v="C64502"/>
    <s v="Desk"/>
    <n v="5"/>
    <n v="320.01"/>
    <s v="722 Main St"/>
    <s v="Gift Card"/>
    <x v="3"/>
    <s v="TRK14914388"/>
    <n v="6"/>
    <s v="No Coupon"/>
    <s v="Referral"/>
    <n v="1600.05"/>
  </r>
  <r>
    <s v="ORD200532"/>
    <d v="2025-05-03T00:00:00"/>
    <s v="C47365"/>
    <s v="Laptop"/>
    <n v="2"/>
    <n v="41"/>
    <s v="369 Main St"/>
    <s v="Online"/>
    <x v="3"/>
    <s v="TRK42207882"/>
    <n v="7"/>
    <s v="No Coupon"/>
    <s v="Email"/>
    <n v="82"/>
  </r>
  <r>
    <s v="ORD200533"/>
    <d v="2023-03-05T00:00:00"/>
    <s v="C66349"/>
    <s v="Desk"/>
    <n v="1"/>
    <n v="565.85"/>
    <s v="715 Main St"/>
    <s v="Gift Card"/>
    <x v="2"/>
    <s v="TRK63550793"/>
    <n v="1"/>
    <s v="FREESHIP"/>
    <s v="Facebook"/>
    <n v="565.85"/>
  </r>
  <r>
    <s v="ORD200534"/>
    <d v="2024-06-06T00:00:00"/>
    <s v="C73289"/>
    <s v="Chair"/>
    <n v="3"/>
    <n v="648.59"/>
    <s v="906 Main St"/>
    <s v="Debit Card"/>
    <x v="1"/>
    <s v="TRK70872738"/>
    <n v="4"/>
    <s v="SAVE10"/>
    <s v="Email"/>
    <n v="1945.77"/>
  </r>
  <r>
    <s v="ORD200535"/>
    <d v="2024-07-24T00:00:00"/>
    <s v="C48649"/>
    <s v="Monitor"/>
    <n v="3"/>
    <n v="68.12"/>
    <s v="332 Main St"/>
    <s v="Online"/>
    <x v="1"/>
    <s v="TRK45821445"/>
    <n v="3"/>
    <s v="FREESHIP"/>
    <s v="Email"/>
    <n v="204.36"/>
  </r>
  <r>
    <s v="ORD200536"/>
    <d v="2024-06-09T00:00:00"/>
    <s v="C18724"/>
    <s v="Chair"/>
    <n v="1"/>
    <n v="616.1"/>
    <s v="124 Main St"/>
    <s v="Cash"/>
    <x v="2"/>
    <s v="TRK52508861"/>
    <n v="6"/>
    <s v="No Coupon"/>
    <s v="Email"/>
    <n v="616.1"/>
  </r>
  <r>
    <s v="ORD200537"/>
    <d v="2025-03-23T00:00:00"/>
    <s v="C68553"/>
    <s v="Tablet"/>
    <n v="3"/>
    <n v="247.47"/>
    <s v="385 Main St"/>
    <s v="Online"/>
    <x v="3"/>
    <s v="TRK58218971"/>
    <n v="4"/>
    <s v="SAVE10"/>
    <s v="Facebook"/>
    <n v="742.41"/>
  </r>
  <r>
    <s v="ORD200538"/>
    <d v="2024-05-24T00:00:00"/>
    <s v="C61280"/>
    <s v="Phone"/>
    <n v="3"/>
    <n v="490.74"/>
    <s v="100 Main St"/>
    <s v="Cash"/>
    <x v="0"/>
    <s v="TRK95487711"/>
    <n v="3"/>
    <s v="WINTER15"/>
    <s v="Email"/>
    <n v="1472.22"/>
  </r>
  <r>
    <s v="ORD200539"/>
    <d v="2025-02-18T00:00:00"/>
    <s v="C53277"/>
    <s v="Desk"/>
    <n v="3"/>
    <n v="531.72"/>
    <s v="473 Main St"/>
    <s v="Gift Card"/>
    <x v="3"/>
    <s v="TRK17653832"/>
    <n v="7"/>
    <s v="SAVE10"/>
    <s v="Google"/>
    <n v="1595.16"/>
  </r>
  <r>
    <s v="ORD200540"/>
    <d v="2024-01-29T00:00:00"/>
    <s v="C87281"/>
    <s v="Laptop"/>
    <n v="5"/>
    <n v="648.65"/>
    <s v="852 Main St"/>
    <s v="Online"/>
    <x v="4"/>
    <s v="TRK81765057"/>
    <n v="7"/>
    <s v="No Coupon"/>
    <s v="Referral"/>
    <n v="3243.25"/>
  </r>
  <r>
    <s v="ORD200541"/>
    <d v="2023-08-07T00:00:00"/>
    <s v="C69009"/>
    <s v="Printer"/>
    <n v="5"/>
    <n v="456.06"/>
    <s v="879 Main St"/>
    <s v="Cash"/>
    <x v="4"/>
    <s v="TRK61295842"/>
    <n v="10"/>
    <s v="No Coupon"/>
    <s v="Instagram"/>
    <n v="2280.3000000000002"/>
  </r>
  <r>
    <s v="ORD200542"/>
    <d v="2023-11-14T00:00:00"/>
    <s v="C49726"/>
    <s v="Tablet"/>
    <n v="1"/>
    <n v="17.98"/>
    <s v="934 Main St"/>
    <s v="Cash"/>
    <x v="1"/>
    <s v="TRK20739460"/>
    <n v="6"/>
    <s v="FREESHIP"/>
    <s v="Email"/>
    <n v="17.98"/>
  </r>
  <r>
    <s v="ORD200543"/>
    <d v="2024-03-09T00:00:00"/>
    <s v="C37531"/>
    <s v="Desk"/>
    <n v="5"/>
    <n v="269.86"/>
    <s v="354 Main St"/>
    <s v="Cash"/>
    <x v="0"/>
    <s v="TRK93877673"/>
    <n v="6"/>
    <s v="WINTER15"/>
    <s v="Facebook"/>
    <n v="1349.3000000000002"/>
  </r>
  <r>
    <s v="ORD200544"/>
    <d v="2024-03-10T00:00:00"/>
    <s v="C48713"/>
    <s v="Printer"/>
    <n v="5"/>
    <n v="31.96"/>
    <s v="373 Main St"/>
    <s v="Credit Card"/>
    <x v="2"/>
    <s v="TRK96334419"/>
    <n v="5"/>
    <s v="FREESHIP"/>
    <s v="Referral"/>
    <n v="159.80000000000001"/>
  </r>
  <r>
    <s v="ORD200545"/>
    <d v="2023-12-19T00:00:00"/>
    <s v="C74138"/>
    <s v="Monitor"/>
    <n v="2"/>
    <n v="98.47"/>
    <s v="964 Main St"/>
    <s v="Cash"/>
    <x v="2"/>
    <s v="TRK74091695"/>
    <n v="3"/>
    <s v="No Coupon"/>
    <s v="Instagram"/>
    <n v="196.94"/>
  </r>
  <r>
    <s v="ORD200546"/>
    <d v="2024-03-01T00:00:00"/>
    <s v="C82399"/>
    <s v="Monitor"/>
    <n v="1"/>
    <n v="158.68"/>
    <s v="928 Main St"/>
    <s v="Credit Card"/>
    <x v="2"/>
    <s v="TRK77177284"/>
    <n v="6"/>
    <s v="WINTER15"/>
    <s v="Instagram"/>
    <n v="158.68"/>
  </r>
  <r>
    <s v="ORD200547"/>
    <d v="2023-08-20T00:00:00"/>
    <s v="C40427"/>
    <s v="Phone"/>
    <n v="1"/>
    <n v="613.98"/>
    <s v="411 Main St"/>
    <s v="Online"/>
    <x v="3"/>
    <s v="TRK25392280"/>
    <n v="4"/>
    <s v="FREESHIP"/>
    <s v="Facebook"/>
    <n v="613.98"/>
  </r>
  <r>
    <s v="ORD200548"/>
    <d v="2024-01-05T00:00:00"/>
    <s v="C17103"/>
    <s v="Printer"/>
    <n v="3"/>
    <n v="426.12"/>
    <s v="922 Main St"/>
    <s v="Online"/>
    <x v="3"/>
    <s v="TRK64398650"/>
    <n v="5"/>
    <s v="WINTER15"/>
    <s v="Instagram"/>
    <n v="1278.3600000000001"/>
  </r>
  <r>
    <s v="ORD200549"/>
    <d v="2025-02-25T00:00:00"/>
    <s v="C34266"/>
    <s v="Monitor"/>
    <n v="4"/>
    <n v="629.88"/>
    <s v="550 Main St"/>
    <s v="Debit Card"/>
    <x v="1"/>
    <s v="TRK56378197"/>
    <n v="8"/>
    <s v="WINTER15"/>
    <s v="Instagram"/>
    <n v="2519.52"/>
  </r>
  <r>
    <s v="ORD200550"/>
    <d v="2023-10-29T00:00:00"/>
    <s v="C97485"/>
    <s v="Laptop"/>
    <n v="4"/>
    <n v="228.91"/>
    <s v="573 Main St"/>
    <s v="Cash"/>
    <x v="0"/>
    <s v="TRK81794737"/>
    <n v="4"/>
    <s v="FREESHIP"/>
    <s v="Google"/>
    <n v="915.64"/>
  </r>
  <r>
    <s v="ORD200551"/>
    <d v="2023-05-18T00:00:00"/>
    <s v="C23947"/>
    <s v="Laptop"/>
    <n v="1"/>
    <n v="120.98"/>
    <s v="353 Main St"/>
    <s v="Debit Card"/>
    <x v="3"/>
    <s v="TRK74812710"/>
    <n v="6"/>
    <s v="WINTER15"/>
    <s v="Email"/>
    <n v="120.98"/>
  </r>
  <r>
    <s v="ORD200552"/>
    <d v="2023-09-30T00:00:00"/>
    <s v="C21665"/>
    <s v="Chair"/>
    <n v="4"/>
    <n v="425.18"/>
    <s v="560 Main St"/>
    <s v="Online"/>
    <x v="2"/>
    <s v="TRK29890761"/>
    <n v="8"/>
    <s v="WINTER15"/>
    <s v="Facebook"/>
    <n v="1700.72"/>
  </r>
  <r>
    <s v="ORD200553"/>
    <d v="2023-08-23T00:00:00"/>
    <s v="C82550"/>
    <s v="Phone"/>
    <n v="2"/>
    <n v="333.83"/>
    <s v="828 Main St"/>
    <s v="Gift Card"/>
    <x v="1"/>
    <s v="TRK74103758"/>
    <n v="4"/>
    <s v="FREESHIP"/>
    <s v="Referral"/>
    <n v="667.66"/>
  </r>
  <r>
    <s v="ORD200554"/>
    <d v="2025-05-30T00:00:00"/>
    <s v="C61943"/>
    <s v="Laptop"/>
    <n v="2"/>
    <n v="492.9"/>
    <s v="610 Main St"/>
    <s v="Cash"/>
    <x v="2"/>
    <s v="TRK66126496"/>
    <n v="5"/>
    <s v="FREESHIP"/>
    <s v="Instagram"/>
    <n v="985.8"/>
  </r>
  <r>
    <s v="ORD200555"/>
    <d v="2023-01-07T00:00:00"/>
    <s v="C88933"/>
    <s v="Tablet"/>
    <n v="1"/>
    <n v="92.04"/>
    <s v="333 Main St"/>
    <s v="Cash"/>
    <x v="0"/>
    <s v="TRK89306964"/>
    <n v="2"/>
    <s v="No Coupon"/>
    <s v="Facebook"/>
    <n v="92.04"/>
  </r>
  <r>
    <s v="ORD200556"/>
    <d v="2023-01-28T00:00:00"/>
    <s v="C30923"/>
    <s v="Laptop"/>
    <n v="1"/>
    <n v="654.27"/>
    <s v="932 Main St"/>
    <s v="Gift Card"/>
    <x v="4"/>
    <s v="TRK82609328"/>
    <n v="2"/>
    <s v="SAVE10"/>
    <s v="Facebook"/>
    <n v="654.27"/>
  </r>
  <r>
    <s v="ORD200557"/>
    <d v="2023-06-29T00:00:00"/>
    <s v="C56969"/>
    <s v="Tablet"/>
    <n v="1"/>
    <n v="56.2"/>
    <s v="130 Main St"/>
    <s v="Debit Card"/>
    <x v="4"/>
    <s v="TRK40719215"/>
    <n v="1"/>
    <s v="WINTER15"/>
    <s v="Facebook"/>
    <n v="56.2"/>
  </r>
  <r>
    <s v="ORD200558"/>
    <d v="2024-07-16T00:00:00"/>
    <s v="C76766"/>
    <s v="Phone"/>
    <n v="4"/>
    <n v="628.12"/>
    <s v="485 Main St"/>
    <s v="Online"/>
    <x v="3"/>
    <s v="TRK32052962"/>
    <n v="6"/>
    <s v="WINTER15"/>
    <s v="Instagram"/>
    <n v="2512.48"/>
  </r>
  <r>
    <s v="ORD200559"/>
    <d v="2024-04-15T00:00:00"/>
    <s v="C22981"/>
    <s v="Desk"/>
    <n v="3"/>
    <n v="157.4"/>
    <s v="454 Main St"/>
    <s v="Debit Card"/>
    <x v="1"/>
    <s v="TRK10115285"/>
    <n v="7"/>
    <s v="WINTER15"/>
    <s v="Email"/>
    <n v="472.20000000000005"/>
  </r>
  <r>
    <s v="ORD200560"/>
    <d v="2023-01-31T00:00:00"/>
    <s v="C33634"/>
    <s v="Monitor"/>
    <n v="4"/>
    <n v="588.85"/>
    <s v="524 Main St"/>
    <s v="Gift Card"/>
    <x v="4"/>
    <s v="TRK93168008"/>
    <n v="7"/>
    <s v="No Coupon"/>
    <s v="Email"/>
    <n v="2355.4"/>
  </r>
  <r>
    <s v="ORD200561"/>
    <d v="2023-01-31T00:00:00"/>
    <s v="C96822"/>
    <s v="Printer"/>
    <n v="2"/>
    <n v="494.78"/>
    <s v="198 Main St"/>
    <s v="Online"/>
    <x v="0"/>
    <s v="TRK89180077"/>
    <n v="2"/>
    <s v="No Coupon"/>
    <s v="Google"/>
    <n v="989.56"/>
  </r>
  <r>
    <s v="ORD200562"/>
    <d v="2023-10-06T00:00:00"/>
    <s v="C76675"/>
    <s v="Laptop"/>
    <n v="3"/>
    <n v="663.93"/>
    <s v="922 Main St"/>
    <s v="Gift Card"/>
    <x v="2"/>
    <s v="TRK28043915"/>
    <n v="6"/>
    <s v="FREESHIP"/>
    <s v="Email"/>
    <n v="1991.79"/>
  </r>
  <r>
    <s v="ORD200563"/>
    <d v="2023-12-12T00:00:00"/>
    <s v="C12039"/>
    <s v="Laptop"/>
    <n v="1"/>
    <n v="132.68"/>
    <s v="844 Main St"/>
    <s v="Debit Card"/>
    <x v="2"/>
    <s v="TRK68645763"/>
    <n v="1"/>
    <s v="SAVE10"/>
    <s v="Referral"/>
    <n v="132.68"/>
  </r>
  <r>
    <s v="ORD200564"/>
    <d v="2025-04-08T00:00:00"/>
    <s v="C93309"/>
    <s v="Desk"/>
    <n v="5"/>
    <n v="364.28"/>
    <s v="734 Main St"/>
    <s v="Credit Card"/>
    <x v="1"/>
    <s v="TRK99446987"/>
    <n v="5"/>
    <s v="WINTER15"/>
    <s v="Google"/>
    <n v="1821.3999999999999"/>
  </r>
  <r>
    <s v="ORD200565"/>
    <d v="2023-05-14T00:00:00"/>
    <s v="C62042"/>
    <s v="Tablet"/>
    <n v="5"/>
    <n v="307.98"/>
    <s v="214 Main St"/>
    <s v="Online"/>
    <x v="4"/>
    <s v="TRK42605492"/>
    <n v="10"/>
    <s v="No Coupon"/>
    <s v="Facebook"/>
    <n v="1539.9"/>
  </r>
  <r>
    <s v="ORD200566"/>
    <d v="2024-04-18T00:00:00"/>
    <s v="C83223"/>
    <s v="Phone"/>
    <n v="4"/>
    <n v="162.71"/>
    <s v="167 Main St"/>
    <s v="Cash"/>
    <x v="1"/>
    <s v="TRK54339083"/>
    <n v="7"/>
    <s v="FREESHIP"/>
    <s v="Email"/>
    <n v="650.84"/>
  </r>
  <r>
    <s v="ORD200567"/>
    <d v="2024-09-30T00:00:00"/>
    <s v="C92575"/>
    <s v="Chair"/>
    <n v="5"/>
    <n v="492.94"/>
    <s v="153 Main St"/>
    <s v="Cash"/>
    <x v="0"/>
    <s v="TRK53579227"/>
    <n v="10"/>
    <s v="FREESHIP"/>
    <s v="Email"/>
    <n v="2464.6999999999998"/>
  </r>
  <r>
    <s v="ORD200568"/>
    <d v="2023-03-10T00:00:00"/>
    <s v="C29072"/>
    <s v="Laptop"/>
    <n v="2"/>
    <n v="343.99"/>
    <s v="312 Main St"/>
    <s v="Online"/>
    <x v="3"/>
    <s v="TRK72334047"/>
    <n v="4"/>
    <s v="No Coupon"/>
    <s v="Google"/>
    <n v="687.98"/>
  </r>
  <r>
    <s v="ORD200569"/>
    <d v="2025-03-22T00:00:00"/>
    <s v="C25783"/>
    <s v="Desk"/>
    <n v="5"/>
    <n v="250.68"/>
    <s v="672 Main St"/>
    <s v="Cash"/>
    <x v="0"/>
    <s v="TRK13289741"/>
    <n v="8"/>
    <s v="SAVE10"/>
    <s v="Instagram"/>
    <n v="1253.4000000000001"/>
  </r>
  <r>
    <s v="ORD200570"/>
    <d v="2024-12-27T00:00:00"/>
    <s v="C63727"/>
    <s v="Desk"/>
    <n v="2"/>
    <n v="362.14"/>
    <s v="122 Main St"/>
    <s v="Debit Card"/>
    <x v="4"/>
    <s v="TRK13611021"/>
    <n v="2"/>
    <s v="SAVE10"/>
    <s v="Instagram"/>
    <n v="724.28"/>
  </r>
  <r>
    <s v="ORD200571"/>
    <d v="2024-11-23T00:00:00"/>
    <s v="C42365"/>
    <s v="Tablet"/>
    <n v="1"/>
    <n v="214.08"/>
    <s v="867 Main St"/>
    <s v="Gift Card"/>
    <x v="2"/>
    <s v="TRK39563288"/>
    <n v="2"/>
    <s v="WINTER15"/>
    <s v="Google"/>
    <n v="214.08"/>
  </r>
  <r>
    <s v="ORD200572"/>
    <d v="2023-11-11T00:00:00"/>
    <s v="C27438"/>
    <s v="Printer"/>
    <n v="1"/>
    <n v="70.319999999999993"/>
    <s v="341 Main St"/>
    <s v="Cash"/>
    <x v="2"/>
    <s v="TRK69125497"/>
    <n v="4"/>
    <s v="WINTER15"/>
    <s v="Facebook"/>
    <n v="70.319999999999993"/>
  </r>
  <r>
    <s v="ORD200573"/>
    <d v="2023-01-25T00:00:00"/>
    <s v="C13205"/>
    <s v="Chair"/>
    <n v="5"/>
    <n v="421.42"/>
    <s v="522 Main St"/>
    <s v="Debit Card"/>
    <x v="1"/>
    <s v="TRK30686578"/>
    <n v="7"/>
    <s v="No Coupon"/>
    <s v="Instagram"/>
    <n v="2107.1"/>
  </r>
  <r>
    <s v="ORD200574"/>
    <d v="2024-01-24T00:00:00"/>
    <s v="C29685"/>
    <s v="Chair"/>
    <n v="5"/>
    <n v="384.69"/>
    <s v="275 Main St"/>
    <s v="Credit Card"/>
    <x v="4"/>
    <s v="TRK97733212"/>
    <n v="6"/>
    <s v="FREESHIP"/>
    <s v="Email"/>
    <n v="1923.45"/>
  </r>
  <r>
    <s v="ORD200575"/>
    <d v="2023-06-07T00:00:00"/>
    <s v="C74005"/>
    <s v="Chair"/>
    <n v="5"/>
    <n v="448.15"/>
    <s v="528 Main St"/>
    <s v="Gift Card"/>
    <x v="2"/>
    <s v="TRK61640534"/>
    <n v="7"/>
    <s v="SAVE10"/>
    <s v="Google"/>
    <n v="2240.75"/>
  </r>
  <r>
    <s v="ORD200576"/>
    <d v="2024-05-29T00:00:00"/>
    <s v="C14457"/>
    <s v="Laptop"/>
    <n v="5"/>
    <n v="79.08"/>
    <s v="747 Main St"/>
    <s v="Cash"/>
    <x v="4"/>
    <s v="TRK42517811"/>
    <n v="8"/>
    <s v="No Coupon"/>
    <s v="Facebook"/>
    <n v="395.4"/>
  </r>
  <r>
    <s v="ORD200577"/>
    <d v="2023-01-22T00:00:00"/>
    <s v="C77046"/>
    <s v="Tablet"/>
    <n v="4"/>
    <n v="185.41"/>
    <s v="967 Main St"/>
    <s v="Online"/>
    <x v="2"/>
    <s v="TRK44401497"/>
    <n v="9"/>
    <s v="WINTER15"/>
    <s v="Google"/>
    <n v="741.64"/>
  </r>
  <r>
    <s v="ORD200578"/>
    <d v="2024-10-10T00:00:00"/>
    <s v="C50415"/>
    <s v="Monitor"/>
    <n v="5"/>
    <n v="566.07000000000005"/>
    <s v="587 Main St"/>
    <s v="Credit Card"/>
    <x v="3"/>
    <s v="TRK41345634"/>
    <n v="6"/>
    <s v="SAVE10"/>
    <s v="Instagram"/>
    <n v="2830.3500000000004"/>
  </r>
  <r>
    <s v="ORD200579"/>
    <d v="2023-06-04T00:00:00"/>
    <s v="C73999"/>
    <s v="Tablet"/>
    <n v="2"/>
    <n v="187.88"/>
    <s v="413 Main St"/>
    <s v="Online"/>
    <x v="0"/>
    <s v="TRK67919507"/>
    <n v="4"/>
    <s v="WINTER15"/>
    <s v="Facebook"/>
    <n v="375.76"/>
  </r>
  <r>
    <s v="ORD200580"/>
    <d v="2023-11-14T00:00:00"/>
    <s v="C71076"/>
    <s v="Monitor"/>
    <n v="2"/>
    <n v="255.99"/>
    <s v="340 Main St"/>
    <s v="Credit Card"/>
    <x v="3"/>
    <s v="TRK65148292"/>
    <n v="4"/>
    <s v="SAVE10"/>
    <s v="Instagram"/>
    <n v="511.98"/>
  </r>
  <r>
    <s v="ORD200581"/>
    <d v="2024-11-11T00:00:00"/>
    <s v="C44674"/>
    <s v="Laptop"/>
    <n v="1"/>
    <n v="627.34"/>
    <s v="942 Main St"/>
    <s v="Online"/>
    <x v="3"/>
    <s v="TRK87158684"/>
    <n v="1"/>
    <s v="No Coupon"/>
    <s v="Referral"/>
    <n v="627.34"/>
  </r>
  <r>
    <s v="ORD200582"/>
    <d v="2024-02-19T00:00:00"/>
    <s v="C15228"/>
    <s v="Tablet"/>
    <n v="3"/>
    <n v="474.14"/>
    <s v="558 Main St"/>
    <s v="Gift Card"/>
    <x v="0"/>
    <s v="TRK33860620"/>
    <n v="8"/>
    <s v="WINTER15"/>
    <s v="Google"/>
    <n v="1422.42"/>
  </r>
  <r>
    <s v="ORD200583"/>
    <d v="2025-06-15T00:00:00"/>
    <s v="C27072"/>
    <s v="Chair"/>
    <n v="3"/>
    <n v="154.37"/>
    <s v="996 Main St"/>
    <s v="Gift Card"/>
    <x v="3"/>
    <s v="TRK29750379"/>
    <n v="4"/>
    <s v="No Coupon"/>
    <s v="Instagram"/>
    <n v="463.11"/>
  </r>
  <r>
    <s v="ORD200584"/>
    <d v="2025-03-21T00:00:00"/>
    <s v="C15257"/>
    <s v="Chair"/>
    <n v="4"/>
    <n v="145.05000000000001"/>
    <s v="626 Main St"/>
    <s v="Online"/>
    <x v="3"/>
    <s v="TRK28779938"/>
    <n v="6"/>
    <s v="SAVE10"/>
    <s v="Google"/>
    <n v="580.20000000000005"/>
  </r>
  <r>
    <s v="ORD200585"/>
    <d v="2023-08-20T00:00:00"/>
    <s v="C91486"/>
    <s v="Tablet"/>
    <n v="4"/>
    <n v="67.08"/>
    <s v="907 Main St"/>
    <s v="Cash"/>
    <x v="2"/>
    <s v="TRK79617136"/>
    <n v="8"/>
    <s v="WINTER15"/>
    <s v="Google"/>
    <n v="268.32"/>
  </r>
  <r>
    <s v="ORD200586"/>
    <d v="2024-11-10T00:00:00"/>
    <s v="C17389"/>
    <s v="Monitor"/>
    <n v="1"/>
    <n v="522.08000000000004"/>
    <s v="905 Main St"/>
    <s v="Gift Card"/>
    <x v="2"/>
    <s v="TRK98857880"/>
    <n v="5"/>
    <s v="FREESHIP"/>
    <s v="Referral"/>
    <n v="522.08000000000004"/>
  </r>
  <r>
    <s v="ORD200587"/>
    <d v="2023-06-12T00:00:00"/>
    <s v="C18820"/>
    <s v="Monitor"/>
    <n v="5"/>
    <n v="514.6"/>
    <s v="347 Main St"/>
    <s v="Gift Card"/>
    <x v="3"/>
    <s v="TRK91547425"/>
    <n v="10"/>
    <s v="FREESHIP"/>
    <s v="Instagram"/>
    <n v="2573"/>
  </r>
  <r>
    <s v="ORD200588"/>
    <d v="2024-12-10T00:00:00"/>
    <s v="C61849"/>
    <s v="Monitor"/>
    <n v="4"/>
    <n v="577.82000000000005"/>
    <s v="811 Main St"/>
    <s v="Credit Card"/>
    <x v="3"/>
    <s v="TRK47613918"/>
    <n v="9"/>
    <s v="No Coupon"/>
    <s v="Google"/>
    <n v="2311.2800000000002"/>
  </r>
  <r>
    <s v="ORD200589"/>
    <d v="2025-02-10T00:00:00"/>
    <s v="C84041"/>
    <s v="Laptop"/>
    <n v="2"/>
    <n v="500.8"/>
    <s v="900 Main St"/>
    <s v="Cash"/>
    <x v="3"/>
    <s v="TRK84920444"/>
    <n v="3"/>
    <s v="FREESHIP"/>
    <s v="Referral"/>
    <n v="1001.6"/>
  </r>
  <r>
    <s v="ORD200590"/>
    <d v="2023-09-10T00:00:00"/>
    <s v="C55757"/>
    <s v="Printer"/>
    <n v="2"/>
    <n v="461.13"/>
    <s v="175 Main St"/>
    <s v="Gift Card"/>
    <x v="2"/>
    <s v="TRK27356242"/>
    <n v="4"/>
    <s v="No Coupon"/>
    <s v="Email"/>
    <n v="922.26"/>
  </r>
  <r>
    <s v="ORD200591"/>
    <d v="2024-11-18T00:00:00"/>
    <s v="C18187"/>
    <s v="Laptop"/>
    <n v="1"/>
    <n v="605.28"/>
    <s v="470 Main St"/>
    <s v="Gift Card"/>
    <x v="0"/>
    <s v="TRK50528185"/>
    <n v="3"/>
    <s v="FREESHIP"/>
    <s v="Referral"/>
    <n v="605.28"/>
  </r>
  <r>
    <s v="ORD200592"/>
    <d v="2024-04-23T00:00:00"/>
    <s v="C42306"/>
    <s v="Phone"/>
    <n v="3"/>
    <n v="204.27"/>
    <s v="938 Main St"/>
    <s v="Online"/>
    <x v="2"/>
    <s v="TRK15499648"/>
    <n v="4"/>
    <s v="No Coupon"/>
    <s v="Google"/>
    <n v="612.81000000000006"/>
  </r>
  <r>
    <s v="ORD200593"/>
    <d v="2023-08-02T00:00:00"/>
    <s v="C51024"/>
    <s v="Monitor"/>
    <n v="1"/>
    <n v="489.8"/>
    <s v="636 Main St"/>
    <s v="Gift Card"/>
    <x v="0"/>
    <s v="TRK31375086"/>
    <n v="4"/>
    <s v="FREESHIP"/>
    <s v="Facebook"/>
    <n v="489.8"/>
  </r>
  <r>
    <s v="ORD200594"/>
    <d v="2024-02-21T00:00:00"/>
    <s v="C40140"/>
    <s v="Phone"/>
    <n v="5"/>
    <n v="72.64"/>
    <s v="598 Main St"/>
    <s v="Credit Card"/>
    <x v="1"/>
    <s v="TRK12671989"/>
    <n v="7"/>
    <s v="No Coupon"/>
    <s v="Email"/>
    <n v="363.2"/>
  </r>
  <r>
    <s v="ORD200595"/>
    <d v="2025-01-10T00:00:00"/>
    <s v="C72596"/>
    <s v="Printer"/>
    <n v="2"/>
    <n v="385.16"/>
    <s v="491 Main St"/>
    <s v="Online"/>
    <x v="4"/>
    <s v="TRK83870446"/>
    <n v="7"/>
    <s v="SAVE10"/>
    <s v="Email"/>
    <n v="770.32"/>
  </r>
  <r>
    <s v="ORD200596"/>
    <d v="2023-06-12T00:00:00"/>
    <s v="C91805"/>
    <s v="Desk"/>
    <n v="3"/>
    <n v="606.41"/>
    <s v="653 Main St"/>
    <s v="Debit Card"/>
    <x v="2"/>
    <s v="TRK34504030"/>
    <n v="7"/>
    <s v="FREESHIP"/>
    <s v="Facebook"/>
    <n v="1819.23"/>
  </r>
  <r>
    <s v="ORD200597"/>
    <d v="2024-11-25T00:00:00"/>
    <s v="C40538"/>
    <s v="Desk"/>
    <n v="2"/>
    <n v="211.82"/>
    <s v="700 Main St"/>
    <s v="Gift Card"/>
    <x v="1"/>
    <s v="TRK29821356"/>
    <n v="4"/>
    <s v="WINTER15"/>
    <s v="Email"/>
    <n v="423.64"/>
  </r>
  <r>
    <s v="ORD200598"/>
    <d v="2024-04-26T00:00:00"/>
    <s v="C60329"/>
    <s v="Desk"/>
    <n v="5"/>
    <n v="495.35"/>
    <s v="826 Main St"/>
    <s v="Credit Card"/>
    <x v="4"/>
    <s v="TRK59069987"/>
    <n v="5"/>
    <s v="No Coupon"/>
    <s v="Facebook"/>
    <n v="2476.75"/>
  </r>
  <r>
    <s v="ORD200599"/>
    <d v="2023-06-30T00:00:00"/>
    <s v="C28740"/>
    <s v="Chair"/>
    <n v="3"/>
    <n v="556.99"/>
    <s v="123 Main St"/>
    <s v="Online"/>
    <x v="1"/>
    <s v="TRK33642221"/>
    <n v="4"/>
    <s v="FREESHIP"/>
    <s v="Facebook"/>
    <n v="1670.97"/>
  </r>
  <r>
    <s v="ORD200600"/>
    <d v="2023-05-26T00:00:00"/>
    <s v="C87051"/>
    <s v="Printer"/>
    <n v="1"/>
    <n v="72.31"/>
    <s v="460 Main St"/>
    <s v="Gift Card"/>
    <x v="1"/>
    <s v="TRK82056333"/>
    <n v="1"/>
    <s v="FREESHIP"/>
    <s v="Facebook"/>
    <n v="72.31"/>
  </r>
  <r>
    <s v="ORD200601"/>
    <d v="2023-10-02T00:00:00"/>
    <s v="C12479"/>
    <s v="Monitor"/>
    <n v="5"/>
    <n v="24.82"/>
    <s v="529 Main St"/>
    <s v="Credit Card"/>
    <x v="0"/>
    <s v="TRK73935314"/>
    <n v="10"/>
    <s v="No Coupon"/>
    <s v="Referral"/>
    <n v="124.1"/>
  </r>
  <r>
    <s v="ORD200602"/>
    <d v="2024-03-05T00:00:00"/>
    <s v="C35852"/>
    <s v="Tablet"/>
    <n v="4"/>
    <n v="26.04"/>
    <s v="982 Main St"/>
    <s v="Online"/>
    <x v="4"/>
    <s v="TRK64660134"/>
    <n v="5"/>
    <s v="SAVE10"/>
    <s v="Instagram"/>
    <n v="104.16"/>
  </r>
  <r>
    <s v="ORD200603"/>
    <d v="2024-10-04T00:00:00"/>
    <s v="C26223"/>
    <s v="Tablet"/>
    <n v="1"/>
    <n v="657.07"/>
    <s v="800 Main St"/>
    <s v="Cash"/>
    <x v="4"/>
    <s v="TRK50900547"/>
    <n v="4"/>
    <s v="SAVE10"/>
    <s v="Google"/>
    <n v="657.07"/>
  </r>
  <r>
    <s v="ORD200604"/>
    <d v="2025-06-22T00:00:00"/>
    <s v="C99214"/>
    <s v="Chair"/>
    <n v="3"/>
    <n v="32.619999999999997"/>
    <s v="252 Main St"/>
    <s v="Debit Card"/>
    <x v="3"/>
    <s v="TRK81368481"/>
    <n v="6"/>
    <s v="No Coupon"/>
    <s v="Facebook"/>
    <n v="97.859999999999985"/>
  </r>
  <r>
    <s v="ORD200605"/>
    <d v="2024-05-10T00:00:00"/>
    <s v="C49605"/>
    <s v="Monitor"/>
    <n v="2"/>
    <n v="228.91"/>
    <s v="892 Main St"/>
    <s v="Debit Card"/>
    <x v="0"/>
    <s v="TRK95620066"/>
    <n v="4"/>
    <s v="SAVE10"/>
    <s v="Referral"/>
    <n v="457.82"/>
  </r>
  <r>
    <s v="ORD200606"/>
    <d v="2024-11-06T00:00:00"/>
    <s v="C85018"/>
    <s v="Laptop"/>
    <n v="3"/>
    <n v="274.75"/>
    <s v="783 Main St"/>
    <s v="Cash"/>
    <x v="1"/>
    <s v="TRK54128886"/>
    <n v="3"/>
    <s v="SAVE10"/>
    <s v="Google"/>
    <n v="824.25"/>
  </r>
  <r>
    <s v="ORD200607"/>
    <d v="2025-05-31T00:00:00"/>
    <s v="C96434"/>
    <s v="Printer"/>
    <n v="4"/>
    <n v="634.04999999999995"/>
    <s v="282 Main St"/>
    <s v="Cash"/>
    <x v="0"/>
    <s v="TRK56730647"/>
    <n v="6"/>
    <s v="SAVE10"/>
    <s v="Google"/>
    <n v="2536.1999999999998"/>
  </r>
  <r>
    <s v="ORD200608"/>
    <d v="2024-07-24T00:00:00"/>
    <s v="C32956"/>
    <s v="Laptop"/>
    <n v="5"/>
    <n v="543.16"/>
    <s v="788 Main St"/>
    <s v="Online"/>
    <x v="1"/>
    <s v="TRK73140103"/>
    <n v="6"/>
    <s v="SAVE10"/>
    <s v="Instagram"/>
    <n v="2715.7999999999997"/>
  </r>
  <r>
    <s v="ORD200609"/>
    <d v="2025-01-27T00:00:00"/>
    <s v="C41137"/>
    <s v="Chair"/>
    <n v="3"/>
    <n v="449.13"/>
    <s v="809 Main St"/>
    <s v="Cash"/>
    <x v="2"/>
    <s v="TRK52732162"/>
    <n v="5"/>
    <s v="WINTER15"/>
    <s v="Referral"/>
    <n v="1347.3899999999999"/>
  </r>
  <r>
    <s v="ORD200610"/>
    <d v="2024-06-16T00:00:00"/>
    <s v="C60361"/>
    <s v="Desk"/>
    <n v="5"/>
    <n v="389.62"/>
    <s v="623 Main St"/>
    <s v="Cash"/>
    <x v="2"/>
    <s v="TRK83566924"/>
    <n v="7"/>
    <s v="FREESHIP"/>
    <s v="Facebook"/>
    <n v="1948.1"/>
  </r>
  <r>
    <s v="ORD200611"/>
    <d v="2023-04-21T00:00:00"/>
    <s v="C36688"/>
    <s v="Desk"/>
    <n v="1"/>
    <n v="305.17"/>
    <s v="700 Main St"/>
    <s v="Gift Card"/>
    <x v="2"/>
    <s v="TRK35720426"/>
    <n v="3"/>
    <s v="WINTER15"/>
    <s v="Referral"/>
    <n v="305.17"/>
  </r>
  <r>
    <s v="ORD200612"/>
    <d v="2023-06-02T00:00:00"/>
    <s v="C51811"/>
    <s v="Chair"/>
    <n v="3"/>
    <n v="445.12"/>
    <s v="339 Main St"/>
    <s v="Gift Card"/>
    <x v="1"/>
    <s v="TRK82377939"/>
    <n v="8"/>
    <s v="No Coupon"/>
    <s v="Google"/>
    <n v="1335.3600000000001"/>
  </r>
  <r>
    <s v="ORD200613"/>
    <d v="2024-12-19T00:00:00"/>
    <s v="C62405"/>
    <s v="Laptop"/>
    <n v="2"/>
    <n v="230.36"/>
    <s v="154 Main St"/>
    <s v="Online"/>
    <x v="2"/>
    <s v="TRK14721763"/>
    <n v="4"/>
    <s v="WINTER15"/>
    <s v="Email"/>
    <n v="460.72"/>
  </r>
  <r>
    <s v="ORD200614"/>
    <d v="2024-03-08T00:00:00"/>
    <s v="C77363"/>
    <s v="Phone"/>
    <n v="1"/>
    <n v="96.81"/>
    <s v="807 Main St"/>
    <s v="Gift Card"/>
    <x v="1"/>
    <s v="TRK12439827"/>
    <n v="3"/>
    <s v="No Coupon"/>
    <s v="Referral"/>
    <n v="96.81"/>
  </r>
  <r>
    <s v="ORD200615"/>
    <d v="2025-03-07T00:00:00"/>
    <s v="C97218"/>
    <s v="Monitor"/>
    <n v="5"/>
    <n v="460.14"/>
    <s v="252 Main St"/>
    <s v="Credit Card"/>
    <x v="2"/>
    <s v="TRK52632065"/>
    <n v="10"/>
    <s v="WINTER15"/>
    <s v="Facebook"/>
    <n v="2300.6999999999998"/>
  </r>
  <r>
    <s v="ORD200616"/>
    <d v="2024-10-17T00:00:00"/>
    <s v="C43919"/>
    <s v="Tablet"/>
    <n v="3"/>
    <n v="601.6"/>
    <s v="984 Main St"/>
    <s v="Credit Card"/>
    <x v="1"/>
    <s v="TRK73113192"/>
    <n v="7"/>
    <s v="SAVE10"/>
    <s v="Facebook"/>
    <n v="1804.8000000000002"/>
  </r>
  <r>
    <s v="ORD200617"/>
    <d v="2024-02-08T00:00:00"/>
    <s v="C57093"/>
    <s v="Tablet"/>
    <n v="3"/>
    <n v="184.47"/>
    <s v="834 Main St"/>
    <s v="Online"/>
    <x v="1"/>
    <s v="TRK75469057"/>
    <n v="4"/>
    <s v="No Coupon"/>
    <s v="Referral"/>
    <n v="553.41"/>
  </r>
  <r>
    <s v="ORD200618"/>
    <d v="2024-09-03T00:00:00"/>
    <s v="C50565"/>
    <s v="Tablet"/>
    <n v="1"/>
    <n v="411.34"/>
    <s v="399 Main St"/>
    <s v="Debit Card"/>
    <x v="2"/>
    <s v="TRK97981418"/>
    <n v="5"/>
    <s v="No Coupon"/>
    <s v="Instagram"/>
    <n v="411.34"/>
  </r>
  <r>
    <s v="ORD200619"/>
    <d v="2024-07-16T00:00:00"/>
    <s v="C38845"/>
    <s v="Laptop"/>
    <n v="1"/>
    <n v="532.89"/>
    <s v="764 Main St"/>
    <s v="Gift Card"/>
    <x v="4"/>
    <s v="TRK47637374"/>
    <n v="2"/>
    <s v="No Coupon"/>
    <s v="Referral"/>
    <n v="532.89"/>
  </r>
  <r>
    <s v="ORD200620"/>
    <d v="2024-03-27T00:00:00"/>
    <s v="C84834"/>
    <s v="Tablet"/>
    <n v="3"/>
    <n v="136.34"/>
    <s v="866 Main St"/>
    <s v="Debit Card"/>
    <x v="2"/>
    <s v="TRK90136001"/>
    <n v="8"/>
    <s v="SAVE10"/>
    <s v="Referral"/>
    <n v="409.02"/>
  </r>
  <r>
    <s v="ORD200621"/>
    <d v="2023-10-22T00:00:00"/>
    <s v="C37455"/>
    <s v="Phone"/>
    <n v="5"/>
    <n v="476.01"/>
    <s v="146 Main St"/>
    <s v="Credit Card"/>
    <x v="3"/>
    <s v="TRK82685594"/>
    <n v="7"/>
    <s v="WINTER15"/>
    <s v="Google"/>
    <n v="2380.0500000000002"/>
  </r>
  <r>
    <s v="ORD200622"/>
    <d v="2024-11-02T00:00:00"/>
    <s v="C27078"/>
    <s v="Desk"/>
    <n v="5"/>
    <n v="236.38"/>
    <s v="128 Main St"/>
    <s v="Credit Card"/>
    <x v="2"/>
    <s v="TRK89314307"/>
    <n v="7"/>
    <s v="No Coupon"/>
    <s v="Facebook"/>
    <n v="1181.9000000000001"/>
  </r>
  <r>
    <s v="ORD200623"/>
    <d v="2023-06-16T00:00:00"/>
    <s v="C91941"/>
    <s v="Printer"/>
    <n v="3"/>
    <n v="396"/>
    <s v="269 Main St"/>
    <s v="Gift Card"/>
    <x v="1"/>
    <s v="TRK21330732"/>
    <n v="4"/>
    <s v="FREESHIP"/>
    <s v="Instagram"/>
    <n v="1188"/>
  </r>
  <r>
    <s v="ORD200624"/>
    <d v="2024-01-16T00:00:00"/>
    <s v="C25967"/>
    <s v="Tablet"/>
    <n v="5"/>
    <n v="341.96"/>
    <s v="747 Main St"/>
    <s v="Debit Card"/>
    <x v="3"/>
    <s v="TRK88559278"/>
    <n v="6"/>
    <s v="No Coupon"/>
    <s v="Email"/>
    <n v="1709.8"/>
  </r>
  <r>
    <s v="ORD200625"/>
    <d v="2023-09-24T00:00:00"/>
    <s v="C22123"/>
    <s v="Tablet"/>
    <n v="1"/>
    <n v="672.89"/>
    <s v="519 Main St"/>
    <s v="Credit Card"/>
    <x v="4"/>
    <s v="TRK43250279"/>
    <n v="1"/>
    <s v="WINTER15"/>
    <s v="Email"/>
    <n v="672.89"/>
  </r>
  <r>
    <s v="ORD200626"/>
    <d v="2024-03-01T00:00:00"/>
    <s v="C45671"/>
    <s v="Tablet"/>
    <n v="2"/>
    <n v="657.48"/>
    <s v="769 Main St"/>
    <s v="Online"/>
    <x v="0"/>
    <s v="TRK18179773"/>
    <n v="5"/>
    <s v="SAVE10"/>
    <s v="Referral"/>
    <n v="1314.96"/>
  </r>
  <r>
    <s v="ORD200627"/>
    <d v="2023-08-06T00:00:00"/>
    <s v="C53334"/>
    <s v="Chair"/>
    <n v="3"/>
    <n v="498.68"/>
    <s v="879 Main St"/>
    <s v="Online"/>
    <x v="2"/>
    <s v="TRK31724421"/>
    <n v="4"/>
    <s v="FREESHIP"/>
    <s v="Email"/>
    <n v="1496.04"/>
  </r>
  <r>
    <s v="ORD200628"/>
    <d v="2023-03-26T00:00:00"/>
    <s v="C18717"/>
    <s v="Printer"/>
    <n v="5"/>
    <n v="558.63"/>
    <s v="861 Main St"/>
    <s v="Cash"/>
    <x v="4"/>
    <s v="TRK58568806"/>
    <n v="8"/>
    <s v="FREESHIP"/>
    <s v="Referral"/>
    <n v="2793.15"/>
  </r>
  <r>
    <s v="ORD200629"/>
    <d v="2023-07-07T00:00:00"/>
    <s v="C50137"/>
    <s v="Phone"/>
    <n v="3"/>
    <n v="19.73"/>
    <s v="840 Main St"/>
    <s v="Online"/>
    <x v="4"/>
    <s v="TRK91836131"/>
    <n v="3"/>
    <s v="No Coupon"/>
    <s v="Referral"/>
    <n v="59.19"/>
  </r>
  <r>
    <s v="ORD200630"/>
    <d v="2023-06-23T00:00:00"/>
    <s v="C51481"/>
    <s v="Monitor"/>
    <n v="5"/>
    <n v="248.84"/>
    <s v="140 Main St"/>
    <s v="Debit Card"/>
    <x v="1"/>
    <s v="TRK33437701"/>
    <n v="10"/>
    <s v="No Coupon"/>
    <s v="Instagram"/>
    <n v="1244.2"/>
  </r>
  <r>
    <s v="ORD200631"/>
    <d v="2024-08-31T00:00:00"/>
    <s v="C99128"/>
    <s v="Chair"/>
    <n v="3"/>
    <n v="46.11"/>
    <s v="360 Main St"/>
    <s v="Gift Card"/>
    <x v="2"/>
    <s v="TRK32426808"/>
    <n v="5"/>
    <s v="WINTER15"/>
    <s v="Referral"/>
    <n v="138.32999999999998"/>
  </r>
  <r>
    <s v="ORD200632"/>
    <d v="2023-05-02T00:00:00"/>
    <s v="C67260"/>
    <s v="Laptop"/>
    <n v="5"/>
    <n v="678.16"/>
    <s v="463 Main St"/>
    <s v="Gift Card"/>
    <x v="3"/>
    <s v="TRK38229104"/>
    <n v="7"/>
    <s v="WINTER15"/>
    <s v="Facebook"/>
    <n v="3390.7999999999997"/>
  </r>
  <r>
    <s v="ORD200633"/>
    <d v="2024-04-10T00:00:00"/>
    <s v="C79533"/>
    <s v="Laptop"/>
    <n v="5"/>
    <n v="601.72"/>
    <s v="921 Main St"/>
    <s v="Gift Card"/>
    <x v="1"/>
    <s v="TRK54711422"/>
    <n v="5"/>
    <s v="WINTER15"/>
    <s v="Instagram"/>
    <n v="3008.6000000000004"/>
  </r>
  <r>
    <s v="ORD200634"/>
    <d v="2024-04-25T00:00:00"/>
    <s v="C66906"/>
    <s v="Printer"/>
    <n v="2"/>
    <n v="259.32"/>
    <s v="117 Main St"/>
    <s v="Gift Card"/>
    <x v="3"/>
    <s v="TRK31633755"/>
    <n v="2"/>
    <s v="WINTER15"/>
    <s v="Referral"/>
    <n v="518.64"/>
  </r>
  <r>
    <s v="ORD200635"/>
    <d v="2023-12-13T00:00:00"/>
    <s v="C12818"/>
    <s v="Chair"/>
    <n v="3"/>
    <n v="63.68"/>
    <s v="434 Main St"/>
    <s v="Cash"/>
    <x v="2"/>
    <s v="TRK40879983"/>
    <n v="6"/>
    <s v="No Coupon"/>
    <s v="Facebook"/>
    <n v="191.04"/>
  </r>
  <r>
    <s v="ORD200636"/>
    <d v="2023-10-05T00:00:00"/>
    <s v="C60384"/>
    <s v="Laptop"/>
    <n v="4"/>
    <n v="371.07"/>
    <s v="336 Main St"/>
    <s v="Cash"/>
    <x v="1"/>
    <s v="TRK92080037"/>
    <n v="7"/>
    <s v="WINTER15"/>
    <s v="Facebook"/>
    <n v="1484.28"/>
  </r>
  <r>
    <s v="ORD200637"/>
    <d v="2024-09-29T00:00:00"/>
    <s v="C92294"/>
    <s v="Chair"/>
    <n v="4"/>
    <n v="306.35000000000002"/>
    <s v="784 Main St"/>
    <s v="Gift Card"/>
    <x v="0"/>
    <s v="TRK23585765"/>
    <n v="7"/>
    <s v="WINTER15"/>
    <s v="Referral"/>
    <n v="1225.4000000000001"/>
  </r>
  <r>
    <s v="ORD200638"/>
    <d v="2023-10-15T00:00:00"/>
    <s v="C66840"/>
    <s v="Tablet"/>
    <n v="4"/>
    <n v="578.27"/>
    <s v="547 Main St"/>
    <s v="Online"/>
    <x v="3"/>
    <s v="TRK76929637"/>
    <n v="9"/>
    <s v="WINTER15"/>
    <s v="Email"/>
    <n v="2313.08"/>
  </r>
  <r>
    <s v="ORD200639"/>
    <d v="2023-01-20T00:00:00"/>
    <s v="C22534"/>
    <s v="Chair"/>
    <n v="1"/>
    <n v="529.19000000000005"/>
    <s v="391 Main St"/>
    <s v="Cash"/>
    <x v="1"/>
    <s v="TRK17415798"/>
    <n v="5"/>
    <s v="No Coupon"/>
    <s v="Referral"/>
    <n v="529.19000000000005"/>
  </r>
  <r>
    <s v="ORD200640"/>
    <d v="2024-02-27T00:00:00"/>
    <s v="C46509"/>
    <s v="Chair"/>
    <n v="2"/>
    <n v="587.49"/>
    <s v="647 Main St"/>
    <s v="Gift Card"/>
    <x v="2"/>
    <s v="TRK24241664"/>
    <n v="6"/>
    <s v="SAVE10"/>
    <s v="Referral"/>
    <n v="1174.98"/>
  </r>
  <r>
    <s v="ORD200641"/>
    <d v="2024-06-30T00:00:00"/>
    <s v="C71680"/>
    <s v="Printer"/>
    <n v="4"/>
    <n v="567.57000000000005"/>
    <s v="814 Main St"/>
    <s v="Debit Card"/>
    <x v="4"/>
    <s v="TRK47386650"/>
    <n v="9"/>
    <s v="WINTER15"/>
    <s v="Google"/>
    <n v="2270.2800000000002"/>
  </r>
  <r>
    <s v="ORD200642"/>
    <d v="2024-04-29T00:00:00"/>
    <s v="C15063"/>
    <s v="Chair"/>
    <n v="5"/>
    <n v="85.22"/>
    <s v="527 Main St"/>
    <s v="Credit Card"/>
    <x v="1"/>
    <s v="TRK10329390"/>
    <n v="7"/>
    <s v="FREESHIP"/>
    <s v="Email"/>
    <n v="426.1"/>
  </r>
  <r>
    <s v="ORD200643"/>
    <d v="2024-08-26T00:00:00"/>
    <s v="C77122"/>
    <s v="Laptop"/>
    <n v="1"/>
    <n v="438.37"/>
    <s v="647 Main St"/>
    <s v="Cash"/>
    <x v="1"/>
    <s v="TRK75814880"/>
    <n v="4"/>
    <s v="SAVE10"/>
    <s v="Referral"/>
    <n v="438.37"/>
  </r>
  <r>
    <s v="ORD200644"/>
    <d v="2023-11-15T00:00:00"/>
    <s v="C86524"/>
    <s v="Chair"/>
    <n v="2"/>
    <n v="366.23"/>
    <s v="961 Main St"/>
    <s v="Cash"/>
    <x v="0"/>
    <s v="TRK62490506"/>
    <n v="2"/>
    <s v="WINTER15"/>
    <s v="Email"/>
    <n v="732.46"/>
  </r>
  <r>
    <s v="ORD200645"/>
    <d v="2023-01-02T00:00:00"/>
    <s v="C82990"/>
    <s v="Laptop"/>
    <n v="2"/>
    <n v="150.05000000000001"/>
    <s v="727 Main St"/>
    <s v="Credit Card"/>
    <x v="1"/>
    <s v="TRK68574801"/>
    <n v="4"/>
    <s v="SAVE10"/>
    <s v="Facebook"/>
    <n v="300.10000000000002"/>
  </r>
  <r>
    <s v="ORD200646"/>
    <d v="2023-10-27T00:00:00"/>
    <s v="C98761"/>
    <s v="Chair"/>
    <n v="4"/>
    <n v="498.51"/>
    <s v="804 Main St"/>
    <s v="Debit Card"/>
    <x v="0"/>
    <s v="TRK43262630"/>
    <n v="4"/>
    <s v="SAVE10"/>
    <s v="Google"/>
    <n v="1994.04"/>
  </r>
  <r>
    <s v="ORD200647"/>
    <d v="2025-04-24T00:00:00"/>
    <s v="C54409"/>
    <s v="Desk"/>
    <n v="3"/>
    <n v="339.39"/>
    <s v="667 Main St"/>
    <s v="Cash"/>
    <x v="2"/>
    <s v="TRK67671316"/>
    <n v="7"/>
    <s v="FREESHIP"/>
    <s v="Google"/>
    <n v="1018.17"/>
  </r>
  <r>
    <s v="ORD200648"/>
    <d v="2025-01-18T00:00:00"/>
    <s v="C89674"/>
    <s v="Monitor"/>
    <n v="2"/>
    <n v="575.83000000000004"/>
    <s v="182 Main St"/>
    <s v="Online"/>
    <x v="3"/>
    <s v="TRK45902512"/>
    <n v="3"/>
    <s v="WINTER15"/>
    <s v="Referral"/>
    <n v="1151.6600000000001"/>
  </r>
  <r>
    <s v="ORD200649"/>
    <d v="2023-12-23T00:00:00"/>
    <s v="C45899"/>
    <s v="Monitor"/>
    <n v="2"/>
    <n v="642.98"/>
    <s v="153 Main St"/>
    <s v="Debit Card"/>
    <x v="2"/>
    <s v="TRK32932093"/>
    <n v="7"/>
    <s v="FREESHIP"/>
    <s v="Email"/>
    <n v="1285.96"/>
  </r>
  <r>
    <s v="ORD200650"/>
    <d v="2023-05-18T00:00:00"/>
    <s v="C74499"/>
    <s v="Desk"/>
    <n v="2"/>
    <n v="372.23"/>
    <s v="518 Main St"/>
    <s v="Gift Card"/>
    <x v="3"/>
    <s v="TRK93767278"/>
    <n v="7"/>
    <s v="SAVE10"/>
    <s v="Email"/>
    <n v="744.46"/>
  </r>
  <r>
    <s v="ORD200651"/>
    <d v="2024-11-12T00:00:00"/>
    <s v="C81192"/>
    <s v="Chair"/>
    <n v="3"/>
    <n v="646.34"/>
    <s v="429 Main St"/>
    <s v="Debit Card"/>
    <x v="4"/>
    <s v="TRK76931118"/>
    <n v="5"/>
    <s v="No Coupon"/>
    <s v="Google"/>
    <n v="1939.02"/>
  </r>
  <r>
    <s v="ORD200652"/>
    <d v="2024-06-05T00:00:00"/>
    <s v="C71473"/>
    <s v="Chair"/>
    <n v="5"/>
    <n v="341.84"/>
    <s v="328 Main St"/>
    <s v="Online"/>
    <x v="0"/>
    <s v="TRK94857335"/>
    <n v="8"/>
    <s v="FREESHIP"/>
    <s v="Instagram"/>
    <n v="1709.1999999999998"/>
  </r>
  <r>
    <s v="ORD200653"/>
    <d v="2024-02-25T00:00:00"/>
    <s v="C59338"/>
    <s v="Printer"/>
    <n v="3"/>
    <n v="690.3"/>
    <s v="747 Main St"/>
    <s v="Credit Card"/>
    <x v="0"/>
    <s v="TRK12902764"/>
    <n v="6"/>
    <s v="WINTER15"/>
    <s v="Google"/>
    <n v="2070.8999999999996"/>
  </r>
  <r>
    <s v="ORD200654"/>
    <d v="2023-06-12T00:00:00"/>
    <s v="C62661"/>
    <s v="Tablet"/>
    <n v="3"/>
    <n v="382.37"/>
    <s v="863 Main St"/>
    <s v="Debit Card"/>
    <x v="2"/>
    <s v="TRK25748100"/>
    <n v="8"/>
    <s v="No Coupon"/>
    <s v="Instagram"/>
    <n v="1147.1100000000001"/>
  </r>
  <r>
    <s v="ORD200655"/>
    <d v="2023-03-14T00:00:00"/>
    <s v="C22101"/>
    <s v="Chair"/>
    <n v="2"/>
    <n v="132.6"/>
    <s v="262 Main St"/>
    <s v="Debit Card"/>
    <x v="1"/>
    <s v="TRK70711522"/>
    <n v="4"/>
    <s v="WINTER15"/>
    <s v="Email"/>
    <n v="265.2"/>
  </r>
  <r>
    <s v="ORD200656"/>
    <d v="2024-01-18T00:00:00"/>
    <s v="C51404"/>
    <s v="Monitor"/>
    <n v="2"/>
    <n v="189.06"/>
    <s v="835 Main St"/>
    <s v="Gift Card"/>
    <x v="0"/>
    <s v="TRK85682500"/>
    <n v="7"/>
    <s v="SAVE10"/>
    <s v="Facebook"/>
    <n v="378.12"/>
  </r>
  <r>
    <s v="ORD200657"/>
    <d v="2023-12-24T00:00:00"/>
    <s v="C19384"/>
    <s v="Tablet"/>
    <n v="4"/>
    <n v="87.79"/>
    <s v="532 Main St"/>
    <s v="Cash"/>
    <x v="1"/>
    <s v="TRK33207064"/>
    <n v="6"/>
    <s v="FREESHIP"/>
    <s v="Instagram"/>
    <n v="351.16"/>
  </r>
  <r>
    <s v="ORD200658"/>
    <d v="2025-04-18T00:00:00"/>
    <s v="C86864"/>
    <s v="Printer"/>
    <n v="2"/>
    <n v="46.36"/>
    <s v="670 Main St"/>
    <s v="Gift Card"/>
    <x v="2"/>
    <s v="TRK15323191"/>
    <n v="4"/>
    <s v="SAVE10"/>
    <s v="Google"/>
    <n v="92.72"/>
  </r>
  <r>
    <s v="ORD200659"/>
    <d v="2024-10-26T00:00:00"/>
    <s v="C24301"/>
    <s v="Phone"/>
    <n v="2"/>
    <n v="642.04"/>
    <s v="964 Main St"/>
    <s v="Gift Card"/>
    <x v="3"/>
    <s v="TRK55000075"/>
    <n v="4"/>
    <s v="WINTER15"/>
    <s v="Email"/>
    <n v="1284.08"/>
  </r>
  <r>
    <s v="ORD200660"/>
    <d v="2024-10-19T00:00:00"/>
    <s v="C43842"/>
    <s v="Chair"/>
    <n v="2"/>
    <n v="651.57000000000005"/>
    <s v="933 Main St"/>
    <s v="Debit Card"/>
    <x v="0"/>
    <s v="TRK54084424"/>
    <n v="7"/>
    <s v="WINTER15"/>
    <s v="Facebook"/>
    <n v="1303.1400000000001"/>
  </r>
  <r>
    <s v="ORD200661"/>
    <d v="2025-02-28T00:00:00"/>
    <s v="C63657"/>
    <s v="Tablet"/>
    <n v="3"/>
    <n v="424.89"/>
    <s v="116 Main St"/>
    <s v="Debit Card"/>
    <x v="1"/>
    <s v="TRK86378984"/>
    <n v="6"/>
    <s v="FREESHIP"/>
    <s v="Google"/>
    <n v="1274.67"/>
  </r>
  <r>
    <s v="ORD200662"/>
    <d v="2023-01-28T00:00:00"/>
    <s v="C98332"/>
    <s v="Laptop"/>
    <n v="3"/>
    <n v="438.89"/>
    <s v="985 Main St"/>
    <s v="Cash"/>
    <x v="2"/>
    <s v="TRK85744797"/>
    <n v="3"/>
    <s v="No Coupon"/>
    <s v="Facebook"/>
    <n v="1316.67"/>
  </r>
  <r>
    <s v="ORD200663"/>
    <d v="2024-04-15T00:00:00"/>
    <s v="C59774"/>
    <s v="Monitor"/>
    <n v="1"/>
    <n v="72.599999999999994"/>
    <s v="941 Main St"/>
    <s v="Debit Card"/>
    <x v="1"/>
    <s v="TRK87635135"/>
    <n v="6"/>
    <s v="FREESHIP"/>
    <s v="Instagram"/>
    <n v="72.599999999999994"/>
  </r>
  <r>
    <s v="ORD200664"/>
    <d v="2024-12-19T00:00:00"/>
    <s v="C14847"/>
    <s v="Laptop"/>
    <n v="4"/>
    <n v="194.75"/>
    <s v="188 Main St"/>
    <s v="Cash"/>
    <x v="0"/>
    <s v="TRK46492755"/>
    <n v="5"/>
    <s v="No Coupon"/>
    <s v="Facebook"/>
    <n v="779"/>
  </r>
  <r>
    <s v="ORD200665"/>
    <d v="2023-05-02T00:00:00"/>
    <s v="C83653"/>
    <s v="Tablet"/>
    <n v="4"/>
    <n v="231.26"/>
    <s v="253 Main St"/>
    <s v="Online"/>
    <x v="0"/>
    <s v="TRK32619935"/>
    <n v="6"/>
    <s v="WINTER15"/>
    <s v="Google"/>
    <n v="925.04"/>
  </r>
  <r>
    <s v="ORD200666"/>
    <d v="2024-08-31T00:00:00"/>
    <s v="C35711"/>
    <s v="Monitor"/>
    <n v="4"/>
    <n v="327.12"/>
    <s v="788 Main St"/>
    <s v="Credit Card"/>
    <x v="1"/>
    <s v="TRK45281495"/>
    <n v="4"/>
    <s v="No Coupon"/>
    <s v="Email"/>
    <n v="1308.48"/>
  </r>
  <r>
    <s v="ORD200667"/>
    <d v="2023-05-03T00:00:00"/>
    <s v="C10477"/>
    <s v="Laptop"/>
    <n v="1"/>
    <n v="466.42"/>
    <s v="172 Main St"/>
    <s v="Gift Card"/>
    <x v="4"/>
    <s v="TRK41505339"/>
    <n v="5"/>
    <s v="SAVE10"/>
    <s v="Email"/>
    <n v="466.42"/>
  </r>
  <r>
    <s v="ORD200668"/>
    <d v="2024-07-05T00:00:00"/>
    <s v="C61257"/>
    <s v="Monitor"/>
    <n v="2"/>
    <n v="253.67"/>
    <s v="981 Main St"/>
    <s v="Cash"/>
    <x v="2"/>
    <s v="TRK25226070"/>
    <n v="3"/>
    <s v="WINTER15"/>
    <s v="Facebook"/>
    <n v="507.34"/>
  </r>
  <r>
    <s v="ORD200669"/>
    <d v="2023-02-05T00:00:00"/>
    <s v="C60547"/>
    <s v="Desk"/>
    <n v="1"/>
    <n v="257"/>
    <s v="812 Main St"/>
    <s v="Debit Card"/>
    <x v="1"/>
    <s v="TRK65694249"/>
    <n v="5"/>
    <s v="No Coupon"/>
    <s v="Referral"/>
    <n v="257"/>
  </r>
  <r>
    <s v="ORD200670"/>
    <d v="2024-04-18T00:00:00"/>
    <s v="C14576"/>
    <s v="Desk"/>
    <n v="4"/>
    <n v="539.20000000000005"/>
    <s v="747 Main St"/>
    <s v="Credit Card"/>
    <x v="4"/>
    <s v="TRK21637540"/>
    <n v="8"/>
    <s v="FREESHIP"/>
    <s v="Google"/>
    <n v="2156.8000000000002"/>
  </r>
  <r>
    <s v="ORD200671"/>
    <d v="2023-06-15T00:00:00"/>
    <s v="C49282"/>
    <s v="Chair"/>
    <n v="5"/>
    <n v="50.74"/>
    <s v="737 Main St"/>
    <s v="Gift Card"/>
    <x v="1"/>
    <s v="TRK88653901"/>
    <n v="7"/>
    <s v="WINTER15"/>
    <s v="Google"/>
    <n v="253.70000000000002"/>
  </r>
  <r>
    <s v="ORD200672"/>
    <d v="2023-05-09T00:00:00"/>
    <s v="C14017"/>
    <s v="Phone"/>
    <n v="2"/>
    <n v="624.16"/>
    <s v="984 Main St"/>
    <s v="Debit Card"/>
    <x v="0"/>
    <s v="TRK71009446"/>
    <n v="2"/>
    <s v="SAVE10"/>
    <s v="Instagram"/>
    <n v="1248.32"/>
  </r>
  <r>
    <s v="ORD200673"/>
    <d v="2023-02-21T00:00:00"/>
    <s v="C46504"/>
    <s v="Tablet"/>
    <n v="2"/>
    <n v="372.92"/>
    <s v="131 Main St"/>
    <s v="Credit Card"/>
    <x v="3"/>
    <s v="TRK95024356"/>
    <n v="7"/>
    <s v="SAVE10"/>
    <s v="Email"/>
    <n v="745.84"/>
  </r>
  <r>
    <s v="ORD200674"/>
    <d v="2024-01-09T00:00:00"/>
    <s v="C56928"/>
    <s v="Laptop"/>
    <n v="4"/>
    <n v="358.75"/>
    <s v="860 Main St"/>
    <s v="Gift Card"/>
    <x v="3"/>
    <s v="TRK57792939"/>
    <n v="9"/>
    <s v="SAVE10"/>
    <s v="Facebook"/>
    <n v="1435"/>
  </r>
  <r>
    <s v="ORD200675"/>
    <d v="2024-08-06T00:00:00"/>
    <s v="C97749"/>
    <s v="Desk"/>
    <n v="3"/>
    <n v="342.02"/>
    <s v="906 Main St"/>
    <s v="Debit Card"/>
    <x v="4"/>
    <s v="TRK90233116"/>
    <n v="5"/>
    <s v="No Coupon"/>
    <s v="Email"/>
    <n v="1026.06"/>
  </r>
  <r>
    <s v="ORD200676"/>
    <d v="2025-06-23T00:00:00"/>
    <s v="C90431"/>
    <s v="Laptop"/>
    <n v="2"/>
    <n v="422.34"/>
    <s v="985 Main St"/>
    <s v="Credit Card"/>
    <x v="1"/>
    <s v="TRK44151723"/>
    <n v="4"/>
    <s v="FREESHIP"/>
    <s v="Instagram"/>
    <n v="844.68"/>
  </r>
  <r>
    <s v="ORD200677"/>
    <d v="2025-04-03T00:00:00"/>
    <s v="C56722"/>
    <s v="Tablet"/>
    <n v="5"/>
    <n v="22.07"/>
    <s v="179 Main St"/>
    <s v="Online"/>
    <x v="1"/>
    <s v="TRK78778569"/>
    <n v="7"/>
    <s v="FREESHIP"/>
    <s v="Instagram"/>
    <n v="110.35"/>
  </r>
  <r>
    <s v="ORD200678"/>
    <d v="2024-11-24T00:00:00"/>
    <s v="C40863"/>
    <s v="Chair"/>
    <n v="3"/>
    <n v="163.13"/>
    <s v="457 Main St"/>
    <s v="Gift Card"/>
    <x v="0"/>
    <s v="TRK20553345"/>
    <n v="5"/>
    <s v="WINTER15"/>
    <s v="Facebook"/>
    <n v="489.39"/>
  </r>
  <r>
    <s v="ORD200679"/>
    <d v="2023-02-02T00:00:00"/>
    <s v="C40798"/>
    <s v="Tablet"/>
    <n v="3"/>
    <n v="360.66"/>
    <s v="304 Main St"/>
    <s v="Online"/>
    <x v="2"/>
    <s v="TRK66106697"/>
    <n v="5"/>
    <s v="FREESHIP"/>
    <s v="Instagram"/>
    <n v="1081.98"/>
  </r>
  <r>
    <s v="ORD200680"/>
    <d v="2023-08-27T00:00:00"/>
    <s v="C16702"/>
    <s v="Monitor"/>
    <n v="3"/>
    <n v="463.39"/>
    <s v="694 Main St"/>
    <s v="Credit Card"/>
    <x v="2"/>
    <s v="TRK16953491"/>
    <n v="3"/>
    <s v="No Coupon"/>
    <s v="Facebook"/>
    <n v="1390.17"/>
  </r>
  <r>
    <s v="ORD200681"/>
    <d v="2024-01-30T00:00:00"/>
    <s v="C38262"/>
    <s v="Tablet"/>
    <n v="1"/>
    <n v="155.27000000000001"/>
    <s v="548 Main St"/>
    <s v="Debit Card"/>
    <x v="0"/>
    <s v="TRK47300502"/>
    <n v="6"/>
    <s v="No Coupon"/>
    <s v="Email"/>
    <n v="155.27000000000001"/>
  </r>
  <r>
    <s v="ORD200682"/>
    <d v="2023-07-23T00:00:00"/>
    <s v="C50274"/>
    <s v="Monitor"/>
    <n v="3"/>
    <n v="509.42"/>
    <s v="449 Main St"/>
    <s v="Credit Card"/>
    <x v="1"/>
    <s v="TRK91729086"/>
    <n v="5"/>
    <s v="FREESHIP"/>
    <s v="Google"/>
    <n v="1528.26"/>
  </r>
  <r>
    <s v="ORD200683"/>
    <d v="2025-05-18T00:00:00"/>
    <s v="C91591"/>
    <s v="Desk"/>
    <n v="4"/>
    <n v="652.48"/>
    <s v="887 Main St"/>
    <s v="Cash"/>
    <x v="4"/>
    <s v="TRK23554043"/>
    <n v="5"/>
    <s v="FREESHIP"/>
    <s v="Instagram"/>
    <n v="2609.92"/>
  </r>
  <r>
    <s v="ORD200684"/>
    <d v="2024-09-22T00:00:00"/>
    <s v="C96583"/>
    <s v="Printer"/>
    <n v="4"/>
    <n v="34.840000000000003"/>
    <s v="288 Main St"/>
    <s v="Credit Card"/>
    <x v="0"/>
    <s v="TRK64353241"/>
    <n v="8"/>
    <s v="No Coupon"/>
    <s v="Email"/>
    <n v="139.36000000000001"/>
  </r>
  <r>
    <s v="ORD200685"/>
    <d v="2025-02-07T00:00:00"/>
    <s v="C64579"/>
    <s v="Desk"/>
    <n v="1"/>
    <n v="234.37"/>
    <s v="638 Main St"/>
    <s v="Debit Card"/>
    <x v="0"/>
    <s v="TRK10276565"/>
    <n v="5"/>
    <s v="FREESHIP"/>
    <s v="Email"/>
    <n v="234.37"/>
  </r>
  <r>
    <s v="ORD200686"/>
    <d v="2023-10-09T00:00:00"/>
    <s v="C41903"/>
    <s v="Desk"/>
    <n v="3"/>
    <n v="53.6"/>
    <s v="525 Main St"/>
    <s v="Cash"/>
    <x v="4"/>
    <s v="TRK59112382"/>
    <n v="4"/>
    <s v="WINTER15"/>
    <s v="Facebook"/>
    <n v="160.80000000000001"/>
  </r>
  <r>
    <s v="ORD200687"/>
    <d v="2023-09-13T00:00:00"/>
    <s v="C19742"/>
    <s v="Tablet"/>
    <n v="1"/>
    <n v="332.09"/>
    <s v="408 Main St"/>
    <s v="Gift Card"/>
    <x v="2"/>
    <s v="TRK68845230"/>
    <n v="5"/>
    <s v="FREESHIP"/>
    <s v="Instagram"/>
    <n v="332.09"/>
  </r>
  <r>
    <s v="ORD200688"/>
    <d v="2024-03-06T00:00:00"/>
    <s v="C20077"/>
    <s v="Monitor"/>
    <n v="4"/>
    <n v="593.22"/>
    <s v="154 Main St"/>
    <s v="Credit Card"/>
    <x v="1"/>
    <s v="TRK36415742"/>
    <n v="8"/>
    <s v="WINTER15"/>
    <s v="Facebook"/>
    <n v="2372.88"/>
  </r>
  <r>
    <s v="ORD200689"/>
    <d v="2023-08-29T00:00:00"/>
    <s v="C13186"/>
    <s v="Tablet"/>
    <n v="2"/>
    <n v="444.84"/>
    <s v="787 Main St"/>
    <s v="Online"/>
    <x v="0"/>
    <s v="TRK56967415"/>
    <n v="7"/>
    <s v="No Coupon"/>
    <s v="Facebook"/>
    <n v="889.68"/>
  </r>
  <r>
    <s v="ORD200690"/>
    <d v="2024-07-12T00:00:00"/>
    <s v="C29318"/>
    <s v="Monitor"/>
    <n v="1"/>
    <n v="24.48"/>
    <s v="128 Main St"/>
    <s v="Gift Card"/>
    <x v="2"/>
    <s v="TRK88666721"/>
    <n v="1"/>
    <s v="No Coupon"/>
    <s v="Instagram"/>
    <n v="24.48"/>
  </r>
  <r>
    <s v="ORD200691"/>
    <d v="2024-11-24T00:00:00"/>
    <s v="C36137"/>
    <s v="Laptop"/>
    <n v="3"/>
    <n v="239.08"/>
    <s v="396 Main St"/>
    <s v="Cash"/>
    <x v="0"/>
    <s v="TRK57376416"/>
    <n v="8"/>
    <s v="No Coupon"/>
    <s v="Google"/>
    <n v="717.24"/>
  </r>
  <r>
    <s v="ORD200692"/>
    <d v="2023-01-23T00:00:00"/>
    <s v="C25534"/>
    <s v="Desk"/>
    <n v="5"/>
    <n v="196.84"/>
    <s v="319 Main St"/>
    <s v="Credit Card"/>
    <x v="3"/>
    <s v="TRK68347402"/>
    <n v="5"/>
    <s v="WINTER15"/>
    <s v="Instagram"/>
    <n v="984.2"/>
  </r>
  <r>
    <s v="ORD200693"/>
    <d v="2025-03-12T00:00:00"/>
    <s v="C62070"/>
    <s v="Monitor"/>
    <n v="1"/>
    <n v="176.58"/>
    <s v="674 Main St"/>
    <s v="Debit Card"/>
    <x v="2"/>
    <s v="TRK10267127"/>
    <n v="4"/>
    <s v="No Coupon"/>
    <s v="Referral"/>
    <n v="176.58"/>
  </r>
  <r>
    <s v="ORD200694"/>
    <d v="2023-10-02T00:00:00"/>
    <s v="C92049"/>
    <s v="Printer"/>
    <n v="4"/>
    <n v="666.52"/>
    <s v="619 Main St"/>
    <s v="Cash"/>
    <x v="0"/>
    <s v="TRK32287092"/>
    <n v="8"/>
    <s v="FREESHIP"/>
    <s v="Email"/>
    <n v="2666.08"/>
  </r>
  <r>
    <s v="ORD200695"/>
    <d v="2024-11-23T00:00:00"/>
    <s v="C52604"/>
    <s v="Printer"/>
    <n v="5"/>
    <n v="101.3"/>
    <s v="553 Main St"/>
    <s v="Online"/>
    <x v="0"/>
    <s v="TRK48839788"/>
    <n v="7"/>
    <s v="FREESHIP"/>
    <s v="Email"/>
    <n v="506.5"/>
  </r>
  <r>
    <s v="ORD200696"/>
    <d v="2023-07-02T00:00:00"/>
    <s v="C22429"/>
    <s v="Chair"/>
    <n v="4"/>
    <n v="151.19999999999999"/>
    <s v="965 Main St"/>
    <s v="Gift Card"/>
    <x v="4"/>
    <s v="TRK38572927"/>
    <n v="9"/>
    <s v="WINTER15"/>
    <s v="Facebook"/>
    <n v="604.79999999999995"/>
  </r>
  <r>
    <s v="ORD200697"/>
    <d v="2025-02-04T00:00:00"/>
    <s v="C27430"/>
    <s v="Printer"/>
    <n v="5"/>
    <n v="94.85"/>
    <s v="788 Main St"/>
    <s v="Cash"/>
    <x v="0"/>
    <s v="TRK45025840"/>
    <n v="6"/>
    <s v="WINTER15"/>
    <s v="Email"/>
    <n v="474.25"/>
  </r>
  <r>
    <s v="ORD200698"/>
    <d v="2023-01-04T00:00:00"/>
    <s v="C44366"/>
    <s v="Laptop"/>
    <n v="2"/>
    <n v="388.22"/>
    <s v="169 Main St"/>
    <s v="Cash"/>
    <x v="3"/>
    <s v="TRK48658394"/>
    <n v="2"/>
    <s v="WINTER15"/>
    <s v="Instagram"/>
    <n v="776.44"/>
  </r>
  <r>
    <s v="ORD200699"/>
    <d v="2023-11-13T00:00:00"/>
    <s v="C36813"/>
    <s v="Laptop"/>
    <n v="3"/>
    <n v="614.15"/>
    <s v="897 Main St"/>
    <s v="Gift Card"/>
    <x v="1"/>
    <s v="TRK84088900"/>
    <n v="3"/>
    <s v="No Coupon"/>
    <s v="Facebook"/>
    <n v="1842.4499999999998"/>
  </r>
  <r>
    <s v="ORD200700"/>
    <d v="2024-09-25T00:00:00"/>
    <s v="C40201"/>
    <s v="Laptop"/>
    <n v="2"/>
    <n v="92.91"/>
    <s v="555 Main St"/>
    <s v="Cash"/>
    <x v="2"/>
    <s v="TRK30198779"/>
    <n v="3"/>
    <s v="WINTER15"/>
    <s v="Instagram"/>
    <n v="185.82"/>
  </r>
  <r>
    <s v="ORD200701"/>
    <d v="2024-06-23T00:00:00"/>
    <s v="C75456"/>
    <s v="Monitor"/>
    <n v="3"/>
    <n v="92.22"/>
    <s v="115 Main St"/>
    <s v="Credit Card"/>
    <x v="3"/>
    <s v="TRK90519490"/>
    <n v="5"/>
    <s v="FREESHIP"/>
    <s v="Email"/>
    <n v="276.65999999999997"/>
  </r>
  <r>
    <s v="ORD200702"/>
    <d v="2024-06-09T00:00:00"/>
    <s v="C33315"/>
    <s v="Printer"/>
    <n v="3"/>
    <n v="562.54999999999995"/>
    <s v="154 Main St"/>
    <s v="Debit Card"/>
    <x v="2"/>
    <s v="TRK43589369"/>
    <n v="6"/>
    <s v="No Coupon"/>
    <s v="Email"/>
    <n v="1687.6499999999999"/>
  </r>
  <r>
    <s v="ORD200703"/>
    <d v="2023-03-22T00:00:00"/>
    <s v="C89336"/>
    <s v="Desk"/>
    <n v="1"/>
    <n v="92.79"/>
    <s v="799 Main St"/>
    <s v="Cash"/>
    <x v="4"/>
    <s v="TRK47665103"/>
    <n v="3"/>
    <s v="WINTER15"/>
    <s v="Email"/>
    <n v="92.79"/>
  </r>
  <r>
    <s v="ORD200704"/>
    <d v="2023-06-03T00:00:00"/>
    <s v="C96034"/>
    <s v="Desk"/>
    <n v="4"/>
    <n v="30.27"/>
    <s v="819 Main St"/>
    <s v="Online"/>
    <x v="3"/>
    <s v="TRK87261034"/>
    <n v="9"/>
    <s v="FREESHIP"/>
    <s v="Google"/>
    <n v="121.08"/>
  </r>
  <r>
    <s v="ORD200705"/>
    <d v="2025-03-30T00:00:00"/>
    <s v="C50114"/>
    <s v="Monitor"/>
    <n v="2"/>
    <n v="49.08"/>
    <s v="420 Main St"/>
    <s v="Debit Card"/>
    <x v="2"/>
    <s v="TRK20214786"/>
    <n v="7"/>
    <s v="FREESHIP"/>
    <s v="Instagram"/>
    <n v="98.16"/>
  </r>
  <r>
    <s v="ORD200706"/>
    <d v="2025-03-02T00:00:00"/>
    <s v="C85330"/>
    <s v="Desk"/>
    <n v="5"/>
    <n v="228.09"/>
    <s v="969 Main St"/>
    <s v="Gift Card"/>
    <x v="2"/>
    <s v="TRK97693301"/>
    <n v="9"/>
    <s v="FREESHIP"/>
    <s v="Facebook"/>
    <n v="1140.45"/>
  </r>
  <r>
    <s v="ORD200707"/>
    <d v="2024-11-01T00:00:00"/>
    <s v="C31761"/>
    <s v="Chair"/>
    <n v="4"/>
    <n v="650.04"/>
    <s v="989 Main St"/>
    <s v="Gift Card"/>
    <x v="1"/>
    <s v="TRK17628852"/>
    <n v="6"/>
    <s v="SAVE10"/>
    <s v="Facebook"/>
    <n v="2600.16"/>
  </r>
  <r>
    <s v="ORD200708"/>
    <d v="2025-03-04T00:00:00"/>
    <s v="C25268"/>
    <s v="Printer"/>
    <n v="1"/>
    <n v="665.11"/>
    <s v="788 Main St"/>
    <s v="Cash"/>
    <x v="4"/>
    <s v="TRK20481215"/>
    <n v="3"/>
    <s v="FREESHIP"/>
    <s v="Instagram"/>
    <n v="665.11"/>
  </r>
  <r>
    <s v="ORD200709"/>
    <d v="2024-12-07T00:00:00"/>
    <s v="C17132"/>
    <s v="Desk"/>
    <n v="1"/>
    <n v="386.03"/>
    <s v="855 Main St"/>
    <s v="Online"/>
    <x v="4"/>
    <s v="TRK37504692"/>
    <n v="4"/>
    <s v="FREESHIP"/>
    <s v="Google"/>
    <n v="386.03"/>
  </r>
  <r>
    <s v="ORD200710"/>
    <d v="2024-07-22T00:00:00"/>
    <s v="C48790"/>
    <s v="Laptop"/>
    <n v="5"/>
    <n v="21.54"/>
    <s v="113 Main St"/>
    <s v="Gift Card"/>
    <x v="2"/>
    <s v="TRK19086608"/>
    <n v="10"/>
    <s v="No Coupon"/>
    <s v="Google"/>
    <n v="107.69999999999999"/>
  </r>
  <r>
    <s v="ORD200711"/>
    <d v="2024-07-04T00:00:00"/>
    <s v="C61070"/>
    <s v="Tablet"/>
    <n v="2"/>
    <n v="475.78"/>
    <s v="632 Main St"/>
    <s v="Online"/>
    <x v="0"/>
    <s v="TRK90764894"/>
    <n v="2"/>
    <s v="WINTER15"/>
    <s v="Google"/>
    <n v="951.56"/>
  </r>
  <r>
    <s v="ORD200712"/>
    <d v="2024-01-09T00:00:00"/>
    <s v="C56969"/>
    <s v="Tablet"/>
    <n v="2"/>
    <n v="68.400000000000006"/>
    <s v="993 Main St"/>
    <s v="Gift Card"/>
    <x v="4"/>
    <s v="TRK10513339"/>
    <n v="7"/>
    <s v="FREESHIP"/>
    <s v="Email"/>
    <n v="136.80000000000001"/>
  </r>
  <r>
    <s v="ORD200713"/>
    <d v="2025-06-21T00:00:00"/>
    <s v="C65056"/>
    <s v="Tablet"/>
    <n v="4"/>
    <n v="532.49"/>
    <s v="638 Main St"/>
    <s v="Online"/>
    <x v="1"/>
    <s v="TRK31705278"/>
    <n v="6"/>
    <s v="SAVE10"/>
    <s v="Facebook"/>
    <n v="2129.96"/>
  </r>
  <r>
    <s v="ORD200714"/>
    <d v="2023-04-21T00:00:00"/>
    <s v="C84888"/>
    <s v="Laptop"/>
    <n v="1"/>
    <n v="51.73"/>
    <s v="278 Main St"/>
    <s v="Debit Card"/>
    <x v="4"/>
    <s v="TRK23612847"/>
    <n v="1"/>
    <s v="FREESHIP"/>
    <s v="Facebook"/>
    <n v="51.73"/>
  </r>
  <r>
    <s v="ORD200715"/>
    <d v="2024-07-26T00:00:00"/>
    <s v="C68266"/>
    <s v="Printer"/>
    <n v="3"/>
    <n v="653.63"/>
    <s v="281 Main St"/>
    <s v="Online"/>
    <x v="3"/>
    <s v="TRK96161062"/>
    <n v="7"/>
    <s v="FREESHIP"/>
    <s v="Email"/>
    <n v="1960.8899999999999"/>
  </r>
  <r>
    <s v="ORD200716"/>
    <d v="2024-06-13T00:00:00"/>
    <s v="C84115"/>
    <s v="Chair"/>
    <n v="3"/>
    <n v="454.29"/>
    <s v="891 Main St"/>
    <s v="Credit Card"/>
    <x v="4"/>
    <s v="TRK25466842"/>
    <n v="4"/>
    <s v="WINTER15"/>
    <s v="Google"/>
    <n v="1362.8700000000001"/>
  </r>
  <r>
    <s v="ORD200717"/>
    <d v="2023-10-16T00:00:00"/>
    <s v="C50087"/>
    <s v="Chair"/>
    <n v="3"/>
    <n v="122.11"/>
    <s v="707 Main St"/>
    <s v="Online"/>
    <x v="3"/>
    <s v="TRK31143760"/>
    <n v="4"/>
    <s v="WINTER15"/>
    <s v="Email"/>
    <n v="366.33"/>
  </r>
  <r>
    <s v="ORD200718"/>
    <d v="2023-04-08T00:00:00"/>
    <s v="C16790"/>
    <s v="Laptop"/>
    <n v="4"/>
    <n v="64.739999999999995"/>
    <s v="718 Main St"/>
    <s v="Gift Card"/>
    <x v="1"/>
    <s v="TRK91791367"/>
    <n v="8"/>
    <s v="SAVE10"/>
    <s v="Google"/>
    <n v="258.95999999999998"/>
  </r>
  <r>
    <s v="ORD200719"/>
    <d v="2024-01-21T00:00:00"/>
    <s v="C46920"/>
    <s v="Laptop"/>
    <n v="2"/>
    <n v="681.06"/>
    <s v="703 Main St"/>
    <s v="Debit Card"/>
    <x v="0"/>
    <s v="TRK86403837"/>
    <n v="3"/>
    <s v="FREESHIP"/>
    <s v="Facebook"/>
    <n v="1362.12"/>
  </r>
  <r>
    <s v="ORD200720"/>
    <d v="2023-09-21T00:00:00"/>
    <s v="C12740"/>
    <s v="Desk"/>
    <n v="5"/>
    <n v="128.94999999999999"/>
    <s v="305 Main St"/>
    <s v="Cash"/>
    <x v="4"/>
    <s v="TRK98506513"/>
    <n v="10"/>
    <s v="FREESHIP"/>
    <s v="Instagram"/>
    <n v="644.75"/>
  </r>
  <r>
    <s v="ORD200721"/>
    <d v="2024-03-18T00:00:00"/>
    <s v="C46557"/>
    <s v="Desk"/>
    <n v="2"/>
    <n v="118.59"/>
    <s v="890 Main St"/>
    <s v="Credit Card"/>
    <x v="3"/>
    <s v="TRK56110689"/>
    <n v="2"/>
    <s v="No Coupon"/>
    <s v="Email"/>
    <n v="237.18"/>
  </r>
  <r>
    <s v="ORD200722"/>
    <d v="2024-11-15T00:00:00"/>
    <s v="C58156"/>
    <s v="Printer"/>
    <n v="1"/>
    <n v="95.1"/>
    <s v="516 Main St"/>
    <s v="Gift Card"/>
    <x v="4"/>
    <s v="TRK49719458"/>
    <n v="1"/>
    <s v="WINTER15"/>
    <s v="Instagram"/>
    <n v="95.1"/>
  </r>
  <r>
    <s v="ORD200723"/>
    <d v="2023-12-09T00:00:00"/>
    <s v="C14455"/>
    <s v="Desk"/>
    <n v="3"/>
    <n v="54.95"/>
    <s v="385 Main St"/>
    <s v="Cash"/>
    <x v="2"/>
    <s v="TRK50933724"/>
    <n v="8"/>
    <s v="SAVE10"/>
    <s v="Referral"/>
    <n v="164.85000000000002"/>
  </r>
  <r>
    <s v="ORD200724"/>
    <d v="2024-10-18T00:00:00"/>
    <s v="C63150"/>
    <s v="Printer"/>
    <n v="3"/>
    <n v="136.97"/>
    <s v="326 Main St"/>
    <s v="Credit Card"/>
    <x v="2"/>
    <s v="TRK19348078"/>
    <n v="4"/>
    <s v="FREESHIP"/>
    <s v="Referral"/>
    <n v="410.90999999999997"/>
  </r>
  <r>
    <s v="ORD200725"/>
    <d v="2023-03-12T00:00:00"/>
    <s v="C95269"/>
    <s v="Chair"/>
    <n v="2"/>
    <n v="194.85"/>
    <s v="372 Main St"/>
    <s v="Gift Card"/>
    <x v="2"/>
    <s v="TRK45670926"/>
    <n v="5"/>
    <s v="No Coupon"/>
    <s v="Referral"/>
    <n v="389.7"/>
  </r>
  <r>
    <s v="ORD200726"/>
    <d v="2024-10-25T00:00:00"/>
    <s v="C18105"/>
    <s v="Laptop"/>
    <n v="4"/>
    <n v="583.02"/>
    <s v="338 Main St"/>
    <s v="Online"/>
    <x v="3"/>
    <s v="TRK94006117"/>
    <n v="4"/>
    <s v="FREESHIP"/>
    <s v="Facebook"/>
    <n v="2332.08"/>
  </r>
  <r>
    <s v="ORD200727"/>
    <d v="2024-09-29T00:00:00"/>
    <s v="C29063"/>
    <s v="Chair"/>
    <n v="5"/>
    <n v="95.75"/>
    <s v="379 Main St"/>
    <s v="Online"/>
    <x v="0"/>
    <s v="TRK92745947"/>
    <n v="8"/>
    <s v="SAVE10"/>
    <s v="Instagram"/>
    <n v="478.75"/>
  </r>
  <r>
    <s v="ORD200728"/>
    <d v="2024-07-29T00:00:00"/>
    <s v="C10154"/>
    <s v="Desk"/>
    <n v="4"/>
    <n v="325.76"/>
    <s v="827 Main St"/>
    <s v="Gift Card"/>
    <x v="0"/>
    <s v="TRK79793300"/>
    <n v="8"/>
    <s v="WINTER15"/>
    <s v="Email"/>
    <n v="1303.04"/>
  </r>
  <r>
    <s v="ORD200729"/>
    <d v="2023-09-08T00:00:00"/>
    <s v="C36997"/>
    <s v="Phone"/>
    <n v="4"/>
    <n v="186.41"/>
    <s v="819 Main St"/>
    <s v="Gift Card"/>
    <x v="4"/>
    <s v="TRK92794872"/>
    <n v="6"/>
    <s v="SAVE10"/>
    <s v="Google"/>
    <n v="745.64"/>
  </r>
  <r>
    <s v="ORD200730"/>
    <d v="2025-02-22T00:00:00"/>
    <s v="C77357"/>
    <s v="Phone"/>
    <n v="1"/>
    <n v="474.6"/>
    <s v="407 Main St"/>
    <s v="Debit Card"/>
    <x v="3"/>
    <s v="TRK91943923"/>
    <n v="4"/>
    <s v="SAVE10"/>
    <s v="Email"/>
    <n v="474.6"/>
  </r>
  <r>
    <s v="ORD200731"/>
    <d v="2024-06-07T00:00:00"/>
    <s v="C71310"/>
    <s v="Printer"/>
    <n v="5"/>
    <n v="584.46"/>
    <s v="308 Main St"/>
    <s v="Credit Card"/>
    <x v="2"/>
    <s v="TRK48292586"/>
    <n v="8"/>
    <s v="No Coupon"/>
    <s v="Email"/>
    <n v="2922.3"/>
  </r>
  <r>
    <s v="ORD200732"/>
    <d v="2025-03-07T00:00:00"/>
    <s v="C80987"/>
    <s v="Laptop"/>
    <n v="1"/>
    <n v="132.05000000000001"/>
    <s v="787 Main St"/>
    <s v="Online"/>
    <x v="3"/>
    <s v="TRK42187776"/>
    <n v="2"/>
    <s v="No Coupon"/>
    <s v="Google"/>
    <n v="132.05000000000001"/>
  </r>
  <r>
    <s v="ORD200733"/>
    <d v="2023-12-04T00:00:00"/>
    <s v="C90757"/>
    <s v="Tablet"/>
    <n v="4"/>
    <n v="494.84"/>
    <s v="694 Main St"/>
    <s v="Cash"/>
    <x v="2"/>
    <s v="TRK87991608"/>
    <n v="8"/>
    <s v="SAVE10"/>
    <s v="Email"/>
    <n v="1979.36"/>
  </r>
  <r>
    <s v="ORD200734"/>
    <d v="2024-01-23T00:00:00"/>
    <s v="C51898"/>
    <s v="Printer"/>
    <n v="4"/>
    <n v="224.61"/>
    <s v="630 Main St"/>
    <s v="Credit Card"/>
    <x v="2"/>
    <s v="TRK19767885"/>
    <n v="6"/>
    <s v="WINTER15"/>
    <s v="Facebook"/>
    <n v="898.44"/>
  </r>
  <r>
    <s v="ORD200735"/>
    <d v="2024-06-28T00:00:00"/>
    <s v="C94508"/>
    <s v="Monitor"/>
    <n v="4"/>
    <n v="44.07"/>
    <s v="359 Main St"/>
    <s v="Debit Card"/>
    <x v="4"/>
    <s v="TRK13443264"/>
    <n v="6"/>
    <s v="No Coupon"/>
    <s v="Email"/>
    <n v="176.28"/>
  </r>
  <r>
    <s v="ORD200736"/>
    <d v="2024-02-09T00:00:00"/>
    <s v="C59441"/>
    <s v="Monitor"/>
    <n v="5"/>
    <n v="418.53"/>
    <s v="696 Main St"/>
    <s v="Credit Card"/>
    <x v="4"/>
    <s v="TRK66186874"/>
    <n v="6"/>
    <s v="FREESHIP"/>
    <s v="Google"/>
    <n v="2092.6499999999996"/>
  </r>
  <r>
    <s v="ORD200737"/>
    <d v="2024-01-03T00:00:00"/>
    <s v="C91029"/>
    <s v="Phone"/>
    <n v="4"/>
    <n v="532.87"/>
    <s v="972 Main St"/>
    <s v="Cash"/>
    <x v="4"/>
    <s v="TRK25501930"/>
    <n v="9"/>
    <s v="FREESHIP"/>
    <s v="Instagram"/>
    <n v="2131.48"/>
  </r>
  <r>
    <s v="ORD200738"/>
    <d v="2025-06-04T00:00:00"/>
    <s v="C96261"/>
    <s v="Phone"/>
    <n v="2"/>
    <n v="485.37"/>
    <s v="264 Main St"/>
    <s v="Credit Card"/>
    <x v="0"/>
    <s v="TRK44998396"/>
    <n v="5"/>
    <s v="SAVE10"/>
    <s v="Email"/>
    <n v="970.74"/>
  </r>
  <r>
    <s v="ORD200739"/>
    <d v="2024-06-13T00:00:00"/>
    <s v="C35123"/>
    <s v="Phone"/>
    <n v="4"/>
    <n v="386.73"/>
    <s v="513 Main St"/>
    <s v="Cash"/>
    <x v="3"/>
    <s v="TRK58979275"/>
    <n v="4"/>
    <s v="SAVE10"/>
    <s v="Facebook"/>
    <n v="1546.92"/>
  </r>
  <r>
    <s v="ORD200740"/>
    <d v="2024-07-20T00:00:00"/>
    <s v="C10892"/>
    <s v="Desk"/>
    <n v="2"/>
    <n v="377.47"/>
    <s v="433 Main St"/>
    <s v="Cash"/>
    <x v="4"/>
    <s v="TRK76154554"/>
    <n v="7"/>
    <s v="No Coupon"/>
    <s v="Google"/>
    <n v="754.94"/>
  </r>
  <r>
    <s v="ORD200741"/>
    <d v="2025-01-23T00:00:00"/>
    <s v="C99683"/>
    <s v="Monitor"/>
    <n v="5"/>
    <n v="332.64"/>
    <s v="945 Main St"/>
    <s v="Gift Card"/>
    <x v="3"/>
    <s v="TRK87305883"/>
    <n v="10"/>
    <s v="No Coupon"/>
    <s v="Referral"/>
    <n v="1663.1999999999998"/>
  </r>
  <r>
    <s v="ORD200742"/>
    <d v="2024-11-30T00:00:00"/>
    <s v="C41974"/>
    <s v="Laptop"/>
    <n v="3"/>
    <n v="699.93"/>
    <s v="726 Main St"/>
    <s v="Cash"/>
    <x v="2"/>
    <s v="TRK48051468"/>
    <n v="7"/>
    <s v="SAVE10"/>
    <s v="Google"/>
    <n v="2099.79"/>
  </r>
  <r>
    <s v="ORD200743"/>
    <d v="2024-09-30T00:00:00"/>
    <s v="C23978"/>
    <s v="Monitor"/>
    <n v="1"/>
    <n v="576.35"/>
    <s v="549 Main St"/>
    <s v="Gift Card"/>
    <x v="2"/>
    <s v="TRK87090813"/>
    <n v="1"/>
    <s v="WINTER15"/>
    <s v="Instagram"/>
    <n v="576.35"/>
  </r>
  <r>
    <s v="ORD200744"/>
    <d v="2024-06-12T00:00:00"/>
    <s v="C10642"/>
    <s v="Tablet"/>
    <n v="2"/>
    <n v="461.37"/>
    <s v="200 Main St"/>
    <s v="Cash"/>
    <x v="3"/>
    <s v="TRK98725693"/>
    <n v="5"/>
    <s v="SAVE10"/>
    <s v="Google"/>
    <n v="922.74"/>
  </r>
  <r>
    <s v="ORD200745"/>
    <d v="2023-03-02T00:00:00"/>
    <s v="C73813"/>
    <s v="Printer"/>
    <n v="4"/>
    <n v="111.3"/>
    <s v="364 Main St"/>
    <s v="Debit Card"/>
    <x v="4"/>
    <s v="TRK89906749"/>
    <n v="7"/>
    <s v="FREESHIP"/>
    <s v="Email"/>
    <n v="445.2"/>
  </r>
  <r>
    <s v="ORD200746"/>
    <d v="2025-02-24T00:00:00"/>
    <s v="C32183"/>
    <s v="Desk"/>
    <n v="3"/>
    <n v="661.89"/>
    <s v="551 Main St"/>
    <s v="Online"/>
    <x v="1"/>
    <s v="TRK76287027"/>
    <n v="6"/>
    <s v="WINTER15"/>
    <s v="Referral"/>
    <n v="1985.67"/>
  </r>
  <r>
    <s v="ORD200747"/>
    <d v="2025-03-12T00:00:00"/>
    <s v="C54277"/>
    <s v="Tablet"/>
    <n v="2"/>
    <n v="259.58"/>
    <s v="940 Main St"/>
    <s v="Debit Card"/>
    <x v="3"/>
    <s v="TRK26500181"/>
    <n v="7"/>
    <s v="FREESHIP"/>
    <s v="Instagram"/>
    <n v="519.16"/>
  </r>
  <r>
    <s v="ORD200748"/>
    <d v="2024-07-15T00:00:00"/>
    <s v="C56553"/>
    <s v="Tablet"/>
    <n v="3"/>
    <n v="70.81"/>
    <s v="249 Main St"/>
    <s v="Credit Card"/>
    <x v="0"/>
    <s v="TRK37667360"/>
    <n v="8"/>
    <s v="FREESHIP"/>
    <s v="Referral"/>
    <n v="212.43"/>
  </r>
  <r>
    <s v="ORD200749"/>
    <d v="2025-04-13T00:00:00"/>
    <s v="C17551"/>
    <s v="Laptop"/>
    <n v="1"/>
    <n v="518.39"/>
    <s v="997 Main St"/>
    <s v="Debit Card"/>
    <x v="4"/>
    <s v="TRK88797170"/>
    <n v="4"/>
    <s v="FREESHIP"/>
    <s v="Instagram"/>
    <n v="518.39"/>
  </r>
  <r>
    <s v="ORD200750"/>
    <d v="2023-01-14T00:00:00"/>
    <s v="C14737"/>
    <s v="Tablet"/>
    <n v="4"/>
    <n v="145.41"/>
    <s v="637 Main St"/>
    <s v="Credit Card"/>
    <x v="2"/>
    <s v="TRK10295115"/>
    <n v="7"/>
    <s v="FREESHIP"/>
    <s v="Email"/>
    <n v="581.64"/>
  </r>
  <r>
    <s v="ORD200751"/>
    <d v="2023-01-24T00:00:00"/>
    <s v="C35168"/>
    <s v="Tablet"/>
    <n v="2"/>
    <n v="599.86"/>
    <s v="455 Main St"/>
    <s v="Gift Card"/>
    <x v="4"/>
    <s v="TRK76960854"/>
    <n v="7"/>
    <s v="FREESHIP"/>
    <s v="Facebook"/>
    <n v="1199.72"/>
  </r>
  <r>
    <s v="ORD200752"/>
    <d v="2024-10-03T00:00:00"/>
    <s v="C82217"/>
    <s v="Phone"/>
    <n v="4"/>
    <n v="429.37"/>
    <s v="299 Main St"/>
    <s v="Credit Card"/>
    <x v="3"/>
    <s v="TRK33305694"/>
    <n v="8"/>
    <s v="FREESHIP"/>
    <s v="Google"/>
    <n v="1717.48"/>
  </r>
  <r>
    <s v="ORD200753"/>
    <d v="2024-04-24T00:00:00"/>
    <s v="C42270"/>
    <s v="Phone"/>
    <n v="2"/>
    <n v="241.49"/>
    <s v="864 Main St"/>
    <s v="Debit Card"/>
    <x v="2"/>
    <s v="TRK72697796"/>
    <n v="7"/>
    <s v="FREESHIP"/>
    <s v="Instagram"/>
    <n v="482.98"/>
  </r>
  <r>
    <s v="ORD200754"/>
    <d v="2025-05-31T00:00:00"/>
    <s v="C48846"/>
    <s v="Printer"/>
    <n v="2"/>
    <n v="452.05"/>
    <s v="983 Main St"/>
    <s v="Credit Card"/>
    <x v="2"/>
    <s v="TRK52804097"/>
    <n v="3"/>
    <s v="WINTER15"/>
    <s v="Email"/>
    <n v="904.1"/>
  </r>
  <r>
    <s v="ORD200755"/>
    <d v="2023-06-13T00:00:00"/>
    <s v="C54160"/>
    <s v="Desk"/>
    <n v="3"/>
    <n v="336.71"/>
    <s v="658 Main St"/>
    <s v="Credit Card"/>
    <x v="4"/>
    <s v="TRK60515972"/>
    <n v="4"/>
    <s v="No Coupon"/>
    <s v="Email"/>
    <n v="1010.1299999999999"/>
  </r>
  <r>
    <s v="ORD200756"/>
    <d v="2024-06-27T00:00:00"/>
    <s v="C14080"/>
    <s v="Phone"/>
    <n v="1"/>
    <n v="283.69"/>
    <s v="202 Main St"/>
    <s v="Gift Card"/>
    <x v="0"/>
    <s v="TRK93163682"/>
    <n v="6"/>
    <s v="No Coupon"/>
    <s v="Google"/>
    <n v="283.69"/>
  </r>
  <r>
    <s v="ORD200757"/>
    <d v="2024-02-22T00:00:00"/>
    <s v="C81074"/>
    <s v="Desk"/>
    <n v="1"/>
    <n v="157.72"/>
    <s v="597 Main St"/>
    <s v="Debit Card"/>
    <x v="3"/>
    <s v="TRK91105190"/>
    <n v="2"/>
    <s v="FREESHIP"/>
    <s v="Google"/>
    <n v="157.72"/>
  </r>
  <r>
    <s v="ORD200758"/>
    <d v="2023-03-26T00:00:00"/>
    <s v="C69021"/>
    <s v="Tablet"/>
    <n v="3"/>
    <n v="624.84"/>
    <s v="917 Main St"/>
    <s v="Credit Card"/>
    <x v="1"/>
    <s v="TRK57148510"/>
    <n v="8"/>
    <s v="WINTER15"/>
    <s v="Facebook"/>
    <n v="1874.52"/>
  </r>
  <r>
    <s v="ORD200759"/>
    <d v="2023-07-24T00:00:00"/>
    <s v="C96283"/>
    <s v="Desk"/>
    <n v="3"/>
    <n v="308.01"/>
    <s v="366 Main St"/>
    <s v="Cash"/>
    <x v="4"/>
    <s v="TRK91784124"/>
    <n v="3"/>
    <s v="FREESHIP"/>
    <s v="Facebook"/>
    <n v="924.03"/>
  </r>
  <r>
    <s v="ORD200760"/>
    <d v="2025-02-18T00:00:00"/>
    <s v="C96636"/>
    <s v="Desk"/>
    <n v="1"/>
    <n v="39.56"/>
    <s v="283 Main St"/>
    <s v="Debit Card"/>
    <x v="1"/>
    <s v="TRK73324346"/>
    <n v="5"/>
    <s v="No Coupon"/>
    <s v="Google"/>
    <n v="39.56"/>
  </r>
  <r>
    <s v="ORD200761"/>
    <d v="2023-06-02T00:00:00"/>
    <s v="C37235"/>
    <s v="Desk"/>
    <n v="4"/>
    <n v="37.76"/>
    <s v="217 Main St"/>
    <s v="Debit Card"/>
    <x v="3"/>
    <s v="TRK67789367"/>
    <n v="7"/>
    <s v="No Coupon"/>
    <s v="Google"/>
    <n v="151.04"/>
  </r>
  <r>
    <s v="ORD200762"/>
    <d v="2024-09-17T00:00:00"/>
    <s v="C12444"/>
    <s v="Phone"/>
    <n v="3"/>
    <n v="76.959999999999994"/>
    <s v="611 Main St"/>
    <s v="Cash"/>
    <x v="2"/>
    <s v="TRK97621403"/>
    <n v="8"/>
    <s v="FREESHIP"/>
    <s v="Email"/>
    <n v="230.88"/>
  </r>
  <r>
    <s v="ORD200763"/>
    <d v="2023-04-06T00:00:00"/>
    <s v="C79142"/>
    <s v="Laptop"/>
    <n v="1"/>
    <n v="569.96"/>
    <s v="533 Main St"/>
    <s v="Online"/>
    <x v="3"/>
    <s v="TRK30915955"/>
    <n v="4"/>
    <s v="FREESHIP"/>
    <s v="Email"/>
    <n v="569.96"/>
  </r>
  <r>
    <s v="ORD200764"/>
    <d v="2024-03-10T00:00:00"/>
    <s v="C35983"/>
    <s v="Laptop"/>
    <n v="5"/>
    <n v="627.42999999999995"/>
    <s v="806 Main St"/>
    <s v="Credit Card"/>
    <x v="1"/>
    <s v="TRK14016163"/>
    <n v="10"/>
    <s v="FREESHIP"/>
    <s v="Email"/>
    <n v="3137.1499999999996"/>
  </r>
  <r>
    <s v="ORD200765"/>
    <d v="2023-10-06T00:00:00"/>
    <s v="C36150"/>
    <s v="Laptop"/>
    <n v="2"/>
    <n v="534.91"/>
    <s v="281 Main St"/>
    <s v="Debit Card"/>
    <x v="2"/>
    <s v="TRK96249043"/>
    <n v="5"/>
    <s v="SAVE10"/>
    <s v="Google"/>
    <n v="1069.82"/>
  </r>
  <r>
    <s v="ORD200766"/>
    <d v="2023-01-22T00:00:00"/>
    <s v="C91454"/>
    <s v="Printer"/>
    <n v="2"/>
    <n v="278.88"/>
    <s v="494 Main St"/>
    <s v="Debit Card"/>
    <x v="4"/>
    <s v="TRK99985340"/>
    <n v="3"/>
    <s v="FREESHIP"/>
    <s v="Referral"/>
    <n v="557.76"/>
  </r>
  <r>
    <s v="ORD200767"/>
    <d v="2025-04-18T00:00:00"/>
    <s v="C19368"/>
    <s v="Tablet"/>
    <n v="2"/>
    <n v="323.22000000000003"/>
    <s v="517 Main St"/>
    <s v="Credit Card"/>
    <x v="3"/>
    <s v="TRK80436037"/>
    <n v="7"/>
    <s v="No Coupon"/>
    <s v="Instagram"/>
    <n v="646.44000000000005"/>
  </r>
  <r>
    <s v="ORD200768"/>
    <d v="2023-09-04T00:00:00"/>
    <s v="C35987"/>
    <s v="Tablet"/>
    <n v="5"/>
    <n v="653.46"/>
    <s v="165 Main St"/>
    <s v="Cash"/>
    <x v="1"/>
    <s v="TRK28918815"/>
    <n v="9"/>
    <s v="WINTER15"/>
    <s v="Email"/>
    <n v="3267.3"/>
  </r>
  <r>
    <s v="ORD200769"/>
    <d v="2023-07-06T00:00:00"/>
    <s v="C13366"/>
    <s v="Printer"/>
    <n v="4"/>
    <n v="678.55"/>
    <s v="568 Main St"/>
    <s v="Cash"/>
    <x v="3"/>
    <s v="TRK98691410"/>
    <n v="5"/>
    <s v="No Coupon"/>
    <s v="Email"/>
    <n v="2714.2"/>
  </r>
  <r>
    <s v="ORD200770"/>
    <d v="2024-02-11T00:00:00"/>
    <s v="C72166"/>
    <s v="Desk"/>
    <n v="1"/>
    <n v="314.38"/>
    <s v="227 Main St"/>
    <s v="Online"/>
    <x v="2"/>
    <s v="TRK67733444"/>
    <n v="6"/>
    <s v="No Coupon"/>
    <s v="Google"/>
    <n v="314.38"/>
  </r>
  <r>
    <s v="ORD200771"/>
    <d v="2024-06-12T00:00:00"/>
    <s v="C20357"/>
    <s v="Phone"/>
    <n v="3"/>
    <n v="692.44"/>
    <s v="272 Main St"/>
    <s v="Debit Card"/>
    <x v="1"/>
    <s v="TRK82236408"/>
    <n v="8"/>
    <s v="FREESHIP"/>
    <s v="Google"/>
    <n v="2077.3200000000002"/>
  </r>
  <r>
    <s v="ORD200772"/>
    <d v="2024-07-28T00:00:00"/>
    <s v="C33802"/>
    <s v="Monitor"/>
    <n v="1"/>
    <n v="604.87"/>
    <s v="461 Main St"/>
    <s v="Online"/>
    <x v="3"/>
    <s v="TRK25799478"/>
    <n v="4"/>
    <s v="No Coupon"/>
    <s v="Instagram"/>
    <n v="604.87"/>
  </r>
  <r>
    <s v="ORD200773"/>
    <d v="2025-06-28T00:00:00"/>
    <s v="C99205"/>
    <s v="Phone"/>
    <n v="2"/>
    <n v="512.33000000000004"/>
    <s v="415 Main St"/>
    <s v="Cash"/>
    <x v="1"/>
    <s v="TRK48904015"/>
    <n v="7"/>
    <s v="No Coupon"/>
    <s v="Facebook"/>
    <n v="1024.6600000000001"/>
  </r>
  <r>
    <s v="ORD200774"/>
    <d v="2025-04-15T00:00:00"/>
    <s v="C29701"/>
    <s v="Chair"/>
    <n v="3"/>
    <n v="20.54"/>
    <s v="257 Main St"/>
    <s v="Credit Card"/>
    <x v="1"/>
    <s v="TRK42266846"/>
    <n v="3"/>
    <s v="FREESHIP"/>
    <s v="Instagram"/>
    <n v="61.62"/>
  </r>
  <r>
    <s v="ORD200775"/>
    <d v="2023-03-04T00:00:00"/>
    <s v="C73941"/>
    <s v="Phone"/>
    <n v="2"/>
    <n v="625.22"/>
    <s v="569 Main St"/>
    <s v="Online"/>
    <x v="1"/>
    <s v="TRK22051900"/>
    <n v="5"/>
    <s v="No Coupon"/>
    <s v="Google"/>
    <n v="1250.44"/>
  </r>
  <r>
    <s v="ORD200776"/>
    <d v="2023-08-21T00:00:00"/>
    <s v="C69168"/>
    <s v="Tablet"/>
    <n v="1"/>
    <n v="21.19"/>
    <s v="482 Main St"/>
    <s v="Cash"/>
    <x v="2"/>
    <s v="TRK10446197"/>
    <n v="5"/>
    <s v="WINTER15"/>
    <s v="Google"/>
    <n v="21.19"/>
  </r>
  <r>
    <s v="ORD200777"/>
    <d v="2025-03-21T00:00:00"/>
    <s v="C66116"/>
    <s v="Chair"/>
    <n v="5"/>
    <n v="64.489999999999995"/>
    <s v="633 Main St"/>
    <s v="Online"/>
    <x v="1"/>
    <s v="TRK41967983"/>
    <n v="7"/>
    <s v="No Coupon"/>
    <s v="Facebook"/>
    <n v="322.45"/>
  </r>
  <r>
    <s v="ORD200778"/>
    <d v="2023-04-28T00:00:00"/>
    <s v="C85059"/>
    <s v="Laptop"/>
    <n v="4"/>
    <n v="246.85"/>
    <s v="316 Main St"/>
    <s v="Credit Card"/>
    <x v="0"/>
    <s v="TRK56503740"/>
    <n v="8"/>
    <s v="WINTER15"/>
    <s v="Google"/>
    <n v="987.4"/>
  </r>
  <r>
    <s v="ORD200779"/>
    <d v="2023-12-01T00:00:00"/>
    <s v="C18076"/>
    <s v="Phone"/>
    <n v="3"/>
    <n v="588.74"/>
    <s v="751 Main St"/>
    <s v="Debit Card"/>
    <x v="4"/>
    <s v="TRK26661705"/>
    <n v="8"/>
    <s v="FREESHIP"/>
    <s v="Email"/>
    <n v="1766.22"/>
  </r>
  <r>
    <s v="ORD200780"/>
    <d v="2024-03-31T00:00:00"/>
    <s v="C41284"/>
    <s v="Laptop"/>
    <n v="4"/>
    <n v="184.48"/>
    <s v="661 Main St"/>
    <s v="Online"/>
    <x v="1"/>
    <s v="TRK73613128"/>
    <n v="4"/>
    <s v="WINTER15"/>
    <s v="Google"/>
    <n v="737.92"/>
  </r>
  <r>
    <s v="ORD200781"/>
    <d v="2024-01-10T00:00:00"/>
    <s v="C43524"/>
    <s v="Phone"/>
    <n v="5"/>
    <n v="524.26"/>
    <s v="934 Main St"/>
    <s v="Gift Card"/>
    <x v="3"/>
    <s v="TRK51479426"/>
    <n v="5"/>
    <s v="FREESHIP"/>
    <s v="Referral"/>
    <n v="2621.3000000000002"/>
  </r>
  <r>
    <s v="ORD200782"/>
    <d v="2024-08-11T00:00:00"/>
    <s v="C58063"/>
    <s v="Monitor"/>
    <n v="2"/>
    <n v="493.63"/>
    <s v="167 Main St"/>
    <s v="Online"/>
    <x v="2"/>
    <s v="TRK50548869"/>
    <n v="6"/>
    <s v="SAVE10"/>
    <s v="Referral"/>
    <n v="987.26"/>
  </r>
  <r>
    <s v="ORD200783"/>
    <d v="2025-05-26T00:00:00"/>
    <s v="C19937"/>
    <s v="Printer"/>
    <n v="1"/>
    <n v="438.34"/>
    <s v="281 Main St"/>
    <s v="Gift Card"/>
    <x v="2"/>
    <s v="TRK46990083"/>
    <n v="5"/>
    <s v="FREESHIP"/>
    <s v="Facebook"/>
    <n v="438.34"/>
  </r>
  <r>
    <s v="ORD200784"/>
    <d v="2025-05-16T00:00:00"/>
    <s v="C21191"/>
    <s v="Laptop"/>
    <n v="1"/>
    <n v="325.81"/>
    <s v="232 Main St"/>
    <s v="Credit Card"/>
    <x v="4"/>
    <s v="TRK85771230"/>
    <n v="1"/>
    <s v="WINTER15"/>
    <s v="Referral"/>
    <n v="325.81"/>
  </r>
  <r>
    <s v="ORD200785"/>
    <d v="2023-07-29T00:00:00"/>
    <s v="C45862"/>
    <s v="Chair"/>
    <n v="1"/>
    <n v="176.1"/>
    <s v="342 Main St"/>
    <s v="Credit Card"/>
    <x v="4"/>
    <s v="TRK53089983"/>
    <n v="1"/>
    <s v="SAVE10"/>
    <s v="Instagram"/>
    <n v="176.1"/>
  </r>
  <r>
    <s v="ORD200786"/>
    <d v="2023-08-23T00:00:00"/>
    <s v="C39130"/>
    <s v="Chair"/>
    <n v="5"/>
    <n v="45.31"/>
    <s v="774 Main St"/>
    <s v="Online"/>
    <x v="1"/>
    <s v="TRK99583414"/>
    <n v="8"/>
    <s v="No Coupon"/>
    <s v="Referral"/>
    <n v="226.55"/>
  </r>
  <r>
    <s v="ORD200787"/>
    <d v="2024-03-17T00:00:00"/>
    <s v="C18167"/>
    <s v="Desk"/>
    <n v="4"/>
    <n v="221.96"/>
    <s v="193 Main St"/>
    <s v="Cash"/>
    <x v="3"/>
    <s v="TRK36841089"/>
    <n v="7"/>
    <s v="No Coupon"/>
    <s v="Google"/>
    <n v="887.84"/>
  </r>
  <r>
    <s v="ORD200788"/>
    <d v="2023-11-02T00:00:00"/>
    <s v="C47307"/>
    <s v="Chair"/>
    <n v="2"/>
    <n v="601.42999999999995"/>
    <s v="761 Main St"/>
    <s v="Online"/>
    <x v="4"/>
    <s v="TRK43516112"/>
    <n v="5"/>
    <s v="FREESHIP"/>
    <s v="Instagram"/>
    <n v="1202.8599999999999"/>
  </r>
  <r>
    <s v="ORD200789"/>
    <d v="2023-08-17T00:00:00"/>
    <s v="C57276"/>
    <s v="Tablet"/>
    <n v="5"/>
    <n v="691.28"/>
    <s v="183 Main St"/>
    <s v="Online"/>
    <x v="3"/>
    <s v="TRK75899752"/>
    <n v="10"/>
    <s v="SAVE10"/>
    <s v="Email"/>
    <n v="3456.3999999999996"/>
  </r>
  <r>
    <s v="ORD200790"/>
    <d v="2024-09-14T00:00:00"/>
    <s v="C38928"/>
    <s v="Laptop"/>
    <n v="4"/>
    <n v="417.89"/>
    <s v="302 Main St"/>
    <s v="Gift Card"/>
    <x v="4"/>
    <s v="TRK96636009"/>
    <n v="4"/>
    <s v="No Coupon"/>
    <s v="Google"/>
    <n v="1671.56"/>
  </r>
  <r>
    <s v="ORD200791"/>
    <d v="2024-01-13T00:00:00"/>
    <s v="C49710"/>
    <s v="Chair"/>
    <n v="4"/>
    <n v="409.28"/>
    <s v="956 Main St"/>
    <s v="Cash"/>
    <x v="4"/>
    <s v="TRK92591237"/>
    <n v="8"/>
    <s v="No Coupon"/>
    <s v="Email"/>
    <n v="1637.12"/>
  </r>
  <r>
    <s v="ORD200792"/>
    <d v="2023-06-16T00:00:00"/>
    <s v="C41709"/>
    <s v="Desk"/>
    <n v="2"/>
    <n v="356.35"/>
    <s v="746 Main St"/>
    <s v="Debit Card"/>
    <x v="2"/>
    <s v="TRK90995294"/>
    <n v="6"/>
    <s v="WINTER15"/>
    <s v="Facebook"/>
    <n v="712.7"/>
  </r>
  <r>
    <s v="ORD200793"/>
    <d v="2024-04-15T00:00:00"/>
    <s v="C91255"/>
    <s v="Chair"/>
    <n v="5"/>
    <n v="170.22"/>
    <s v="769 Main St"/>
    <s v="Debit Card"/>
    <x v="3"/>
    <s v="TRK69599961"/>
    <n v="8"/>
    <s v="No Coupon"/>
    <s v="Referral"/>
    <n v="851.1"/>
  </r>
  <r>
    <s v="ORD200794"/>
    <d v="2023-03-09T00:00:00"/>
    <s v="C76653"/>
    <s v="Printer"/>
    <n v="4"/>
    <n v="384.85"/>
    <s v="988 Main St"/>
    <s v="Online"/>
    <x v="3"/>
    <s v="TRK77052196"/>
    <n v="9"/>
    <s v="FREESHIP"/>
    <s v="Instagram"/>
    <n v="1539.4"/>
  </r>
  <r>
    <s v="ORD200795"/>
    <d v="2024-11-20T00:00:00"/>
    <s v="C95667"/>
    <s v="Laptop"/>
    <n v="4"/>
    <n v="115.77"/>
    <s v="586 Main St"/>
    <s v="Online"/>
    <x v="4"/>
    <s v="TRK41266666"/>
    <n v="7"/>
    <s v="SAVE10"/>
    <s v="Instagram"/>
    <n v="463.08"/>
  </r>
  <r>
    <s v="ORD200796"/>
    <d v="2025-04-29T00:00:00"/>
    <s v="C33313"/>
    <s v="Phone"/>
    <n v="3"/>
    <n v="579.54999999999995"/>
    <s v="882 Main St"/>
    <s v="Gift Card"/>
    <x v="2"/>
    <s v="TRK13349970"/>
    <n v="8"/>
    <s v="WINTER15"/>
    <s v="Facebook"/>
    <n v="1738.6499999999999"/>
  </r>
  <r>
    <s v="ORD200797"/>
    <d v="2023-02-27T00:00:00"/>
    <s v="C36825"/>
    <s v="Laptop"/>
    <n v="2"/>
    <n v="438.76"/>
    <s v="426 Main St"/>
    <s v="Debit Card"/>
    <x v="2"/>
    <s v="TRK72557318"/>
    <n v="2"/>
    <s v="No Coupon"/>
    <s v="Facebook"/>
    <n v="877.52"/>
  </r>
  <r>
    <s v="ORD200798"/>
    <d v="2025-05-19T00:00:00"/>
    <s v="C20861"/>
    <s v="Phone"/>
    <n v="5"/>
    <n v="488.35"/>
    <s v="968 Main St"/>
    <s v="Debit Card"/>
    <x v="2"/>
    <s v="TRK89372013"/>
    <n v="9"/>
    <s v="FREESHIP"/>
    <s v="Email"/>
    <n v="2441.75"/>
  </r>
  <r>
    <s v="ORD200799"/>
    <d v="2023-04-16T00:00:00"/>
    <s v="C26364"/>
    <s v="Laptop"/>
    <n v="4"/>
    <n v="328.56"/>
    <s v="803 Main St"/>
    <s v="Debit Card"/>
    <x v="2"/>
    <s v="TRK78924436"/>
    <n v="4"/>
    <s v="FREESHIP"/>
    <s v="Email"/>
    <n v="1314.24"/>
  </r>
  <r>
    <s v="ORD200800"/>
    <d v="2025-03-28T00:00:00"/>
    <s v="C34686"/>
    <s v="Tablet"/>
    <n v="1"/>
    <n v="68.39"/>
    <s v="412 Main St"/>
    <s v="Online"/>
    <x v="2"/>
    <s v="TRK99468332"/>
    <n v="3"/>
    <s v="WINTER15"/>
    <s v="Facebook"/>
    <n v="68.39"/>
  </r>
  <r>
    <s v="ORD200801"/>
    <d v="2023-05-03T00:00:00"/>
    <s v="C97593"/>
    <s v="Printer"/>
    <n v="4"/>
    <n v="595.62"/>
    <s v="738 Main St"/>
    <s v="Debit Card"/>
    <x v="4"/>
    <s v="TRK58443593"/>
    <n v="8"/>
    <s v="FREESHIP"/>
    <s v="Facebook"/>
    <n v="2382.48"/>
  </r>
  <r>
    <s v="ORD200802"/>
    <d v="2024-02-17T00:00:00"/>
    <s v="C84331"/>
    <s v="Chair"/>
    <n v="5"/>
    <n v="644.64"/>
    <s v="205 Main St"/>
    <s v="Gift Card"/>
    <x v="1"/>
    <s v="TRK34440714"/>
    <n v="6"/>
    <s v="FREESHIP"/>
    <s v="Email"/>
    <n v="3223.2"/>
  </r>
  <r>
    <s v="ORD200803"/>
    <d v="2023-08-20T00:00:00"/>
    <s v="C88775"/>
    <s v="Monitor"/>
    <n v="5"/>
    <n v="397.81"/>
    <s v="223 Main St"/>
    <s v="Debit Card"/>
    <x v="2"/>
    <s v="TRK45098068"/>
    <n v="5"/>
    <s v="SAVE10"/>
    <s v="Referral"/>
    <n v="1989.05"/>
  </r>
  <r>
    <s v="ORD200804"/>
    <d v="2024-01-01T00:00:00"/>
    <s v="C76362"/>
    <s v="Chair"/>
    <n v="3"/>
    <n v="236.5"/>
    <s v="916 Main St"/>
    <s v="Online"/>
    <x v="3"/>
    <s v="TRK11868618"/>
    <n v="8"/>
    <s v="FREESHIP"/>
    <s v="Email"/>
    <n v="709.5"/>
  </r>
  <r>
    <s v="ORD200805"/>
    <d v="2024-10-15T00:00:00"/>
    <s v="C59278"/>
    <s v="Laptop"/>
    <n v="5"/>
    <n v="472.01"/>
    <s v="178 Main St"/>
    <s v="Gift Card"/>
    <x v="1"/>
    <s v="TRK14590037"/>
    <n v="10"/>
    <s v="SAVE10"/>
    <s v="Email"/>
    <n v="2360.0500000000002"/>
  </r>
  <r>
    <s v="ORD200806"/>
    <d v="2023-09-01T00:00:00"/>
    <s v="C55819"/>
    <s v="Chair"/>
    <n v="5"/>
    <n v="253.75"/>
    <s v="740 Main St"/>
    <s v="Online"/>
    <x v="4"/>
    <s v="TRK13775054"/>
    <n v="9"/>
    <s v="WINTER15"/>
    <s v="Instagram"/>
    <n v="1268.75"/>
  </r>
  <r>
    <s v="ORD200807"/>
    <d v="2024-11-10T00:00:00"/>
    <s v="C82344"/>
    <s v="Monitor"/>
    <n v="3"/>
    <n v="676.21"/>
    <s v="260 Main St"/>
    <s v="Online"/>
    <x v="3"/>
    <s v="TRK70957219"/>
    <n v="5"/>
    <s v="SAVE10"/>
    <s v="Google"/>
    <n v="2028.63"/>
  </r>
  <r>
    <s v="ORD200808"/>
    <d v="2024-02-13T00:00:00"/>
    <s v="C65565"/>
    <s v="Desk"/>
    <n v="3"/>
    <n v="134.05000000000001"/>
    <s v="192 Main St"/>
    <s v="Credit Card"/>
    <x v="0"/>
    <s v="TRK80383756"/>
    <n v="3"/>
    <s v="No Coupon"/>
    <s v="Google"/>
    <n v="402.15000000000003"/>
  </r>
  <r>
    <s v="ORD200809"/>
    <d v="2024-04-09T00:00:00"/>
    <s v="C80416"/>
    <s v="Desk"/>
    <n v="5"/>
    <n v="217.43"/>
    <s v="752 Main St"/>
    <s v="Debit Card"/>
    <x v="0"/>
    <s v="TRK54385892"/>
    <n v="10"/>
    <s v="SAVE10"/>
    <s v="Instagram"/>
    <n v="1087.1500000000001"/>
  </r>
  <r>
    <s v="ORD200810"/>
    <d v="2023-05-31T00:00:00"/>
    <s v="C23637"/>
    <s v="Tablet"/>
    <n v="1"/>
    <n v="553.55999999999995"/>
    <s v="644 Main St"/>
    <s v="Credit Card"/>
    <x v="1"/>
    <s v="TRK16749863"/>
    <n v="5"/>
    <s v="No Coupon"/>
    <s v="Referral"/>
    <n v="553.55999999999995"/>
  </r>
  <r>
    <s v="ORD200811"/>
    <d v="2023-11-05T00:00:00"/>
    <s v="C24769"/>
    <s v="Laptop"/>
    <n v="2"/>
    <n v="28.55"/>
    <s v="864 Main St"/>
    <s v="Gift Card"/>
    <x v="0"/>
    <s v="TRK44538305"/>
    <n v="7"/>
    <s v="SAVE10"/>
    <s v="Email"/>
    <n v="57.1"/>
  </r>
  <r>
    <s v="ORD200812"/>
    <d v="2024-01-26T00:00:00"/>
    <s v="C81547"/>
    <s v="Phone"/>
    <n v="2"/>
    <n v="255.26"/>
    <s v="803 Main St"/>
    <s v="Credit Card"/>
    <x v="1"/>
    <s v="TRK88437123"/>
    <n v="6"/>
    <s v="FREESHIP"/>
    <s v="Google"/>
    <n v="510.52"/>
  </r>
  <r>
    <s v="ORD200813"/>
    <d v="2025-03-15T00:00:00"/>
    <s v="C12813"/>
    <s v="Laptop"/>
    <n v="5"/>
    <n v="292.54000000000002"/>
    <s v="263 Main St"/>
    <s v="Debit Card"/>
    <x v="1"/>
    <s v="TRK36131660"/>
    <n v="8"/>
    <s v="FREESHIP"/>
    <s v="Email"/>
    <n v="1462.7"/>
  </r>
  <r>
    <s v="ORD200814"/>
    <d v="2024-12-11T00:00:00"/>
    <s v="C50732"/>
    <s v="Chair"/>
    <n v="4"/>
    <n v="147.51"/>
    <s v="979 Main St"/>
    <s v="Debit Card"/>
    <x v="4"/>
    <s v="TRK21082461"/>
    <n v="4"/>
    <s v="WINTER15"/>
    <s v="Instagram"/>
    <n v="590.04"/>
  </r>
  <r>
    <s v="ORD200815"/>
    <d v="2024-08-04T00:00:00"/>
    <s v="C41320"/>
    <s v="Printer"/>
    <n v="3"/>
    <n v="569.84"/>
    <s v="920 Main St"/>
    <s v="Gift Card"/>
    <x v="1"/>
    <s v="TRK77539180"/>
    <n v="8"/>
    <s v="WINTER15"/>
    <s v="Instagram"/>
    <n v="1709.52"/>
  </r>
  <r>
    <s v="ORD200816"/>
    <d v="2024-02-21T00:00:00"/>
    <s v="C55286"/>
    <s v="Tablet"/>
    <n v="5"/>
    <n v="574.79"/>
    <s v="497 Main St"/>
    <s v="Credit Card"/>
    <x v="4"/>
    <s v="TRK39058734"/>
    <n v="8"/>
    <s v="WINTER15"/>
    <s v="Referral"/>
    <n v="2873.95"/>
  </r>
  <r>
    <s v="ORD200817"/>
    <d v="2023-10-05T00:00:00"/>
    <s v="C87994"/>
    <s v="Chair"/>
    <n v="4"/>
    <n v="598.19000000000005"/>
    <s v="430 Main St"/>
    <s v="Credit Card"/>
    <x v="3"/>
    <s v="TRK98883971"/>
    <n v="7"/>
    <s v="WINTER15"/>
    <s v="Email"/>
    <n v="2392.7600000000002"/>
  </r>
  <r>
    <s v="ORD200818"/>
    <d v="2023-03-02T00:00:00"/>
    <s v="C25580"/>
    <s v="Phone"/>
    <n v="4"/>
    <n v="390.84"/>
    <s v="860 Main St"/>
    <s v="Credit Card"/>
    <x v="1"/>
    <s v="TRK58781638"/>
    <n v="9"/>
    <s v="WINTER15"/>
    <s v="Referral"/>
    <n v="1563.36"/>
  </r>
  <r>
    <s v="ORD200819"/>
    <d v="2024-09-28T00:00:00"/>
    <s v="C66196"/>
    <s v="Phone"/>
    <n v="2"/>
    <n v="398.45"/>
    <s v="650 Main St"/>
    <s v="Debit Card"/>
    <x v="1"/>
    <s v="TRK38104650"/>
    <n v="7"/>
    <s v="SAVE10"/>
    <s v="Google"/>
    <n v="796.9"/>
  </r>
  <r>
    <s v="ORD200820"/>
    <d v="2023-05-27T00:00:00"/>
    <s v="C35377"/>
    <s v="Phone"/>
    <n v="5"/>
    <n v="623.80999999999995"/>
    <s v="171 Main St"/>
    <s v="Cash"/>
    <x v="2"/>
    <s v="TRK17342157"/>
    <n v="6"/>
    <s v="FREESHIP"/>
    <s v="Email"/>
    <n v="3119.0499999999997"/>
  </r>
  <r>
    <s v="ORD200821"/>
    <d v="2024-12-14T00:00:00"/>
    <s v="C40771"/>
    <s v="Laptop"/>
    <n v="4"/>
    <n v="174.49"/>
    <s v="259 Main St"/>
    <s v="Credit Card"/>
    <x v="3"/>
    <s v="TRK56310345"/>
    <n v="5"/>
    <s v="SAVE10"/>
    <s v="Facebook"/>
    <n v="697.96"/>
  </r>
  <r>
    <s v="ORD200822"/>
    <d v="2025-03-15T00:00:00"/>
    <s v="C20624"/>
    <s v="Phone"/>
    <n v="1"/>
    <n v="479.56"/>
    <s v="923 Main St"/>
    <s v="Gift Card"/>
    <x v="2"/>
    <s v="TRK45123395"/>
    <n v="1"/>
    <s v="SAVE10"/>
    <s v="Google"/>
    <n v="479.56"/>
  </r>
  <r>
    <s v="ORD200823"/>
    <d v="2024-10-07T00:00:00"/>
    <s v="C27070"/>
    <s v="Laptop"/>
    <n v="4"/>
    <n v="653.13"/>
    <s v="973 Main St"/>
    <s v="Credit Card"/>
    <x v="0"/>
    <s v="TRK83842481"/>
    <n v="8"/>
    <s v="WINTER15"/>
    <s v="Instagram"/>
    <n v="2612.52"/>
  </r>
  <r>
    <s v="ORD200824"/>
    <d v="2023-08-29T00:00:00"/>
    <s v="C18826"/>
    <s v="Monitor"/>
    <n v="3"/>
    <n v="481.1"/>
    <s v="664 Main St"/>
    <s v="Credit Card"/>
    <x v="2"/>
    <s v="TRK12530495"/>
    <n v="3"/>
    <s v="FREESHIP"/>
    <s v="Facebook"/>
    <n v="1443.3000000000002"/>
  </r>
  <r>
    <s v="ORD200825"/>
    <d v="2025-03-26T00:00:00"/>
    <s v="C23899"/>
    <s v="Desk"/>
    <n v="5"/>
    <n v="271.69"/>
    <s v="543 Main St"/>
    <s v="Online"/>
    <x v="2"/>
    <s v="TRK88914760"/>
    <n v="7"/>
    <s v="FREESHIP"/>
    <s v="Instagram"/>
    <n v="1358.45"/>
  </r>
  <r>
    <s v="ORD200826"/>
    <d v="2025-03-08T00:00:00"/>
    <s v="C43249"/>
    <s v="Printer"/>
    <n v="3"/>
    <n v="463.81"/>
    <s v="283 Main St"/>
    <s v="Online"/>
    <x v="2"/>
    <s v="TRK32469820"/>
    <n v="8"/>
    <s v="WINTER15"/>
    <s v="Email"/>
    <n v="1391.43"/>
  </r>
  <r>
    <s v="ORD200827"/>
    <d v="2023-05-25T00:00:00"/>
    <s v="C95856"/>
    <s v="Tablet"/>
    <n v="2"/>
    <n v="639.88"/>
    <s v="432 Main St"/>
    <s v="Cash"/>
    <x v="3"/>
    <s v="TRK58829625"/>
    <n v="5"/>
    <s v="WINTER15"/>
    <s v="Instagram"/>
    <n v="1279.76"/>
  </r>
  <r>
    <s v="ORD200828"/>
    <d v="2024-07-24T00:00:00"/>
    <s v="C86266"/>
    <s v="Chair"/>
    <n v="4"/>
    <n v="404.58"/>
    <s v="510 Main St"/>
    <s v="Cash"/>
    <x v="0"/>
    <s v="TRK64576020"/>
    <n v="5"/>
    <s v="FREESHIP"/>
    <s v="Instagram"/>
    <n v="1618.32"/>
  </r>
  <r>
    <s v="ORD200829"/>
    <d v="2023-02-05T00:00:00"/>
    <s v="C39551"/>
    <s v="Monitor"/>
    <n v="1"/>
    <n v="76.930000000000007"/>
    <s v="685 Main St"/>
    <s v="Debit Card"/>
    <x v="3"/>
    <s v="TRK68358007"/>
    <n v="6"/>
    <s v="WINTER15"/>
    <s v="Instagram"/>
    <n v="76.930000000000007"/>
  </r>
  <r>
    <s v="ORD200830"/>
    <d v="2024-12-11T00:00:00"/>
    <s v="C90310"/>
    <s v="Tablet"/>
    <n v="4"/>
    <n v="190.64"/>
    <s v="853 Main St"/>
    <s v="Cash"/>
    <x v="3"/>
    <s v="TRK70028457"/>
    <n v="5"/>
    <s v="SAVE10"/>
    <s v="Email"/>
    <n v="762.56"/>
  </r>
  <r>
    <s v="ORD200831"/>
    <d v="2023-12-18T00:00:00"/>
    <s v="C20124"/>
    <s v="Printer"/>
    <n v="2"/>
    <n v="88.73"/>
    <s v="140 Main St"/>
    <s v="Online"/>
    <x v="4"/>
    <s v="TRK61346824"/>
    <n v="5"/>
    <s v="No Coupon"/>
    <s v="Google"/>
    <n v="177.46"/>
  </r>
  <r>
    <s v="ORD200832"/>
    <d v="2024-03-12T00:00:00"/>
    <s v="C63372"/>
    <s v="Chair"/>
    <n v="5"/>
    <n v="485.71"/>
    <s v="903 Main St"/>
    <s v="Online"/>
    <x v="4"/>
    <s v="TRK14661811"/>
    <n v="10"/>
    <s v="SAVE10"/>
    <s v="Referral"/>
    <n v="2428.5499999999997"/>
  </r>
  <r>
    <s v="ORD200833"/>
    <d v="2025-03-14T00:00:00"/>
    <s v="C90595"/>
    <s v="Phone"/>
    <n v="5"/>
    <n v="78.290000000000006"/>
    <s v="508 Main St"/>
    <s v="Credit Card"/>
    <x v="0"/>
    <s v="TRK96573803"/>
    <n v="5"/>
    <s v="WINTER15"/>
    <s v="Referral"/>
    <n v="391.45000000000005"/>
  </r>
  <r>
    <s v="ORD200834"/>
    <d v="2024-04-11T00:00:00"/>
    <s v="C98483"/>
    <s v="Printer"/>
    <n v="5"/>
    <n v="22.14"/>
    <s v="456 Main St"/>
    <s v="Cash"/>
    <x v="2"/>
    <s v="TRK22084320"/>
    <n v="10"/>
    <s v="No Coupon"/>
    <s v="Instagram"/>
    <n v="110.7"/>
  </r>
  <r>
    <s v="ORD200835"/>
    <d v="2024-03-26T00:00:00"/>
    <s v="C16429"/>
    <s v="Desk"/>
    <n v="1"/>
    <n v="679.65"/>
    <s v="390 Main St"/>
    <s v="Debit Card"/>
    <x v="0"/>
    <s v="TRK73888013"/>
    <n v="6"/>
    <s v="FREESHIP"/>
    <s v="Google"/>
    <n v="679.65"/>
  </r>
  <r>
    <s v="ORD200836"/>
    <d v="2023-02-02T00:00:00"/>
    <s v="C31810"/>
    <s v="Phone"/>
    <n v="1"/>
    <n v="178.44"/>
    <s v="328 Main St"/>
    <s v="Credit Card"/>
    <x v="1"/>
    <s v="TRK58725886"/>
    <n v="2"/>
    <s v="FREESHIP"/>
    <s v="Google"/>
    <n v="178.44"/>
  </r>
  <r>
    <s v="ORD200837"/>
    <d v="2025-06-14T00:00:00"/>
    <s v="C88029"/>
    <s v="Chair"/>
    <n v="5"/>
    <n v="655.55"/>
    <s v="282 Main St"/>
    <s v="Online"/>
    <x v="3"/>
    <s v="TRK59701278"/>
    <n v="5"/>
    <s v="No Coupon"/>
    <s v="Email"/>
    <n v="3277.75"/>
  </r>
  <r>
    <s v="ORD200838"/>
    <d v="2024-04-11T00:00:00"/>
    <s v="C57798"/>
    <s v="Desk"/>
    <n v="4"/>
    <n v="577.08000000000004"/>
    <s v="384 Main St"/>
    <s v="Online"/>
    <x v="4"/>
    <s v="TRK68797566"/>
    <n v="8"/>
    <s v="No Coupon"/>
    <s v="Facebook"/>
    <n v="2308.3200000000002"/>
  </r>
  <r>
    <s v="ORD200839"/>
    <d v="2023-08-24T00:00:00"/>
    <s v="C82858"/>
    <s v="Chair"/>
    <n v="3"/>
    <n v="197.97"/>
    <s v="551 Main St"/>
    <s v="Online"/>
    <x v="1"/>
    <s v="TRK90618490"/>
    <n v="5"/>
    <s v="No Coupon"/>
    <s v="Google"/>
    <n v="593.91"/>
  </r>
  <r>
    <s v="ORD200840"/>
    <d v="2024-01-14T00:00:00"/>
    <s v="C60699"/>
    <s v="Chair"/>
    <n v="3"/>
    <n v="411.95"/>
    <s v="672 Main St"/>
    <s v="Credit Card"/>
    <x v="3"/>
    <s v="TRK88660574"/>
    <n v="7"/>
    <s v="FREESHIP"/>
    <s v="Referral"/>
    <n v="1235.8499999999999"/>
  </r>
  <r>
    <s v="ORD200841"/>
    <d v="2024-09-19T00:00:00"/>
    <s v="C94658"/>
    <s v="Printer"/>
    <n v="2"/>
    <n v="443.22"/>
    <s v="742 Main St"/>
    <s v="Credit Card"/>
    <x v="3"/>
    <s v="TRK51732528"/>
    <n v="5"/>
    <s v="No Coupon"/>
    <s v="Facebook"/>
    <n v="886.44"/>
  </r>
  <r>
    <s v="ORD200842"/>
    <d v="2025-05-07T00:00:00"/>
    <s v="C78305"/>
    <s v="Laptop"/>
    <n v="3"/>
    <n v="364.14"/>
    <s v="396 Main St"/>
    <s v="Online"/>
    <x v="4"/>
    <s v="TRK88312618"/>
    <n v="7"/>
    <s v="WINTER15"/>
    <s v="Referral"/>
    <n v="1092.42"/>
  </r>
  <r>
    <s v="ORD200843"/>
    <d v="2025-05-13T00:00:00"/>
    <s v="C43538"/>
    <s v="Desk"/>
    <n v="3"/>
    <n v="430.06"/>
    <s v="534 Main St"/>
    <s v="Gift Card"/>
    <x v="1"/>
    <s v="TRK20961563"/>
    <n v="8"/>
    <s v="FREESHIP"/>
    <s v="Instagram"/>
    <n v="1290.18"/>
  </r>
  <r>
    <s v="ORD200844"/>
    <d v="2024-12-04T00:00:00"/>
    <s v="C47486"/>
    <s v="Chair"/>
    <n v="1"/>
    <n v="320.92"/>
    <s v="883 Main St"/>
    <s v="Online"/>
    <x v="2"/>
    <s v="TRK75984759"/>
    <n v="5"/>
    <s v="FREESHIP"/>
    <s v="Facebook"/>
    <n v="320.92"/>
  </r>
  <r>
    <s v="ORD200845"/>
    <d v="2023-10-08T00:00:00"/>
    <s v="C24212"/>
    <s v="Phone"/>
    <n v="3"/>
    <n v="107.36"/>
    <s v="808 Main St"/>
    <s v="Gift Card"/>
    <x v="3"/>
    <s v="TRK68894675"/>
    <n v="5"/>
    <s v="FREESHIP"/>
    <s v="Google"/>
    <n v="322.08"/>
  </r>
  <r>
    <s v="ORD200846"/>
    <d v="2024-07-04T00:00:00"/>
    <s v="C24765"/>
    <s v="Desk"/>
    <n v="2"/>
    <n v="359.86"/>
    <s v="646 Main St"/>
    <s v="Debit Card"/>
    <x v="1"/>
    <s v="TRK43977698"/>
    <n v="4"/>
    <s v="No Coupon"/>
    <s v="Referral"/>
    <n v="719.72"/>
  </r>
  <r>
    <s v="ORD200847"/>
    <d v="2024-11-18T00:00:00"/>
    <s v="C48176"/>
    <s v="Printer"/>
    <n v="4"/>
    <n v="434.23"/>
    <s v="670 Main St"/>
    <s v="Online"/>
    <x v="0"/>
    <s v="TRK90560300"/>
    <n v="8"/>
    <s v="FREESHIP"/>
    <s v="Email"/>
    <n v="1736.92"/>
  </r>
  <r>
    <s v="ORD200848"/>
    <d v="2023-01-01T00:00:00"/>
    <s v="C54675"/>
    <s v="Chair"/>
    <n v="2"/>
    <n v="645.85"/>
    <s v="634 Main St"/>
    <s v="Online"/>
    <x v="0"/>
    <s v="TRK18049633"/>
    <n v="5"/>
    <s v="No Coupon"/>
    <s v="Referral"/>
    <n v="1291.7"/>
  </r>
  <r>
    <s v="ORD200849"/>
    <d v="2025-06-09T00:00:00"/>
    <s v="C16675"/>
    <s v="Printer"/>
    <n v="4"/>
    <n v="214.35"/>
    <s v="664 Main St"/>
    <s v="Debit Card"/>
    <x v="1"/>
    <s v="TRK12756945"/>
    <n v="7"/>
    <s v="WINTER15"/>
    <s v="Referral"/>
    <n v="857.4"/>
  </r>
  <r>
    <s v="ORD200850"/>
    <d v="2025-04-27T00:00:00"/>
    <s v="C38557"/>
    <s v="Monitor"/>
    <n v="3"/>
    <n v="638.5"/>
    <s v="890 Main St"/>
    <s v="Debit Card"/>
    <x v="1"/>
    <s v="TRK14832238"/>
    <n v="4"/>
    <s v="FREESHIP"/>
    <s v="Instagram"/>
    <n v="1915.5"/>
  </r>
  <r>
    <s v="ORD200851"/>
    <d v="2023-12-12T00:00:00"/>
    <s v="C80183"/>
    <s v="Laptop"/>
    <n v="1"/>
    <n v="365.57"/>
    <s v="146 Main St"/>
    <s v="Online"/>
    <x v="1"/>
    <s v="TRK20814598"/>
    <n v="5"/>
    <s v="SAVE10"/>
    <s v="Email"/>
    <n v="365.57"/>
  </r>
  <r>
    <s v="ORD200852"/>
    <d v="2024-10-24T00:00:00"/>
    <s v="C39530"/>
    <s v="Desk"/>
    <n v="3"/>
    <n v="568.04999999999995"/>
    <s v="618 Main St"/>
    <s v="Gift Card"/>
    <x v="4"/>
    <s v="TRK69000497"/>
    <n v="6"/>
    <s v="SAVE10"/>
    <s v="Google"/>
    <n v="1704.1499999999999"/>
  </r>
  <r>
    <s v="ORD200853"/>
    <d v="2023-10-16T00:00:00"/>
    <s v="C10002"/>
    <s v="Printer"/>
    <n v="3"/>
    <n v="490.01"/>
    <s v="894 Main St"/>
    <s v="Cash"/>
    <x v="2"/>
    <s v="TRK94641152"/>
    <n v="4"/>
    <s v="SAVE10"/>
    <s v="Facebook"/>
    <n v="1470.03"/>
  </r>
  <r>
    <s v="ORD200854"/>
    <d v="2025-06-13T00:00:00"/>
    <s v="C56938"/>
    <s v="Laptop"/>
    <n v="3"/>
    <n v="372.6"/>
    <s v="356 Main St"/>
    <s v="Credit Card"/>
    <x v="3"/>
    <s v="TRK67735987"/>
    <n v="7"/>
    <s v="WINTER15"/>
    <s v="Referral"/>
    <n v="1117.8000000000002"/>
  </r>
  <r>
    <s v="ORD200855"/>
    <d v="2023-05-25T00:00:00"/>
    <s v="C41331"/>
    <s v="Monitor"/>
    <n v="5"/>
    <n v="240.61"/>
    <s v="785 Main St"/>
    <s v="Credit Card"/>
    <x v="0"/>
    <s v="TRK94198179"/>
    <n v="10"/>
    <s v="FREESHIP"/>
    <s v="Email"/>
    <n v="1203.0500000000002"/>
  </r>
  <r>
    <s v="ORD200856"/>
    <d v="2024-06-03T00:00:00"/>
    <s v="C94698"/>
    <s v="Phone"/>
    <n v="1"/>
    <n v="586.62"/>
    <s v="871 Main St"/>
    <s v="Debit Card"/>
    <x v="0"/>
    <s v="TRK95768773"/>
    <n v="5"/>
    <s v="No Coupon"/>
    <s v="Facebook"/>
    <n v="586.62"/>
  </r>
  <r>
    <s v="ORD200857"/>
    <d v="2024-03-10T00:00:00"/>
    <s v="C56506"/>
    <s v="Phone"/>
    <n v="3"/>
    <n v="257.83999999999997"/>
    <s v="185 Main St"/>
    <s v="Online"/>
    <x v="3"/>
    <s v="TRK86808324"/>
    <n v="4"/>
    <s v="No Coupon"/>
    <s v="Instagram"/>
    <n v="773.52"/>
  </r>
  <r>
    <s v="ORD200858"/>
    <d v="2023-08-20T00:00:00"/>
    <s v="C22167"/>
    <s v="Tablet"/>
    <n v="5"/>
    <n v="435.66"/>
    <s v="891 Main St"/>
    <s v="Online"/>
    <x v="4"/>
    <s v="TRK70269748"/>
    <n v="9"/>
    <s v="No Coupon"/>
    <s v="Facebook"/>
    <n v="2178.3000000000002"/>
  </r>
  <r>
    <s v="ORD200859"/>
    <d v="2024-08-28T00:00:00"/>
    <s v="C11127"/>
    <s v="Chair"/>
    <n v="5"/>
    <n v="261.33"/>
    <s v="154 Main St"/>
    <s v="Credit Card"/>
    <x v="2"/>
    <s v="TRK73285507"/>
    <n v="5"/>
    <s v="SAVE10"/>
    <s v="Referral"/>
    <n v="1306.6499999999999"/>
  </r>
  <r>
    <s v="ORD200860"/>
    <d v="2024-01-23T00:00:00"/>
    <s v="C69542"/>
    <s v="Printer"/>
    <n v="1"/>
    <n v="422.54"/>
    <s v="876 Main St"/>
    <s v="Cash"/>
    <x v="3"/>
    <s v="TRK20746505"/>
    <n v="1"/>
    <s v="SAVE10"/>
    <s v="Google"/>
    <n v="422.54"/>
  </r>
  <r>
    <s v="ORD200861"/>
    <d v="2023-03-19T00:00:00"/>
    <s v="C93276"/>
    <s v="Desk"/>
    <n v="5"/>
    <n v="330.45"/>
    <s v="230 Main St"/>
    <s v="Gift Card"/>
    <x v="0"/>
    <s v="TRK44165913"/>
    <n v="10"/>
    <s v="FREESHIP"/>
    <s v="Google"/>
    <n v="1652.25"/>
  </r>
  <r>
    <s v="ORD200862"/>
    <d v="2023-12-02T00:00:00"/>
    <s v="C37969"/>
    <s v="Desk"/>
    <n v="3"/>
    <n v="120.82"/>
    <s v="799 Main St"/>
    <s v="Credit Card"/>
    <x v="0"/>
    <s v="TRK69852386"/>
    <n v="5"/>
    <s v="SAVE10"/>
    <s v="Referral"/>
    <n v="362.46"/>
  </r>
  <r>
    <s v="ORD200863"/>
    <d v="2024-05-20T00:00:00"/>
    <s v="C98276"/>
    <s v="Phone"/>
    <n v="1"/>
    <n v="14.06"/>
    <s v="471 Main St"/>
    <s v="Credit Card"/>
    <x v="4"/>
    <s v="TRK74207282"/>
    <n v="5"/>
    <s v="SAVE10"/>
    <s v="Referral"/>
    <n v="14.06"/>
  </r>
  <r>
    <s v="ORD200864"/>
    <d v="2023-05-03T00:00:00"/>
    <s v="C14240"/>
    <s v="Desk"/>
    <n v="1"/>
    <n v="491.11"/>
    <s v="592 Main St"/>
    <s v="Credit Card"/>
    <x v="3"/>
    <s v="TRK58095246"/>
    <n v="4"/>
    <s v="SAVE10"/>
    <s v="Facebook"/>
    <n v="491.11"/>
  </r>
  <r>
    <s v="ORD200865"/>
    <d v="2023-04-30T00:00:00"/>
    <s v="C72241"/>
    <s v="Monitor"/>
    <n v="4"/>
    <n v="677.37"/>
    <s v="156 Main St"/>
    <s v="Cash"/>
    <x v="4"/>
    <s v="TRK76270481"/>
    <n v="8"/>
    <s v="SAVE10"/>
    <s v="Google"/>
    <n v="2709.48"/>
  </r>
  <r>
    <s v="ORD200866"/>
    <d v="2024-07-26T00:00:00"/>
    <s v="C39664"/>
    <s v="Desk"/>
    <n v="5"/>
    <n v="189.25"/>
    <s v="693 Main St"/>
    <s v="Debit Card"/>
    <x v="1"/>
    <s v="TRK39917741"/>
    <n v="10"/>
    <s v="WINTER15"/>
    <s v="Email"/>
    <n v="946.25"/>
  </r>
  <r>
    <s v="ORD200867"/>
    <d v="2024-05-26T00:00:00"/>
    <s v="C53252"/>
    <s v="Printer"/>
    <n v="4"/>
    <n v="142.58000000000001"/>
    <s v="351 Main St"/>
    <s v="Cash"/>
    <x v="3"/>
    <s v="TRK65831261"/>
    <n v="4"/>
    <s v="FREESHIP"/>
    <s v="Facebook"/>
    <n v="570.32000000000005"/>
  </r>
  <r>
    <s v="ORD200868"/>
    <d v="2024-06-29T00:00:00"/>
    <s v="C70452"/>
    <s v="Monitor"/>
    <n v="4"/>
    <n v="316.32"/>
    <s v="309 Main St"/>
    <s v="Debit Card"/>
    <x v="3"/>
    <s v="TRK42985882"/>
    <n v="7"/>
    <s v="No Coupon"/>
    <s v="Facebook"/>
    <n v="1265.28"/>
  </r>
  <r>
    <s v="ORD200869"/>
    <d v="2024-03-17T00:00:00"/>
    <s v="C29905"/>
    <s v="Desk"/>
    <n v="2"/>
    <n v="533.95000000000005"/>
    <s v="790 Main St"/>
    <s v="Online"/>
    <x v="3"/>
    <s v="TRK16788127"/>
    <n v="5"/>
    <s v="WINTER15"/>
    <s v="Google"/>
    <n v="1067.9000000000001"/>
  </r>
  <r>
    <s v="ORD200870"/>
    <d v="2025-06-01T00:00:00"/>
    <s v="C78725"/>
    <s v="Phone"/>
    <n v="4"/>
    <n v="470.09"/>
    <s v="541 Main St"/>
    <s v="Debit Card"/>
    <x v="3"/>
    <s v="TRK72001139"/>
    <n v="4"/>
    <s v="FREESHIP"/>
    <s v="Google"/>
    <n v="1880.36"/>
  </r>
  <r>
    <s v="ORD200871"/>
    <d v="2024-05-16T00:00:00"/>
    <s v="C93768"/>
    <s v="Tablet"/>
    <n v="3"/>
    <n v="324.3"/>
    <s v="720 Main St"/>
    <s v="Debit Card"/>
    <x v="4"/>
    <s v="TRK22024707"/>
    <n v="8"/>
    <s v="FREESHIP"/>
    <s v="Email"/>
    <n v="972.90000000000009"/>
  </r>
  <r>
    <s v="ORD200872"/>
    <d v="2023-07-10T00:00:00"/>
    <s v="C59169"/>
    <s v="Chair"/>
    <n v="4"/>
    <n v="629.34"/>
    <s v="172 Main St"/>
    <s v="Cash"/>
    <x v="0"/>
    <s v="TRK90883858"/>
    <n v="7"/>
    <s v="No Coupon"/>
    <s v="Email"/>
    <n v="2517.36"/>
  </r>
  <r>
    <s v="ORD200873"/>
    <d v="2024-05-12T00:00:00"/>
    <s v="C53488"/>
    <s v="Desk"/>
    <n v="3"/>
    <n v="136.84"/>
    <s v="448 Main St"/>
    <s v="Cash"/>
    <x v="3"/>
    <s v="TRK27365050"/>
    <n v="3"/>
    <s v="SAVE10"/>
    <s v="Facebook"/>
    <n v="410.52"/>
  </r>
  <r>
    <s v="ORD200874"/>
    <d v="2023-10-31T00:00:00"/>
    <s v="C92180"/>
    <s v="Chair"/>
    <n v="2"/>
    <n v="488.9"/>
    <s v="632 Main St"/>
    <s v="Cash"/>
    <x v="3"/>
    <s v="TRK93315929"/>
    <n v="7"/>
    <s v="FREESHIP"/>
    <s v="Facebook"/>
    <n v="977.8"/>
  </r>
  <r>
    <s v="ORD200875"/>
    <d v="2023-08-03T00:00:00"/>
    <s v="C25918"/>
    <s v="Laptop"/>
    <n v="5"/>
    <n v="133.38999999999999"/>
    <s v="203 Main St"/>
    <s v="Credit Card"/>
    <x v="3"/>
    <s v="TRK66473392"/>
    <n v="6"/>
    <s v="FREESHIP"/>
    <s v="Referral"/>
    <n v="666.94999999999993"/>
  </r>
  <r>
    <s v="ORD200876"/>
    <d v="2024-06-09T00:00:00"/>
    <s v="C90363"/>
    <s v="Chair"/>
    <n v="5"/>
    <n v="608.91"/>
    <s v="200 Main St"/>
    <s v="Gift Card"/>
    <x v="4"/>
    <s v="TRK21534173"/>
    <n v="6"/>
    <s v="SAVE10"/>
    <s v="Google"/>
    <n v="3044.5499999999997"/>
  </r>
  <r>
    <s v="ORD200877"/>
    <d v="2024-07-25T00:00:00"/>
    <s v="C43867"/>
    <s v="Tablet"/>
    <n v="1"/>
    <n v="524.05999999999995"/>
    <s v="269 Main St"/>
    <s v="Debit Card"/>
    <x v="4"/>
    <s v="TRK97319127"/>
    <n v="3"/>
    <s v="FREESHIP"/>
    <s v="Email"/>
    <n v="524.05999999999995"/>
  </r>
  <r>
    <s v="ORD200878"/>
    <d v="2023-06-01T00:00:00"/>
    <s v="C73873"/>
    <s v="Desk"/>
    <n v="2"/>
    <n v="330.69"/>
    <s v="393 Main St"/>
    <s v="Online"/>
    <x v="1"/>
    <s v="TRK56423132"/>
    <n v="5"/>
    <s v="SAVE10"/>
    <s v="Google"/>
    <n v="661.38"/>
  </r>
  <r>
    <s v="ORD200879"/>
    <d v="2025-04-08T00:00:00"/>
    <s v="C56622"/>
    <s v="Phone"/>
    <n v="2"/>
    <n v="547.66999999999996"/>
    <s v="932 Main St"/>
    <s v="Gift Card"/>
    <x v="0"/>
    <s v="TRK86373987"/>
    <n v="3"/>
    <s v="No Coupon"/>
    <s v="Instagram"/>
    <n v="1095.3399999999999"/>
  </r>
  <r>
    <s v="ORD200880"/>
    <d v="2025-03-12T00:00:00"/>
    <s v="C85074"/>
    <s v="Laptop"/>
    <n v="4"/>
    <n v="233.7"/>
    <s v="506 Main St"/>
    <s v="Online"/>
    <x v="0"/>
    <s v="TRK63133878"/>
    <n v="8"/>
    <s v="SAVE10"/>
    <s v="Facebook"/>
    <n v="934.8"/>
  </r>
  <r>
    <s v="ORD200881"/>
    <d v="2023-01-03T00:00:00"/>
    <s v="C59579"/>
    <s v="Tablet"/>
    <n v="2"/>
    <n v="448.85"/>
    <s v="386 Main St"/>
    <s v="Credit Card"/>
    <x v="4"/>
    <s v="TRK48000034"/>
    <n v="6"/>
    <s v="No Coupon"/>
    <s v="Instagram"/>
    <n v="897.7"/>
  </r>
  <r>
    <s v="ORD200882"/>
    <d v="2025-06-28T00:00:00"/>
    <s v="C43335"/>
    <s v="Phone"/>
    <n v="2"/>
    <n v="274.12"/>
    <s v="533 Main St"/>
    <s v="Cash"/>
    <x v="3"/>
    <s v="TRK91848650"/>
    <n v="6"/>
    <s v="FREESHIP"/>
    <s v="Referral"/>
    <n v="548.24"/>
  </r>
  <r>
    <s v="ORD200883"/>
    <d v="2025-05-13T00:00:00"/>
    <s v="C43595"/>
    <s v="Printer"/>
    <n v="5"/>
    <n v="561.48"/>
    <s v="451 Main St"/>
    <s v="Online"/>
    <x v="3"/>
    <s v="TRK25317348"/>
    <n v="9"/>
    <s v="FREESHIP"/>
    <s v="Facebook"/>
    <n v="2807.4"/>
  </r>
  <r>
    <s v="ORD200884"/>
    <d v="2024-05-15T00:00:00"/>
    <s v="C71471"/>
    <s v="Chair"/>
    <n v="1"/>
    <n v="595.54"/>
    <s v="817 Main St"/>
    <s v="Gift Card"/>
    <x v="0"/>
    <s v="TRK52137079"/>
    <n v="4"/>
    <s v="No Coupon"/>
    <s v="Instagram"/>
    <n v="595.54"/>
  </r>
  <r>
    <s v="ORD200885"/>
    <d v="2024-04-07T00:00:00"/>
    <s v="C61090"/>
    <s v="Laptop"/>
    <n v="4"/>
    <n v="515.59"/>
    <s v="387 Main St"/>
    <s v="Credit Card"/>
    <x v="0"/>
    <s v="TRK36388962"/>
    <n v="7"/>
    <s v="FREESHIP"/>
    <s v="Google"/>
    <n v="2062.36"/>
  </r>
  <r>
    <s v="ORD200886"/>
    <d v="2023-10-25T00:00:00"/>
    <s v="C29620"/>
    <s v="Phone"/>
    <n v="1"/>
    <n v="460.13"/>
    <s v="792 Main St"/>
    <s v="Credit Card"/>
    <x v="2"/>
    <s v="TRK22046456"/>
    <n v="1"/>
    <s v="No Coupon"/>
    <s v="Google"/>
    <n v="460.13"/>
  </r>
  <r>
    <s v="ORD200887"/>
    <d v="2024-12-19T00:00:00"/>
    <s v="C67932"/>
    <s v="Chair"/>
    <n v="3"/>
    <n v="171.66"/>
    <s v="857 Main St"/>
    <s v="Debit Card"/>
    <x v="3"/>
    <s v="TRK88547534"/>
    <n v="7"/>
    <s v="No Coupon"/>
    <s v="Google"/>
    <n v="514.98"/>
  </r>
  <r>
    <s v="ORD200888"/>
    <d v="2024-07-23T00:00:00"/>
    <s v="C14427"/>
    <s v="Laptop"/>
    <n v="2"/>
    <n v="266.95"/>
    <s v="833 Main St"/>
    <s v="Credit Card"/>
    <x v="4"/>
    <s v="TRK58024529"/>
    <n v="3"/>
    <s v="No Coupon"/>
    <s v="Instagram"/>
    <n v="533.9"/>
  </r>
  <r>
    <s v="ORD200889"/>
    <d v="2024-10-27T00:00:00"/>
    <s v="C36725"/>
    <s v="Monitor"/>
    <n v="5"/>
    <n v="650.72"/>
    <s v="350 Main St"/>
    <s v="Credit Card"/>
    <x v="1"/>
    <s v="TRK16808790"/>
    <n v="8"/>
    <s v="WINTER15"/>
    <s v="Email"/>
    <n v="3253.6000000000004"/>
  </r>
  <r>
    <s v="ORD200890"/>
    <d v="2023-08-11T00:00:00"/>
    <s v="C51921"/>
    <s v="Laptop"/>
    <n v="3"/>
    <n v="439.53"/>
    <s v="943 Main St"/>
    <s v="Debit Card"/>
    <x v="4"/>
    <s v="TRK85741716"/>
    <n v="5"/>
    <s v="No Coupon"/>
    <s v="Google"/>
    <n v="1318.59"/>
  </r>
  <r>
    <s v="ORD200891"/>
    <d v="2023-11-11T00:00:00"/>
    <s v="C36534"/>
    <s v="Monitor"/>
    <n v="3"/>
    <n v="654.54"/>
    <s v="918 Main St"/>
    <s v="Cash"/>
    <x v="2"/>
    <s v="TRK38952138"/>
    <n v="7"/>
    <s v="SAVE10"/>
    <s v="Referral"/>
    <n v="1963.62"/>
  </r>
  <r>
    <s v="ORD200892"/>
    <d v="2024-06-04T00:00:00"/>
    <s v="C72043"/>
    <s v="Desk"/>
    <n v="1"/>
    <n v="394.53"/>
    <s v="480 Main St"/>
    <s v="Cash"/>
    <x v="0"/>
    <s v="TRK40896408"/>
    <n v="2"/>
    <s v="FREESHIP"/>
    <s v="Referral"/>
    <n v="394.53"/>
  </r>
  <r>
    <s v="ORD200893"/>
    <d v="2023-03-21T00:00:00"/>
    <s v="C99533"/>
    <s v="Monitor"/>
    <n v="1"/>
    <n v="678.01"/>
    <s v="696 Main St"/>
    <s v="Cash"/>
    <x v="4"/>
    <s v="TRK55701253"/>
    <n v="4"/>
    <s v="FREESHIP"/>
    <s v="Referral"/>
    <n v="678.01"/>
  </r>
  <r>
    <s v="ORD200894"/>
    <d v="2023-05-23T00:00:00"/>
    <s v="C90852"/>
    <s v="Tablet"/>
    <n v="3"/>
    <n v="575.01"/>
    <s v="852 Main St"/>
    <s v="Online"/>
    <x v="1"/>
    <s v="TRK37551831"/>
    <n v="8"/>
    <s v="WINTER15"/>
    <s v="Instagram"/>
    <n v="1725.03"/>
  </r>
  <r>
    <s v="ORD200895"/>
    <d v="2023-11-09T00:00:00"/>
    <s v="C81882"/>
    <s v="Chair"/>
    <n v="3"/>
    <n v="154.63999999999999"/>
    <s v="832 Main St"/>
    <s v="Debit Card"/>
    <x v="4"/>
    <s v="TRK62371264"/>
    <n v="6"/>
    <s v="WINTER15"/>
    <s v="Facebook"/>
    <n v="463.91999999999996"/>
  </r>
  <r>
    <s v="ORD200896"/>
    <d v="2024-10-18T00:00:00"/>
    <s v="C85466"/>
    <s v="Desk"/>
    <n v="3"/>
    <n v="147.29"/>
    <s v="102 Main St"/>
    <s v="Gift Card"/>
    <x v="0"/>
    <s v="TRK66764177"/>
    <n v="3"/>
    <s v="FREESHIP"/>
    <s v="Google"/>
    <n v="441.87"/>
  </r>
  <r>
    <s v="ORD200897"/>
    <d v="2024-09-03T00:00:00"/>
    <s v="C87995"/>
    <s v="Laptop"/>
    <n v="4"/>
    <n v="481.48"/>
    <s v="358 Main St"/>
    <s v="Gift Card"/>
    <x v="3"/>
    <s v="TRK38730545"/>
    <n v="5"/>
    <s v="SAVE10"/>
    <s v="Instagram"/>
    <n v="1925.92"/>
  </r>
  <r>
    <s v="ORD200898"/>
    <d v="2025-03-05T00:00:00"/>
    <s v="C44619"/>
    <s v="Monitor"/>
    <n v="3"/>
    <n v="158.37"/>
    <s v="742 Main St"/>
    <s v="Cash"/>
    <x v="0"/>
    <s v="TRK66662528"/>
    <n v="6"/>
    <s v="No Coupon"/>
    <s v="Referral"/>
    <n v="475.11"/>
  </r>
  <r>
    <s v="ORD200899"/>
    <d v="2025-04-23T00:00:00"/>
    <s v="C99904"/>
    <s v="Printer"/>
    <n v="2"/>
    <n v="323.37"/>
    <s v="552 Main St"/>
    <s v="Online"/>
    <x v="4"/>
    <s v="TRK83843411"/>
    <n v="3"/>
    <s v="SAVE10"/>
    <s v="Instagram"/>
    <n v="646.74"/>
  </r>
  <r>
    <s v="ORD200900"/>
    <d v="2025-02-07T00:00:00"/>
    <s v="C52342"/>
    <s v="Laptop"/>
    <n v="5"/>
    <n v="73.83"/>
    <s v="991 Main St"/>
    <s v="Debit Card"/>
    <x v="4"/>
    <s v="TRK67342586"/>
    <n v="9"/>
    <s v="No Coupon"/>
    <s v="Instagram"/>
    <n v="369.15"/>
  </r>
  <r>
    <s v="ORD200901"/>
    <d v="2024-04-28T00:00:00"/>
    <s v="C44277"/>
    <s v="Tablet"/>
    <n v="1"/>
    <n v="458.63"/>
    <s v="839 Main St"/>
    <s v="Debit Card"/>
    <x v="2"/>
    <s v="TRK79321479"/>
    <n v="4"/>
    <s v="WINTER15"/>
    <s v="Referral"/>
    <n v="458.63"/>
  </r>
  <r>
    <s v="ORD200902"/>
    <d v="2024-07-13T00:00:00"/>
    <s v="C61162"/>
    <s v="Monitor"/>
    <n v="4"/>
    <n v="180.25"/>
    <s v="813 Main St"/>
    <s v="Debit Card"/>
    <x v="1"/>
    <s v="TRK76712124"/>
    <n v="7"/>
    <s v="No Coupon"/>
    <s v="Facebook"/>
    <n v="721"/>
  </r>
  <r>
    <s v="ORD200903"/>
    <d v="2023-05-17T00:00:00"/>
    <s v="C80868"/>
    <s v="Monitor"/>
    <n v="3"/>
    <n v="473.49"/>
    <s v="205 Main St"/>
    <s v="Credit Card"/>
    <x v="4"/>
    <s v="TRK56186636"/>
    <n v="7"/>
    <s v="No Coupon"/>
    <s v="Email"/>
    <n v="1420.47"/>
  </r>
  <r>
    <s v="ORD200904"/>
    <d v="2025-02-05T00:00:00"/>
    <s v="C16693"/>
    <s v="Monitor"/>
    <n v="4"/>
    <n v="237.43"/>
    <s v="262 Main St"/>
    <s v="Cash"/>
    <x v="1"/>
    <s v="TRK41146508"/>
    <n v="8"/>
    <s v="WINTER15"/>
    <s v="Referral"/>
    <n v="949.72"/>
  </r>
  <r>
    <s v="ORD200905"/>
    <d v="2023-11-23T00:00:00"/>
    <s v="C67818"/>
    <s v="Laptop"/>
    <n v="1"/>
    <n v="442.39"/>
    <s v="101 Main St"/>
    <s v="Gift Card"/>
    <x v="4"/>
    <s v="TRK81978113"/>
    <n v="6"/>
    <s v="FREESHIP"/>
    <s v="Facebook"/>
    <n v="442.39"/>
  </r>
  <r>
    <s v="ORD200906"/>
    <d v="2024-09-03T00:00:00"/>
    <s v="C49938"/>
    <s v="Monitor"/>
    <n v="1"/>
    <n v="62.12"/>
    <s v="141 Main St"/>
    <s v="Cash"/>
    <x v="2"/>
    <s v="TRK80175572"/>
    <n v="2"/>
    <s v="No Coupon"/>
    <s v="Email"/>
    <n v="62.12"/>
  </r>
  <r>
    <s v="ORD200907"/>
    <d v="2024-08-04T00:00:00"/>
    <s v="C90898"/>
    <s v="Desk"/>
    <n v="5"/>
    <n v="298.39"/>
    <s v="583 Main St"/>
    <s v="Gift Card"/>
    <x v="1"/>
    <s v="TRK52935170"/>
    <n v="7"/>
    <s v="WINTER15"/>
    <s v="Referral"/>
    <n v="1491.9499999999998"/>
  </r>
  <r>
    <s v="ORD200908"/>
    <d v="2025-05-06T00:00:00"/>
    <s v="C35117"/>
    <s v="Desk"/>
    <n v="2"/>
    <n v="697.93"/>
    <s v="332 Main St"/>
    <s v="Credit Card"/>
    <x v="1"/>
    <s v="TRK27155709"/>
    <n v="2"/>
    <s v="SAVE10"/>
    <s v="Google"/>
    <n v="1395.86"/>
  </r>
  <r>
    <s v="ORD200909"/>
    <d v="2024-05-27T00:00:00"/>
    <s v="C60203"/>
    <s v="Tablet"/>
    <n v="2"/>
    <n v="291.85000000000002"/>
    <s v="569 Main St"/>
    <s v="Cash"/>
    <x v="0"/>
    <s v="TRK76525279"/>
    <n v="5"/>
    <s v="FREESHIP"/>
    <s v="Instagram"/>
    <n v="583.70000000000005"/>
  </r>
  <r>
    <s v="ORD200910"/>
    <d v="2024-05-31T00:00:00"/>
    <s v="C36174"/>
    <s v="Printer"/>
    <n v="3"/>
    <n v="308.98"/>
    <s v="348 Main St"/>
    <s v="Cash"/>
    <x v="3"/>
    <s v="TRK26397548"/>
    <n v="3"/>
    <s v="SAVE10"/>
    <s v="Instagram"/>
    <n v="926.94"/>
  </r>
  <r>
    <s v="ORD200911"/>
    <d v="2024-08-13T00:00:00"/>
    <s v="C80872"/>
    <s v="Desk"/>
    <n v="5"/>
    <n v="396.86"/>
    <s v="593 Main St"/>
    <s v="Cash"/>
    <x v="1"/>
    <s v="TRK43967487"/>
    <n v="9"/>
    <s v="SAVE10"/>
    <s v="Instagram"/>
    <n v="1984.3000000000002"/>
  </r>
  <r>
    <s v="ORD200912"/>
    <d v="2024-01-22T00:00:00"/>
    <s v="C67604"/>
    <s v="Desk"/>
    <n v="2"/>
    <n v="139.69"/>
    <s v="318 Main St"/>
    <s v="Online"/>
    <x v="2"/>
    <s v="TRK85545920"/>
    <n v="7"/>
    <s v="FREESHIP"/>
    <s v="Email"/>
    <n v="279.38"/>
  </r>
  <r>
    <s v="ORD200913"/>
    <d v="2023-02-16T00:00:00"/>
    <s v="C45599"/>
    <s v="Printer"/>
    <n v="5"/>
    <n v="475.95"/>
    <s v="505 Main St"/>
    <s v="Credit Card"/>
    <x v="2"/>
    <s v="TRK62277685"/>
    <n v="8"/>
    <s v="WINTER15"/>
    <s v="Facebook"/>
    <n v="2379.75"/>
  </r>
  <r>
    <s v="ORD200914"/>
    <d v="2025-02-10T00:00:00"/>
    <s v="C70352"/>
    <s v="Desk"/>
    <n v="1"/>
    <n v="626.6"/>
    <s v="955 Main St"/>
    <s v="Gift Card"/>
    <x v="2"/>
    <s v="TRK51589589"/>
    <n v="4"/>
    <s v="WINTER15"/>
    <s v="Facebook"/>
    <n v="626.6"/>
  </r>
  <r>
    <s v="ORD200915"/>
    <d v="2024-02-16T00:00:00"/>
    <s v="C20643"/>
    <s v="Laptop"/>
    <n v="4"/>
    <n v="502.99"/>
    <s v="939 Main St"/>
    <s v="Debit Card"/>
    <x v="0"/>
    <s v="TRK30736692"/>
    <n v="4"/>
    <s v="WINTER15"/>
    <s v="Referral"/>
    <n v="2011.96"/>
  </r>
  <r>
    <s v="ORD200916"/>
    <d v="2024-06-21T00:00:00"/>
    <s v="C35669"/>
    <s v="Printer"/>
    <n v="5"/>
    <n v="578.83000000000004"/>
    <s v="165 Main St"/>
    <s v="Cash"/>
    <x v="2"/>
    <s v="TRK13928455"/>
    <n v="6"/>
    <s v="No Coupon"/>
    <s v="Referral"/>
    <n v="2894.15"/>
  </r>
  <r>
    <s v="ORD200917"/>
    <d v="2025-01-20T00:00:00"/>
    <s v="C65524"/>
    <s v="Laptop"/>
    <n v="5"/>
    <n v="383.82"/>
    <s v="836 Main St"/>
    <s v="Credit Card"/>
    <x v="2"/>
    <s v="TRK19315310"/>
    <n v="7"/>
    <s v="FREESHIP"/>
    <s v="Google"/>
    <n v="1919.1"/>
  </r>
  <r>
    <s v="ORD200918"/>
    <d v="2025-06-24T00:00:00"/>
    <s v="C74359"/>
    <s v="Laptop"/>
    <n v="5"/>
    <n v="368.25"/>
    <s v="706 Main St"/>
    <s v="Online"/>
    <x v="3"/>
    <s v="TRK18250450"/>
    <n v="5"/>
    <s v="No Coupon"/>
    <s v="Instagram"/>
    <n v="1841.25"/>
  </r>
  <r>
    <s v="ORD200919"/>
    <d v="2025-02-07T00:00:00"/>
    <s v="C92086"/>
    <s v="Printer"/>
    <n v="2"/>
    <n v="374.6"/>
    <s v="187 Main St"/>
    <s v="Online"/>
    <x v="0"/>
    <s v="TRK23357668"/>
    <n v="3"/>
    <s v="FREESHIP"/>
    <s v="Referral"/>
    <n v="749.2"/>
  </r>
  <r>
    <s v="ORD200920"/>
    <d v="2025-03-12T00:00:00"/>
    <s v="C26137"/>
    <s v="Tablet"/>
    <n v="2"/>
    <n v="428.09"/>
    <s v="978 Main St"/>
    <s v="Credit Card"/>
    <x v="2"/>
    <s v="TRK98110407"/>
    <n v="6"/>
    <s v="No Coupon"/>
    <s v="Instagram"/>
    <n v="856.18"/>
  </r>
  <r>
    <s v="ORD200921"/>
    <d v="2023-07-24T00:00:00"/>
    <s v="C90573"/>
    <s v="Tablet"/>
    <n v="1"/>
    <n v="438.93"/>
    <s v="144 Main St"/>
    <s v="Gift Card"/>
    <x v="1"/>
    <s v="TRK90075720"/>
    <n v="3"/>
    <s v="SAVE10"/>
    <s v="Referral"/>
    <n v="438.93"/>
  </r>
  <r>
    <s v="ORD200922"/>
    <d v="2024-06-17T00:00:00"/>
    <s v="C81857"/>
    <s v="Desk"/>
    <n v="2"/>
    <n v="563.82000000000005"/>
    <s v="487 Main St"/>
    <s v="Credit Card"/>
    <x v="4"/>
    <s v="TRK79737732"/>
    <n v="3"/>
    <s v="No Coupon"/>
    <s v="Instagram"/>
    <n v="1127.6400000000001"/>
  </r>
  <r>
    <s v="ORD200923"/>
    <d v="2023-02-11T00:00:00"/>
    <s v="C91582"/>
    <s v="Printer"/>
    <n v="3"/>
    <n v="649.92999999999995"/>
    <s v="836 Main St"/>
    <s v="Credit Card"/>
    <x v="4"/>
    <s v="TRK99938245"/>
    <n v="7"/>
    <s v="WINTER15"/>
    <s v="Facebook"/>
    <n v="1949.79"/>
  </r>
  <r>
    <s v="ORD200924"/>
    <d v="2025-03-22T00:00:00"/>
    <s v="C81319"/>
    <s v="Printer"/>
    <n v="5"/>
    <n v="268.43"/>
    <s v="991 Main St"/>
    <s v="Cash"/>
    <x v="2"/>
    <s v="TRK55330558"/>
    <n v="5"/>
    <s v="SAVE10"/>
    <s v="Email"/>
    <n v="1342.15"/>
  </r>
  <r>
    <s v="ORD200925"/>
    <d v="2024-12-20T00:00:00"/>
    <s v="C78500"/>
    <s v="Monitor"/>
    <n v="5"/>
    <n v="502.47"/>
    <s v="304 Main St"/>
    <s v="Online"/>
    <x v="0"/>
    <s v="TRK97460884"/>
    <n v="10"/>
    <s v="WINTER15"/>
    <s v="Email"/>
    <n v="2512.3500000000004"/>
  </r>
  <r>
    <s v="ORD200926"/>
    <d v="2024-03-20T00:00:00"/>
    <s v="C67533"/>
    <s v="Desk"/>
    <n v="1"/>
    <n v="26.95"/>
    <s v="672 Main St"/>
    <s v="Cash"/>
    <x v="3"/>
    <s v="TRK14566395"/>
    <n v="1"/>
    <s v="WINTER15"/>
    <s v="Email"/>
    <n v="26.95"/>
  </r>
  <r>
    <s v="ORD200927"/>
    <d v="2023-02-14T00:00:00"/>
    <s v="C35566"/>
    <s v="Laptop"/>
    <n v="4"/>
    <n v="64.69"/>
    <s v="638 Main St"/>
    <s v="Debit Card"/>
    <x v="0"/>
    <s v="TRK10003020"/>
    <n v="7"/>
    <s v="WINTER15"/>
    <s v="Google"/>
    <n v="258.76"/>
  </r>
  <r>
    <s v="ORD200928"/>
    <d v="2024-05-09T00:00:00"/>
    <s v="C77166"/>
    <s v="Laptop"/>
    <n v="3"/>
    <n v="247.11"/>
    <s v="821 Main St"/>
    <s v="Debit Card"/>
    <x v="2"/>
    <s v="TRK18896595"/>
    <n v="3"/>
    <s v="WINTER15"/>
    <s v="Referral"/>
    <n v="741.33"/>
  </r>
  <r>
    <s v="ORD200929"/>
    <d v="2024-10-16T00:00:00"/>
    <s v="C67936"/>
    <s v="Tablet"/>
    <n v="2"/>
    <n v="536.25"/>
    <s v="553 Main St"/>
    <s v="Debit Card"/>
    <x v="4"/>
    <s v="TRK71803414"/>
    <n v="3"/>
    <s v="No Coupon"/>
    <s v="Email"/>
    <n v="1072.5"/>
  </r>
  <r>
    <s v="ORD200930"/>
    <d v="2024-12-16T00:00:00"/>
    <s v="C59554"/>
    <s v="Phone"/>
    <n v="2"/>
    <n v="456.04"/>
    <s v="382 Main St"/>
    <s v="Debit Card"/>
    <x v="2"/>
    <s v="TRK28182447"/>
    <n v="4"/>
    <s v="FREESHIP"/>
    <s v="Email"/>
    <n v="912.08"/>
  </r>
  <r>
    <s v="ORD200931"/>
    <d v="2024-01-01T00:00:00"/>
    <s v="C14005"/>
    <s v="Printer"/>
    <n v="2"/>
    <n v="40.229999999999997"/>
    <s v="623 Main St"/>
    <s v="Credit Card"/>
    <x v="1"/>
    <s v="TRK87567926"/>
    <n v="4"/>
    <s v="SAVE10"/>
    <s v="Google"/>
    <n v="80.459999999999994"/>
  </r>
  <r>
    <s v="ORD200932"/>
    <d v="2023-03-26T00:00:00"/>
    <s v="C26118"/>
    <s v="Laptop"/>
    <n v="2"/>
    <n v="72.39"/>
    <s v="168 Main St"/>
    <s v="Online"/>
    <x v="3"/>
    <s v="TRK15334251"/>
    <n v="7"/>
    <s v="WINTER15"/>
    <s v="Instagram"/>
    <n v="144.78"/>
  </r>
  <r>
    <s v="ORD200933"/>
    <d v="2023-01-26T00:00:00"/>
    <s v="C59685"/>
    <s v="Monitor"/>
    <n v="2"/>
    <n v="394.16"/>
    <s v="255 Main St"/>
    <s v="Online"/>
    <x v="0"/>
    <s v="TRK43718093"/>
    <n v="2"/>
    <s v="No Coupon"/>
    <s v="Referral"/>
    <n v="788.32"/>
  </r>
  <r>
    <s v="ORD200934"/>
    <d v="2025-06-01T00:00:00"/>
    <s v="C40304"/>
    <s v="Laptop"/>
    <n v="4"/>
    <n v="119.84"/>
    <s v="692 Main St"/>
    <s v="Gift Card"/>
    <x v="0"/>
    <s v="TRK85790948"/>
    <n v="8"/>
    <s v="FREESHIP"/>
    <s v="Referral"/>
    <n v="479.36"/>
  </r>
  <r>
    <s v="ORD200935"/>
    <d v="2023-11-24T00:00:00"/>
    <s v="C39593"/>
    <s v="Phone"/>
    <n v="3"/>
    <n v="692.71"/>
    <s v="398 Main St"/>
    <s v="Credit Card"/>
    <x v="3"/>
    <s v="TRK62405253"/>
    <n v="3"/>
    <s v="FREESHIP"/>
    <s v="Instagram"/>
    <n v="2078.13"/>
  </r>
  <r>
    <s v="ORD200936"/>
    <d v="2024-01-12T00:00:00"/>
    <s v="C50612"/>
    <s v="Chair"/>
    <n v="4"/>
    <n v="56.66"/>
    <s v="737 Main St"/>
    <s v="Online"/>
    <x v="3"/>
    <s v="TRK44140968"/>
    <n v="4"/>
    <s v="SAVE10"/>
    <s v="Instagram"/>
    <n v="226.64"/>
  </r>
  <r>
    <s v="ORD200937"/>
    <d v="2024-01-16T00:00:00"/>
    <s v="C39791"/>
    <s v="Chair"/>
    <n v="2"/>
    <n v="298.52999999999997"/>
    <s v="536 Main St"/>
    <s v="Debit Card"/>
    <x v="1"/>
    <s v="TRK46221436"/>
    <n v="5"/>
    <s v="WINTER15"/>
    <s v="Email"/>
    <n v="597.05999999999995"/>
  </r>
  <r>
    <s v="ORD200938"/>
    <d v="2023-07-12T00:00:00"/>
    <s v="C39017"/>
    <s v="Chair"/>
    <n v="3"/>
    <n v="331.46"/>
    <s v="696 Main St"/>
    <s v="Credit Card"/>
    <x v="1"/>
    <s v="TRK91155214"/>
    <n v="6"/>
    <s v="WINTER15"/>
    <s v="Referral"/>
    <n v="994.37999999999988"/>
  </r>
  <r>
    <s v="ORD200939"/>
    <d v="2025-04-16T00:00:00"/>
    <s v="C48510"/>
    <s v="Laptop"/>
    <n v="2"/>
    <n v="521.4"/>
    <s v="212 Main St"/>
    <s v="Cash"/>
    <x v="3"/>
    <s v="TRK53152886"/>
    <n v="7"/>
    <s v="SAVE10"/>
    <s v="Instagram"/>
    <n v="1042.8"/>
  </r>
  <r>
    <s v="ORD200940"/>
    <d v="2023-03-27T00:00:00"/>
    <s v="C74003"/>
    <s v="Printer"/>
    <n v="4"/>
    <n v="305.32"/>
    <s v="679 Main St"/>
    <s v="Online"/>
    <x v="1"/>
    <s v="TRK91525779"/>
    <n v="4"/>
    <s v="SAVE10"/>
    <s v="Google"/>
    <n v="1221.28"/>
  </r>
  <r>
    <s v="ORD200941"/>
    <d v="2023-07-17T00:00:00"/>
    <s v="C91155"/>
    <s v="Printer"/>
    <n v="5"/>
    <n v="111.7"/>
    <s v="599 Main St"/>
    <s v="Credit Card"/>
    <x v="1"/>
    <s v="TRK82162952"/>
    <n v="9"/>
    <s v="FREESHIP"/>
    <s v="Email"/>
    <n v="558.5"/>
  </r>
  <r>
    <s v="ORD200942"/>
    <d v="2023-09-29T00:00:00"/>
    <s v="C17591"/>
    <s v="Tablet"/>
    <n v="1"/>
    <n v="479.76"/>
    <s v="882 Main St"/>
    <s v="Credit Card"/>
    <x v="4"/>
    <s v="TRK56070470"/>
    <n v="1"/>
    <s v="No Coupon"/>
    <s v="Email"/>
    <n v="479.76"/>
  </r>
  <r>
    <s v="ORD200943"/>
    <d v="2023-12-27T00:00:00"/>
    <s v="C43330"/>
    <s v="Monitor"/>
    <n v="3"/>
    <n v="193.49"/>
    <s v="355 Main St"/>
    <s v="Gift Card"/>
    <x v="2"/>
    <s v="TRK71594838"/>
    <n v="6"/>
    <s v="FREESHIP"/>
    <s v="Facebook"/>
    <n v="580.47"/>
  </r>
  <r>
    <s v="ORD200944"/>
    <d v="2024-12-16T00:00:00"/>
    <s v="C32687"/>
    <s v="Laptop"/>
    <n v="2"/>
    <n v="426.22"/>
    <s v="448 Main St"/>
    <s v="Online"/>
    <x v="3"/>
    <s v="TRK98284560"/>
    <n v="7"/>
    <s v="WINTER15"/>
    <s v="Google"/>
    <n v="852.44"/>
  </r>
  <r>
    <s v="ORD200945"/>
    <d v="2023-08-20T00:00:00"/>
    <s v="C79722"/>
    <s v="Tablet"/>
    <n v="5"/>
    <n v="276.44"/>
    <s v="619 Main St"/>
    <s v="Gift Card"/>
    <x v="0"/>
    <s v="TRK29976438"/>
    <n v="10"/>
    <s v="FREESHIP"/>
    <s v="Referral"/>
    <n v="1382.2"/>
  </r>
  <r>
    <s v="ORD200946"/>
    <d v="2024-05-04T00:00:00"/>
    <s v="C65021"/>
    <s v="Phone"/>
    <n v="2"/>
    <n v="404.96"/>
    <s v="546 Main St"/>
    <s v="Cash"/>
    <x v="0"/>
    <s v="TRK20626179"/>
    <n v="4"/>
    <s v="SAVE10"/>
    <s v="Email"/>
    <n v="809.92"/>
  </r>
  <r>
    <s v="ORD200947"/>
    <d v="2023-09-07T00:00:00"/>
    <s v="C85520"/>
    <s v="Phone"/>
    <n v="4"/>
    <n v="465.66"/>
    <s v="119 Main St"/>
    <s v="Online"/>
    <x v="2"/>
    <s v="TRK65994177"/>
    <n v="9"/>
    <s v="FREESHIP"/>
    <s v="Email"/>
    <n v="1862.64"/>
  </r>
  <r>
    <s v="ORD200948"/>
    <d v="2024-06-21T00:00:00"/>
    <s v="C94569"/>
    <s v="Phone"/>
    <n v="2"/>
    <n v="594.07000000000005"/>
    <s v="739 Main St"/>
    <s v="Gift Card"/>
    <x v="1"/>
    <s v="TRK79269291"/>
    <n v="2"/>
    <s v="No Coupon"/>
    <s v="Google"/>
    <n v="1188.1400000000001"/>
  </r>
  <r>
    <s v="ORD200949"/>
    <d v="2023-11-09T00:00:00"/>
    <s v="C55778"/>
    <s v="Desk"/>
    <n v="5"/>
    <n v="110.38"/>
    <s v="319 Main St"/>
    <s v="Cash"/>
    <x v="4"/>
    <s v="TRK93797108"/>
    <n v="10"/>
    <s v="No Coupon"/>
    <s v="Referral"/>
    <n v="551.9"/>
  </r>
  <r>
    <s v="ORD200950"/>
    <d v="2024-05-31T00:00:00"/>
    <s v="C19722"/>
    <s v="Laptop"/>
    <n v="1"/>
    <n v="596.24"/>
    <s v="891 Main St"/>
    <s v="Credit Card"/>
    <x v="2"/>
    <s v="TRK78094361"/>
    <n v="4"/>
    <s v="FREESHIP"/>
    <s v="Instagram"/>
    <n v="596.24"/>
  </r>
  <r>
    <s v="ORD200951"/>
    <d v="2024-07-22T00:00:00"/>
    <s v="C74928"/>
    <s v="Printer"/>
    <n v="2"/>
    <n v="306.24"/>
    <s v="589 Main St"/>
    <s v="Online"/>
    <x v="2"/>
    <s v="TRK39845914"/>
    <n v="4"/>
    <s v="FREESHIP"/>
    <s v="Email"/>
    <n v="612.48"/>
  </r>
  <r>
    <s v="ORD200952"/>
    <d v="2025-02-27T00:00:00"/>
    <s v="C49111"/>
    <s v="Monitor"/>
    <n v="3"/>
    <n v="503.39"/>
    <s v="225 Main St"/>
    <s v="Online"/>
    <x v="4"/>
    <s v="TRK45303393"/>
    <n v="5"/>
    <s v="No Coupon"/>
    <s v="Facebook"/>
    <n v="1510.17"/>
  </r>
  <r>
    <s v="ORD200953"/>
    <d v="2023-02-06T00:00:00"/>
    <s v="C43721"/>
    <s v="Phone"/>
    <n v="1"/>
    <n v="131.61000000000001"/>
    <s v="971 Main St"/>
    <s v="Cash"/>
    <x v="0"/>
    <s v="TRK89392104"/>
    <n v="2"/>
    <s v="FREESHIP"/>
    <s v="Facebook"/>
    <n v="131.61000000000001"/>
  </r>
  <r>
    <s v="ORD200954"/>
    <d v="2024-10-22T00:00:00"/>
    <s v="C68609"/>
    <s v="Chair"/>
    <n v="3"/>
    <n v="443.44"/>
    <s v="240 Main St"/>
    <s v="Gift Card"/>
    <x v="0"/>
    <s v="TRK58273778"/>
    <n v="3"/>
    <s v="FREESHIP"/>
    <s v="Google"/>
    <n v="1330.32"/>
  </r>
  <r>
    <s v="ORD200955"/>
    <d v="2023-01-23T00:00:00"/>
    <s v="C82068"/>
    <s v="Chair"/>
    <n v="1"/>
    <n v="408.13"/>
    <s v="164 Main St"/>
    <s v="Gift Card"/>
    <x v="0"/>
    <s v="TRK25779180"/>
    <n v="3"/>
    <s v="WINTER15"/>
    <s v="Instagram"/>
    <n v="408.13"/>
  </r>
  <r>
    <s v="ORD200956"/>
    <d v="2024-04-11T00:00:00"/>
    <s v="C21191"/>
    <s v="Phone"/>
    <n v="2"/>
    <n v="160.97999999999999"/>
    <s v="381 Main St"/>
    <s v="Debit Card"/>
    <x v="3"/>
    <s v="TRK86246309"/>
    <n v="3"/>
    <s v="SAVE10"/>
    <s v="Referral"/>
    <n v="321.95999999999998"/>
  </r>
  <r>
    <s v="ORD200957"/>
    <d v="2023-01-12T00:00:00"/>
    <s v="C73575"/>
    <s v="Monitor"/>
    <n v="5"/>
    <n v="643.89"/>
    <s v="851 Main St"/>
    <s v="Cash"/>
    <x v="2"/>
    <s v="TRK23387612"/>
    <n v="8"/>
    <s v="WINTER15"/>
    <s v="Facebook"/>
    <n v="3219.45"/>
  </r>
  <r>
    <s v="ORD200958"/>
    <d v="2023-05-13T00:00:00"/>
    <s v="C82685"/>
    <s v="Desk"/>
    <n v="3"/>
    <n v="158.66"/>
    <s v="537 Main St"/>
    <s v="Gift Card"/>
    <x v="3"/>
    <s v="TRK70184320"/>
    <n v="7"/>
    <s v="WINTER15"/>
    <s v="Email"/>
    <n v="475.98"/>
  </r>
  <r>
    <s v="ORD200959"/>
    <d v="2024-04-13T00:00:00"/>
    <s v="C73996"/>
    <s v="Tablet"/>
    <n v="2"/>
    <n v="143.82"/>
    <s v="856 Main St"/>
    <s v="Credit Card"/>
    <x v="2"/>
    <s v="TRK74579570"/>
    <n v="6"/>
    <s v="SAVE10"/>
    <s v="Instagram"/>
    <n v="287.64"/>
  </r>
  <r>
    <s v="ORD200960"/>
    <d v="2023-12-11T00:00:00"/>
    <s v="C87687"/>
    <s v="Laptop"/>
    <n v="3"/>
    <n v="379.07"/>
    <s v="312 Main St"/>
    <s v="Gift Card"/>
    <x v="4"/>
    <s v="TRK60383805"/>
    <n v="3"/>
    <s v="WINTER15"/>
    <s v="Google"/>
    <n v="1137.21"/>
  </r>
  <r>
    <s v="ORD200961"/>
    <d v="2024-11-11T00:00:00"/>
    <s v="C55464"/>
    <s v="Phone"/>
    <n v="1"/>
    <n v="601.36"/>
    <s v="532 Main St"/>
    <s v="Online"/>
    <x v="0"/>
    <s v="TRK81178598"/>
    <n v="1"/>
    <s v="No Coupon"/>
    <s v="Facebook"/>
    <n v="601.36"/>
  </r>
  <r>
    <s v="ORD200962"/>
    <d v="2024-09-06T00:00:00"/>
    <s v="C12459"/>
    <s v="Phone"/>
    <n v="2"/>
    <n v="142.08000000000001"/>
    <s v="838 Main St"/>
    <s v="Gift Card"/>
    <x v="3"/>
    <s v="TRK30674085"/>
    <n v="4"/>
    <s v="SAVE10"/>
    <s v="Referral"/>
    <n v="284.16000000000003"/>
  </r>
  <r>
    <s v="ORD200963"/>
    <d v="2024-03-11T00:00:00"/>
    <s v="C88075"/>
    <s v="Chair"/>
    <n v="5"/>
    <n v="530.34"/>
    <s v="970 Main St"/>
    <s v="Online"/>
    <x v="0"/>
    <s v="TRK42832976"/>
    <n v="9"/>
    <s v="FREESHIP"/>
    <s v="Google"/>
    <n v="2651.7000000000003"/>
  </r>
  <r>
    <s v="ORD200964"/>
    <d v="2023-08-20T00:00:00"/>
    <s v="C18583"/>
    <s v="Phone"/>
    <n v="5"/>
    <n v="364.42"/>
    <s v="778 Main St"/>
    <s v="Credit Card"/>
    <x v="1"/>
    <s v="TRK43084595"/>
    <n v="10"/>
    <s v="SAVE10"/>
    <s v="Referral"/>
    <n v="1822.1000000000001"/>
  </r>
  <r>
    <s v="ORD200965"/>
    <d v="2025-06-18T00:00:00"/>
    <s v="C70412"/>
    <s v="Laptop"/>
    <n v="4"/>
    <n v="578.28"/>
    <s v="791 Main St"/>
    <s v="Gift Card"/>
    <x v="1"/>
    <s v="TRK22192783"/>
    <n v="5"/>
    <s v="FREESHIP"/>
    <s v="Email"/>
    <n v="2313.12"/>
  </r>
  <r>
    <s v="ORD200966"/>
    <d v="2025-05-20T00:00:00"/>
    <s v="C58503"/>
    <s v="Monitor"/>
    <n v="5"/>
    <n v="280.52"/>
    <s v="290 Main St"/>
    <s v="Credit Card"/>
    <x v="1"/>
    <s v="TRK12981657"/>
    <n v="7"/>
    <s v="WINTER15"/>
    <s v="Facebook"/>
    <n v="1402.6"/>
  </r>
  <r>
    <s v="ORD200967"/>
    <d v="2025-05-06T00:00:00"/>
    <s v="C52879"/>
    <s v="Tablet"/>
    <n v="5"/>
    <n v="638.91999999999996"/>
    <s v="502 Main St"/>
    <s v="Credit Card"/>
    <x v="2"/>
    <s v="TRK67403284"/>
    <n v="5"/>
    <s v="FREESHIP"/>
    <s v="Google"/>
    <n v="3194.6"/>
  </r>
  <r>
    <s v="ORD200968"/>
    <d v="2024-02-08T00:00:00"/>
    <s v="C67870"/>
    <s v="Monitor"/>
    <n v="4"/>
    <n v="412.2"/>
    <s v="664 Main St"/>
    <s v="Credit Card"/>
    <x v="0"/>
    <s v="TRK72602178"/>
    <n v="6"/>
    <s v="WINTER15"/>
    <s v="Referral"/>
    <n v="1648.8"/>
  </r>
  <r>
    <s v="ORD200969"/>
    <d v="2025-06-05T00:00:00"/>
    <s v="C19439"/>
    <s v="Desk"/>
    <n v="1"/>
    <n v="440.34"/>
    <s v="675 Main St"/>
    <s v="Gift Card"/>
    <x v="0"/>
    <s v="TRK25383993"/>
    <n v="2"/>
    <s v="WINTER15"/>
    <s v="Facebook"/>
    <n v="440.34"/>
  </r>
  <r>
    <s v="ORD200970"/>
    <d v="2024-09-07T00:00:00"/>
    <s v="C72664"/>
    <s v="Desk"/>
    <n v="1"/>
    <n v="627.15"/>
    <s v="241 Main St"/>
    <s v="Cash"/>
    <x v="3"/>
    <s v="TRK86694331"/>
    <n v="5"/>
    <s v="SAVE10"/>
    <s v="Instagram"/>
    <n v="627.15"/>
  </r>
  <r>
    <s v="ORD200971"/>
    <d v="2024-05-27T00:00:00"/>
    <s v="C32650"/>
    <s v="Monitor"/>
    <n v="2"/>
    <n v="605.26"/>
    <s v="934 Main St"/>
    <s v="Cash"/>
    <x v="1"/>
    <s v="TRK66648743"/>
    <n v="4"/>
    <s v="WINTER15"/>
    <s v="Referral"/>
    <n v="1210.52"/>
  </r>
  <r>
    <s v="ORD200972"/>
    <d v="2024-06-09T00:00:00"/>
    <s v="C66438"/>
    <s v="Laptop"/>
    <n v="1"/>
    <n v="90.27"/>
    <s v="816 Main St"/>
    <s v="Cash"/>
    <x v="3"/>
    <s v="TRK32035271"/>
    <n v="5"/>
    <s v="SAVE10"/>
    <s v="Facebook"/>
    <n v="90.27"/>
  </r>
  <r>
    <s v="ORD200973"/>
    <d v="2025-06-09T00:00:00"/>
    <s v="C70010"/>
    <s v="Desk"/>
    <n v="5"/>
    <n v="230.77"/>
    <s v="141 Main St"/>
    <s v="Online"/>
    <x v="4"/>
    <s v="TRK50594008"/>
    <n v="10"/>
    <s v="WINTER15"/>
    <s v="Referral"/>
    <n v="1153.8500000000001"/>
  </r>
  <r>
    <s v="ORD200974"/>
    <d v="2023-09-27T00:00:00"/>
    <s v="C30722"/>
    <s v="Desk"/>
    <n v="5"/>
    <n v="266.77999999999997"/>
    <s v="274 Main St"/>
    <s v="Gift Card"/>
    <x v="1"/>
    <s v="TRK52088168"/>
    <n v="5"/>
    <s v="No Coupon"/>
    <s v="Email"/>
    <n v="1333.8999999999999"/>
  </r>
  <r>
    <s v="ORD200975"/>
    <d v="2023-05-18T00:00:00"/>
    <s v="C70529"/>
    <s v="Desk"/>
    <n v="1"/>
    <n v="105.92"/>
    <s v="974 Main St"/>
    <s v="Gift Card"/>
    <x v="2"/>
    <s v="TRK82165408"/>
    <n v="6"/>
    <s v="SAVE10"/>
    <s v="Email"/>
    <n v="105.92"/>
  </r>
  <r>
    <s v="ORD200976"/>
    <d v="2024-04-04T00:00:00"/>
    <s v="C18984"/>
    <s v="Tablet"/>
    <n v="3"/>
    <n v="589.29999999999995"/>
    <s v="650 Main St"/>
    <s v="Credit Card"/>
    <x v="2"/>
    <s v="TRK49298239"/>
    <n v="6"/>
    <s v="WINTER15"/>
    <s v="Referral"/>
    <n v="1767.8999999999999"/>
  </r>
  <r>
    <s v="ORD200977"/>
    <d v="2023-01-28T00:00:00"/>
    <s v="C85841"/>
    <s v="Chair"/>
    <n v="4"/>
    <n v="649.47"/>
    <s v="608 Main St"/>
    <s v="Cash"/>
    <x v="4"/>
    <s v="TRK99820544"/>
    <n v="8"/>
    <s v="SAVE10"/>
    <s v="Google"/>
    <n v="2597.88"/>
  </r>
  <r>
    <s v="ORD200978"/>
    <d v="2024-06-25T00:00:00"/>
    <s v="C41508"/>
    <s v="Printer"/>
    <n v="4"/>
    <n v="107.49"/>
    <s v="993 Main St"/>
    <s v="Cash"/>
    <x v="3"/>
    <s v="TRK61047536"/>
    <n v="5"/>
    <s v="No Coupon"/>
    <s v="Google"/>
    <n v="429.96"/>
  </r>
  <r>
    <s v="ORD200979"/>
    <d v="2023-05-31T00:00:00"/>
    <s v="C75018"/>
    <s v="Monitor"/>
    <n v="3"/>
    <n v="669.06"/>
    <s v="299 Main St"/>
    <s v="Cash"/>
    <x v="3"/>
    <s v="TRK51794806"/>
    <n v="7"/>
    <s v="SAVE10"/>
    <s v="Facebook"/>
    <n v="2007.1799999999998"/>
  </r>
  <r>
    <s v="ORD200980"/>
    <d v="2023-10-14T00:00:00"/>
    <s v="C84320"/>
    <s v="Chair"/>
    <n v="3"/>
    <n v="69.650000000000006"/>
    <s v="107 Main St"/>
    <s v="Cash"/>
    <x v="3"/>
    <s v="TRK81093218"/>
    <n v="7"/>
    <s v="WINTER15"/>
    <s v="Instagram"/>
    <n v="208.95000000000002"/>
  </r>
  <r>
    <s v="ORD200981"/>
    <d v="2023-11-26T00:00:00"/>
    <s v="C12609"/>
    <s v="Phone"/>
    <n v="4"/>
    <n v="136.83000000000001"/>
    <s v="490 Main St"/>
    <s v="Debit Card"/>
    <x v="4"/>
    <s v="TRK56379337"/>
    <n v="8"/>
    <s v="SAVE10"/>
    <s v="Email"/>
    <n v="547.32000000000005"/>
  </r>
  <r>
    <s v="ORD200982"/>
    <d v="2024-09-06T00:00:00"/>
    <s v="C64935"/>
    <s v="Monitor"/>
    <n v="1"/>
    <n v="304.11"/>
    <s v="707 Main St"/>
    <s v="Gift Card"/>
    <x v="0"/>
    <s v="TRK42969065"/>
    <n v="2"/>
    <s v="SAVE10"/>
    <s v="Referral"/>
    <n v="304.11"/>
  </r>
  <r>
    <s v="ORD200983"/>
    <d v="2024-11-24T00:00:00"/>
    <s v="C67528"/>
    <s v="Monitor"/>
    <n v="4"/>
    <n v="296.27999999999997"/>
    <s v="110 Main St"/>
    <s v="Gift Card"/>
    <x v="0"/>
    <s v="TRK60865210"/>
    <n v="5"/>
    <s v="SAVE10"/>
    <s v="Email"/>
    <n v="1185.1199999999999"/>
  </r>
  <r>
    <s v="ORD200984"/>
    <d v="2025-02-28T00:00:00"/>
    <s v="C44176"/>
    <s v="Desk"/>
    <n v="1"/>
    <n v="77.64"/>
    <s v="706 Main St"/>
    <s v="Credit Card"/>
    <x v="0"/>
    <s v="TRK68704764"/>
    <n v="1"/>
    <s v="FREESHIP"/>
    <s v="Facebook"/>
    <n v="77.64"/>
  </r>
  <r>
    <s v="ORD200985"/>
    <d v="2024-07-20T00:00:00"/>
    <s v="C92788"/>
    <s v="Desk"/>
    <n v="1"/>
    <n v="243.71"/>
    <s v="948 Main St"/>
    <s v="Gift Card"/>
    <x v="3"/>
    <s v="TRK83835361"/>
    <n v="6"/>
    <s v="SAVE10"/>
    <s v="Google"/>
    <n v="243.71"/>
  </r>
  <r>
    <s v="ORD200986"/>
    <d v="2024-09-07T00:00:00"/>
    <s v="C69213"/>
    <s v="Laptop"/>
    <n v="4"/>
    <n v="644.96"/>
    <s v="533 Main St"/>
    <s v="Credit Card"/>
    <x v="4"/>
    <s v="TRK67837331"/>
    <n v="7"/>
    <s v="FREESHIP"/>
    <s v="Email"/>
    <n v="2579.84"/>
  </r>
  <r>
    <s v="ORD200987"/>
    <d v="2025-06-05T00:00:00"/>
    <s v="C67387"/>
    <s v="Phone"/>
    <n v="5"/>
    <n v="283.73"/>
    <s v="436 Main St"/>
    <s v="Gift Card"/>
    <x v="4"/>
    <s v="TRK54120003"/>
    <n v="8"/>
    <s v="FREESHIP"/>
    <s v="Instagram"/>
    <n v="1418.65"/>
  </r>
  <r>
    <s v="ORD200988"/>
    <d v="2025-02-04T00:00:00"/>
    <s v="C90318"/>
    <s v="Desk"/>
    <n v="2"/>
    <n v="629.55999999999995"/>
    <s v="818 Main St"/>
    <s v="Gift Card"/>
    <x v="1"/>
    <s v="TRK52765043"/>
    <n v="5"/>
    <s v="WINTER15"/>
    <s v="Instagram"/>
    <n v="1259.1199999999999"/>
  </r>
  <r>
    <s v="ORD200989"/>
    <d v="2023-03-23T00:00:00"/>
    <s v="C49995"/>
    <s v="Laptop"/>
    <n v="4"/>
    <n v="246.11"/>
    <s v="559 Main St"/>
    <s v="Credit Card"/>
    <x v="4"/>
    <s v="TRK33212013"/>
    <n v="4"/>
    <s v="SAVE10"/>
    <s v="Instagram"/>
    <n v="984.44"/>
  </r>
  <r>
    <s v="ORD200990"/>
    <d v="2023-11-19T00:00:00"/>
    <s v="C52313"/>
    <s v="Phone"/>
    <n v="2"/>
    <n v="418.26"/>
    <s v="913 Main St"/>
    <s v="Debit Card"/>
    <x v="4"/>
    <s v="TRK67368559"/>
    <n v="2"/>
    <s v="SAVE10"/>
    <s v="Google"/>
    <n v="836.52"/>
  </r>
  <r>
    <s v="ORD200991"/>
    <d v="2024-05-09T00:00:00"/>
    <s v="C10211"/>
    <s v="Desk"/>
    <n v="5"/>
    <n v="127.18"/>
    <s v="598 Main St"/>
    <s v="Debit Card"/>
    <x v="1"/>
    <s v="TRK68938335"/>
    <n v="10"/>
    <s v="FREESHIP"/>
    <s v="Google"/>
    <n v="635.90000000000009"/>
  </r>
  <r>
    <s v="ORD200992"/>
    <d v="2024-08-27T00:00:00"/>
    <s v="C97907"/>
    <s v="Printer"/>
    <n v="3"/>
    <n v="586.21"/>
    <s v="933 Main St"/>
    <s v="Gift Card"/>
    <x v="4"/>
    <s v="TRK89637569"/>
    <n v="4"/>
    <s v="WINTER15"/>
    <s v="Referral"/>
    <n v="1758.63"/>
  </r>
  <r>
    <s v="ORD200993"/>
    <d v="2024-04-06T00:00:00"/>
    <s v="C61384"/>
    <s v="Monitor"/>
    <n v="3"/>
    <n v="267.45"/>
    <s v="576 Main St"/>
    <s v="Gift Card"/>
    <x v="3"/>
    <s v="TRK33323210"/>
    <n v="5"/>
    <s v="WINTER15"/>
    <s v="Instagram"/>
    <n v="802.34999999999991"/>
  </r>
  <r>
    <s v="ORD200994"/>
    <d v="2024-06-27T00:00:00"/>
    <s v="C27613"/>
    <s v="Tablet"/>
    <n v="4"/>
    <n v="615.65"/>
    <s v="971 Main St"/>
    <s v="Debit Card"/>
    <x v="3"/>
    <s v="TRK63701318"/>
    <n v="9"/>
    <s v="WINTER15"/>
    <s v="Google"/>
    <n v="2462.6"/>
  </r>
  <r>
    <s v="ORD200995"/>
    <d v="2023-11-18T00:00:00"/>
    <s v="C99271"/>
    <s v="Monitor"/>
    <n v="2"/>
    <n v="113.29"/>
    <s v="959 Main St"/>
    <s v="Cash"/>
    <x v="4"/>
    <s v="TRK87832736"/>
    <n v="5"/>
    <s v="SAVE10"/>
    <s v="Facebook"/>
    <n v="226.58"/>
  </r>
  <r>
    <s v="ORD200996"/>
    <d v="2024-04-28T00:00:00"/>
    <s v="C28648"/>
    <s v="Monitor"/>
    <n v="4"/>
    <n v="473.86"/>
    <s v="101 Main St"/>
    <s v="Debit Card"/>
    <x v="3"/>
    <s v="TRK92240846"/>
    <n v="7"/>
    <s v="SAVE10"/>
    <s v="Facebook"/>
    <n v="1895.44"/>
  </r>
  <r>
    <s v="ORD200997"/>
    <d v="2023-11-27T00:00:00"/>
    <s v="C26210"/>
    <s v="Laptop"/>
    <n v="3"/>
    <n v="444.75"/>
    <s v="805 Main St"/>
    <s v="Cash"/>
    <x v="3"/>
    <s v="TRK40616861"/>
    <n v="6"/>
    <s v="SAVE10"/>
    <s v="Facebook"/>
    <n v="1334.25"/>
  </r>
  <r>
    <s v="ORD200998"/>
    <d v="2023-05-19T00:00:00"/>
    <s v="C90350"/>
    <s v="Phone"/>
    <n v="2"/>
    <n v="183.67"/>
    <s v="783 Main St"/>
    <s v="Debit Card"/>
    <x v="1"/>
    <s v="TRK22824230"/>
    <n v="6"/>
    <s v="SAVE10"/>
    <s v="Google"/>
    <n v="367.34"/>
  </r>
  <r>
    <s v="ORD200999"/>
    <d v="2023-12-24T00:00:00"/>
    <s v="C61957"/>
    <s v="Printer"/>
    <n v="1"/>
    <n v="483.38"/>
    <s v="652 Main St"/>
    <s v="Cash"/>
    <x v="4"/>
    <s v="TRK43983841"/>
    <n v="6"/>
    <s v="FREESHIP"/>
    <s v="Google"/>
    <n v="483.38"/>
  </r>
  <r>
    <s v="ORD201000"/>
    <d v="2023-06-21T00:00:00"/>
    <s v="C90132"/>
    <s v="Printer"/>
    <n v="5"/>
    <n v="260.93"/>
    <s v="582 Main St"/>
    <s v="Online"/>
    <x v="3"/>
    <s v="TRK52664903"/>
    <n v="9"/>
    <s v="SAVE10"/>
    <s v="Email"/>
    <n v="1304.6500000000001"/>
  </r>
  <r>
    <s v="ORD201001"/>
    <d v="2023-12-08T00:00:00"/>
    <s v="C31371"/>
    <s v="Printer"/>
    <n v="2"/>
    <n v="253.68"/>
    <s v="122 Main St"/>
    <s v="Gift Card"/>
    <x v="0"/>
    <s v="TRK19554327"/>
    <n v="6"/>
    <s v="No Coupon"/>
    <s v="Referral"/>
    <n v="507.36"/>
  </r>
  <r>
    <s v="ORD201002"/>
    <d v="2025-06-19T00:00:00"/>
    <s v="C83911"/>
    <s v="Tablet"/>
    <n v="4"/>
    <n v="699.88"/>
    <s v="944 Main St"/>
    <s v="Cash"/>
    <x v="4"/>
    <s v="TRK33188106"/>
    <n v="5"/>
    <s v="WINTER15"/>
    <s v="Referral"/>
    <n v="2799.52"/>
  </r>
  <r>
    <s v="ORD201003"/>
    <d v="2023-01-11T00:00:00"/>
    <s v="C84700"/>
    <s v="Printer"/>
    <n v="5"/>
    <n v="319.97000000000003"/>
    <s v="582 Main St"/>
    <s v="Cash"/>
    <x v="0"/>
    <s v="TRK14706969"/>
    <n v="7"/>
    <s v="SAVE10"/>
    <s v="Google"/>
    <n v="1599.8500000000001"/>
  </r>
  <r>
    <s v="ORD201004"/>
    <d v="2025-06-09T00:00:00"/>
    <s v="C87529"/>
    <s v="Chair"/>
    <n v="4"/>
    <n v="246.91"/>
    <s v="296 Main St"/>
    <s v="Online"/>
    <x v="4"/>
    <s v="TRK15739505"/>
    <n v="8"/>
    <s v="SAVE10"/>
    <s v="Referral"/>
    <n v="987.64"/>
  </r>
  <r>
    <s v="ORD201005"/>
    <d v="2023-03-02T00:00:00"/>
    <s v="C38065"/>
    <s v="Printer"/>
    <n v="3"/>
    <n v="392.85"/>
    <s v="426 Main St"/>
    <s v="Credit Card"/>
    <x v="2"/>
    <s v="TRK11448295"/>
    <n v="6"/>
    <s v="No Coupon"/>
    <s v="Google"/>
    <n v="1178.5500000000002"/>
  </r>
  <r>
    <s v="ORD201006"/>
    <d v="2024-05-27T00:00:00"/>
    <s v="C27435"/>
    <s v="Tablet"/>
    <n v="5"/>
    <n v="420.98"/>
    <s v="860 Main St"/>
    <s v="Cash"/>
    <x v="3"/>
    <s v="TRK91458233"/>
    <n v="7"/>
    <s v="SAVE10"/>
    <s v="Facebook"/>
    <n v="2104.9"/>
  </r>
  <r>
    <s v="ORD201007"/>
    <d v="2024-03-20T00:00:00"/>
    <s v="C46651"/>
    <s v="Monitor"/>
    <n v="2"/>
    <n v="73.260000000000005"/>
    <s v="839 Main St"/>
    <s v="Cash"/>
    <x v="4"/>
    <s v="TRK60444502"/>
    <n v="4"/>
    <s v="WINTER15"/>
    <s v="Facebook"/>
    <n v="146.52000000000001"/>
  </r>
  <r>
    <s v="ORD201008"/>
    <d v="2023-01-13T00:00:00"/>
    <s v="C62557"/>
    <s v="Monitor"/>
    <n v="3"/>
    <n v="410.88"/>
    <s v="257 Main St"/>
    <s v="Cash"/>
    <x v="3"/>
    <s v="TRK12742366"/>
    <n v="8"/>
    <s v="FREESHIP"/>
    <s v="Instagram"/>
    <n v="1232.6399999999999"/>
  </r>
  <r>
    <s v="ORD201009"/>
    <d v="2023-09-02T00:00:00"/>
    <s v="C54494"/>
    <s v="Tablet"/>
    <n v="2"/>
    <n v="176.46"/>
    <s v="696 Main St"/>
    <s v="Credit Card"/>
    <x v="3"/>
    <s v="TRK95958645"/>
    <n v="2"/>
    <s v="FREESHIP"/>
    <s v="Email"/>
    <n v="352.92"/>
  </r>
  <r>
    <s v="ORD201010"/>
    <d v="2023-03-31T00:00:00"/>
    <s v="C33729"/>
    <s v="Monitor"/>
    <n v="3"/>
    <n v="659.57"/>
    <s v="533 Main St"/>
    <s v="Credit Card"/>
    <x v="1"/>
    <s v="TRK35649833"/>
    <n v="6"/>
    <s v="SAVE10"/>
    <s v="Email"/>
    <n v="1978.71"/>
  </r>
  <r>
    <s v="ORD201011"/>
    <d v="2024-12-03T00:00:00"/>
    <s v="C47823"/>
    <s v="Phone"/>
    <n v="2"/>
    <n v="478.36"/>
    <s v="654 Main St"/>
    <s v="Online"/>
    <x v="0"/>
    <s v="TRK22271097"/>
    <n v="3"/>
    <s v="No Coupon"/>
    <s v="Google"/>
    <n v="956.72"/>
  </r>
  <r>
    <s v="ORD201012"/>
    <d v="2024-12-03T00:00:00"/>
    <s v="C84570"/>
    <s v="Printer"/>
    <n v="4"/>
    <n v="30.05"/>
    <s v="301 Main St"/>
    <s v="Online"/>
    <x v="2"/>
    <s v="TRK12551882"/>
    <n v="6"/>
    <s v="No Coupon"/>
    <s v="Facebook"/>
    <n v="120.2"/>
  </r>
  <r>
    <s v="ORD201013"/>
    <d v="2025-04-26T00:00:00"/>
    <s v="C91123"/>
    <s v="Laptop"/>
    <n v="4"/>
    <n v="300.56"/>
    <s v="842 Main St"/>
    <s v="Cash"/>
    <x v="1"/>
    <s v="TRK49568409"/>
    <n v="9"/>
    <s v="FREESHIP"/>
    <s v="Facebook"/>
    <n v="1202.24"/>
  </r>
  <r>
    <s v="ORD201014"/>
    <d v="2024-02-04T00:00:00"/>
    <s v="C92548"/>
    <s v="Tablet"/>
    <n v="5"/>
    <n v="226.45"/>
    <s v="160 Main St"/>
    <s v="Debit Card"/>
    <x v="2"/>
    <s v="TRK21682892"/>
    <n v="6"/>
    <s v="FREESHIP"/>
    <s v="Email"/>
    <n v="1132.25"/>
  </r>
  <r>
    <s v="ORD201015"/>
    <d v="2024-01-26T00:00:00"/>
    <s v="C97454"/>
    <s v="Printer"/>
    <n v="2"/>
    <n v="349.4"/>
    <s v="892 Main St"/>
    <s v="Online"/>
    <x v="0"/>
    <s v="TRK73249329"/>
    <n v="2"/>
    <s v="SAVE10"/>
    <s v="Instagram"/>
    <n v="698.8"/>
  </r>
  <r>
    <s v="ORD201016"/>
    <d v="2023-12-29T00:00:00"/>
    <s v="C20257"/>
    <s v="Tablet"/>
    <n v="5"/>
    <n v="268.77999999999997"/>
    <s v="669 Main St"/>
    <s v="Debit Card"/>
    <x v="3"/>
    <s v="TRK62135578"/>
    <n v="7"/>
    <s v="WINTER15"/>
    <s v="Email"/>
    <n v="1343.8999999999999"/>
  </r>
  <r>
    <s v="ORD201017"/>
    <d v="2024-08-25T00:00:00"/>
    <s v="C51694"/>
    <s v="Chair"/>
    <n v="2"/>
    <n v="680.85"/>
    <s v="953 Main St"/>
    <s v="Gift Card"/>
    <x v="3"/>
    <s v="TRK83122112"/>
    <n v="6"/>
    <s v="FREESHIP"/>
    <s v="Referral"/>
    <n v="1361.7"/>
  </r>
  <r>
    <s v="ORD201018"/>
    <d v="2023-07-08T00:00:00"/>
    <s v="C77499"/>
    <s v="Laptop"/>
    <n v="3"/>
    <n v="182.48"/>
    <s v="209 Main St"/>
    <s v="Cash"/>
    <x v="3"/>
    <s v="TRK20703086"/>
    <n v="3"/>
    <s v="No Coupon"/>
    <s v="Instagram"/>
    <n v="547.43999999999994"/>
  </r>
  <r>
    <s v="ORD201019"/>
    <d v="2024-04-06T00:00:00"/>
    <s v="C28386"/>
    <s v="Desk"/>
    <n v="1"/>
    <n v="277.08999999999997"/>
    <s v="293 Main St"/>
    <s v="Cash"/>
    <x v="2"/>
    <s v="TRK32954229"/>
    <n v="2"/>
    <s v="SAVE10"/>
    <s v="Referral"/>
    <n v="277.08999999999997"/>
  </r>
  <r>
    <s v="ORD201020"/>
    <d v="2024-04-22T00:00:00"/>
    <s v="C50211"/>
    <s v="Tablet"/>
    <n v="2"/>
    <n v="26.5"/>
    <s v="312 Main St"/>
    <s v="Online"/>
    <x v="3"/>
    <s v="TRK47787981"/>
    <n v="3"/>
    <s v="SAVE10"/>
    <s v="Instagram"/>
    <n v="53"/>
  </r>
  <r>
    <s v="ORD201021"/>
    <d v="2023-10-23T00:00:00"/>
    <s v="C74519"/>
    <s v="Phone"/>
    <n v="3"/>
    <n v="315.27"/>
    <s v="309 Main St"/>
    <s v="Credit Card"/>
    <x v="1"/>
    <s v="TRK97351945"/>
    <n v="4"/>
    <s v="SAVE10"/>
    <s v="Email"/>
    <n v="945.81"/>
  </r>
  <r>
    <s v="ORD201022"/>
    <d v="2025-02-24T00:00:00"/>
    <s v="C19071"/>
    <s v="Tablet"/>
    <n v="3"/>
    <n v="450.98"/>
    <s v="396 Main St"/>
    <s v="Credit Card"/>
    <x v="0"/>
    <s v="TRK66537096"/>
    <n v="8"/>
    <s v="SAVE10"/>
    <s v="Referral"/>
    <n v="1352.94"/>
  </r>
  <r>
    <s v="ORD201023"/>
    <d v="2024-09-23T00:00:00"/>
    <s v="C65251"/>
    <s v="Laptop"/>
    <n v="5"/>
    <n v="233.67"/>
    <s v="291 Main St"/>
    <s v="Cash"/>
    <x v="0"/>
    <s v="TRK32059025"/>
    <n v="10"/>
    <s v="No Coupon"/>
    <s v="Referral"/>
    <n v="1168.3499999999999"/>
  </r>
  <r>
    <s v="ORD201024"/>
    <d v="2024-01-29T00:00:00"/>
    <s v="C90612"/>
    <s v="Chair"/>
    <n v="3"/>
    <n v="367.75"/>
    <s v="731 Main St"/>
    <s v="Cash"/>
    <x v="4"/>
    <s v="TRK93022878"/>
    <n v="7"/>
    <s v="FREESHIP"/>
    <s v="Facebook"/>
    <n v="1103.25"/>
  </r>
  <r>
    <s v="ORD201025"/>
    <d v="2025-05-17T00:00:00"/>
    <s v="C28406"/>
    <s v="Chair"/>
    <n v="1"/>
    <n v="23.53"/>
    <s v="174 Main St"/>
    <s v="Gift Card"/>
    <x v="3"/>
    <s v="TRK98841457"/>
    <n v="2"/>
    <s v="FREESHIP"/>
    <s v="Instagram"/>
    <n v="23.53"/>
  </r>
  <r>
    <s v="ORD201026"/>
    <d v="2023-05-01T00:00:00"/>
    <s v="C55454"/>
    <s v="Monitor"/>
    <n v="1"/>
    <n v="677.48"/>
    <s v="807 Main St"/>
    <s v="Online"/>
    <x v="3"/>
    <s v="TRK13281370"/>
    <n v="1"/>
    <s v="WINTER15"/>
    <s v="Facebook"/>
    <n v="677.48"/>
  </r>
  <r>
    <s v="ORD201027"/>
    <d v="2024-05-21T00:00:00"/>
    <s v="C93467"/>
    <s v="Laptop"/>
    <n v="4"/>
    <n v="554.83000000000004"/>
    <s v="983 Main St"/>
    <s v="Cash"/>
    <x v="2"/>
    <s v="TRK77377373"/>
    <n v="6"/>
    <s v="No Coupon"/>
    <s v="Google"/>
    <n v="2219.3200000000002"/>
  </r>
  <r>
    <s v="ORD201028"/>
    <d v="2023-02-17T00:00:00"/>
    <s v="C60042"/>
    <s v="Desk"/>
    <n v="4"/>
    <n v="440.31"/>
    <s v="610 Main St"/>
    <s v="Cash"/>
    <x v="1"/>
    <s v="TRK84651559"/>
    <n v="6"/>
    <s v="No Coupon"/>
    <s v="Instagram"/>
    <n v="1761.24"/>
  </r>
  <r>
    <s v="ORD201029"/>
    <d v="2025-03-01T00:00:00"/>
    <s v="C44733"/>
    <s v="Desk"/>
    <n v="1"/>
    <n v="87.06"/>
    <s v="851 Main St"/>
    <s v="Credit Card"/>
    <x v="0"/>
    <s v="TRK41500198"/>
    <n v="4"/>
    <s v="FREESHIP"/>
    <s v="Email"/>
    <n v="87.06"/>
  </r>
  <r>
    <s v="ORD201030"/>
    <d v="2023-10-02T00:00:00"/>
    <s v="C61773"/>
    <s v="Phone"/>
    <n v="4"/>
    <n v="245.28"/>
    <s v="176 Main St"/>
    <s v="Credit Card"/>
    <x v="3"/>
    <s v="TRK12936357"/>
    <n v="6"/>
    <s v="WINTER15"/>
    <s v="Email"/>
    <n v="981.12"/>
  </r>
  <r>
    <s v="ORD201031"/>
    <d v="2023-02-28T00:00:00"/>
    <s v="C59183"/>
    <s v="Phone"/>
    <n v="5"/>
    <n v="664.51"/>
    <s v="136 Main St"/>
    <s v="Debit Card"/>
    <x v="4"/>
    <s v="TRK18129706"/>
    <n v="8"/>
    <s v="SAVE10"/>
    <s v="Email"/>
    <n v="3322.55"/>
  </r>
  <r>
    <s v="ORD201032"/>
    <d v="2023-04-20T00:00:00"/>
    <s v="C26188"/>
    <s v="Chair"/>
    <n v="1"/>
    <n v="618.67999999999995"/>
    <s v="990 Main St"/>
    <s v="Online"/>
    <x v="3"/>
    <s v="TRK61634201"/>
    <n v="6"/>
    <s v="WINTER15"/>
    <s v="Referral"/>
    <n v="618.67999999999995"/>
  </r>
  <r>
    <s v="ORD201033"/>
    <d v="2024-12-24T00:00:00"/>
    <s v="C20338"/>
    <s v="Monitor"/>
    <n v="1"/>
    <n v="370.85"/>
    <s v="331 Main St"/>
    <s v="Gift Card"/>
    <x v="3"/>
    <s v="TRK30654048"/>
    <n v="2"/>
    <s v="FREESHIP"/>
    <s v="Referral"/>
    <n v="370.85"/>
  </r>
  <r>
    <s v="ORD201034"/>
    <d v="2024-06-16T00:00:00"/>
    <s v="C84524"/>
    <s v="Printer"/>
    <n v="4"/>
    <n v="517.98"/>
    <s v="766 Main St"/>
    <s v="Cash"/>
    <x v="1"/>
    <s v="TRK76751888"/>
    <n v="8"/>
    <s v="FREESHIP"/>
    <s v="Facebook"/>
    <n v="2071.92"/>
  </r>
  <r>
    <s v="ORD201035"/>
    <d v="2023-11-12T00:00:00"/>
    <s v="C70315"/>
    <s v="Laptop"/>
    <n v="4"/>
    <n v="506.11"/>
    <s v="911 Main St"/>
    <s v="Cash"/>
    <x v="1"/>
    <s v="TRK97732085"/>
    <n v="5"/>
    <s v="No Coupon"/>
    <s v="Referral"/>
    <n v="2024.44"/>
  </r>
  <r>
    <s v="ORD201036"/>
    <d v="2024-05-31T00:00:00"/>
    <s v="C98278"/>
    <s v="Phone"/>
    <n v="3"/>
    <n v="413.83"/>
    <s v="552 Main St"/>
    <s v="Gift Card"/>
    <x v="0"/>
    <s v="TRK49684737"/>
    <n v="8"/>
    <s v="SAVE10"/>
    <s v="Facebook"/>
    <n v="1241.49"/>
  </r>
  <r>
    <s v="ORD201037"/>
    <d v="2023-12-13T00:00:00"/>
    <s v="C32347"/>
    <s v="Printer"/>
    <n v="1"/>
    <n v="249.81"/>
    <s v="408 Main St"/>
    <s v="Cash"/>
    <x v="4"/>
    <s v="TRK54073964"/>
    <n v="1"/>
    <s v="SAVE10"/>
    <s v="Google"/>
    <n v="249.81"/>
  </r>
  <r>
    <s v="ORD201038"/>
    <d v="2025-03-15T00:00:00"/>
    <s v="C77961"/>
    <s v="Tablet"/>
    <n v="3"/>
    <n v="362.53"/>
    <s v="422 Main St"/>
    <s v="Debit Card"/>
    <x v="2"/>
    <s v="TRK28969024"/>
    <n v="5"/>
    <s v="No Coupon"/>
    <s v="Facebook"/>
    <n v="1087.5899999999999"/>
  </r>
  <r>
    <s v="ORD201039"/>
    <d v="2025-06-28T00:00:00"/>
    <s v="C49137"/>
    <s v="Desk"/>
    <n v="2"/>
    <n v="299.23"/>
    <s v="177 Main St"/>
    <s v="Credit Card"/>
    <x v="1"/>
    <s v="TRK79362428"/>
    <n v="2"/>
    <s v="WINTER15"/>
    <s v="Instagram"/>
    <n v="598.46"/>
  </r>
  <r>
    <s v="ORD201040"/>
    <d v="2023-11-15T00:00:00"/>
    <s v="C13169"/>
    <s v="Tablet"/>
    <n v="1"/>
    <n v="536.07000000000005"/>
    <s v="932 Main St"/>
    <s v="Debit Card"/>
    <x v="3"/>
    <s v="TRK66288666"/>
    <n v="5"/>
    <s v="FREESHIP"/>
    <s v="Google"/>
    <n v="536.07000000000005"/>
  </r>
  <r>
    <s v="ORD201041"/>
    <d v="2023-02-11T00:00:00"/>
    <s v="C21167"/>
    <s v="Monitor"/>
    <n v="4"/>
    <n v="558.9"/>
    <s v="948 Main St"/>
    <s v="Gift Card"/>
    <x v="0"/>
    <s v="TRK97737564"/>
    <n v="9"/>
    <s v="WINTER15"/>
    <s v="Google"/>
    <n v="2235.6"/>
  </r>
  <r>
    <s v="ORD201042"/>
    <d v="2024-12-09T00:00:00"/>
    <s v="C59724"/>
    <s v="Tablet"/>
    <n v="2"/>
    <n v="409.75"/>
    <s v="414 Main St"/>
    <s v="Debit Card"/>
    <x v="0"/>
    <s v="TRK67878272"/>
    <n v="2"/>
    <s v="WINTER15"/>
    <s v="Facebook"/>
    <n v="819.5"/>
  </r>
  <r>
    <s v="ORD201043"/>
    <d v="2025-01-11T00:00:00"/>
    <s v="C43965"/>
    <s v="Tablet"/>
    <n v="2"/>
    <n v="179.96"/>
    <s v="675 Main St"/>
    <s v="Gift Card"/>
    <x v="0"/>
    <s v="TRK94346739"/>
    <n v="5"/>
    <s v="No Coupon"/>
    <s v="Instagram"/>
    <n v="359.92"/>
  </r>
  <r>
    <s v="ORD201044"/>
    <d v="2025-06-22T00:00:00"/>
    <s v="C63018"/>
    <s v="Printer"/>
    <n v="1"/>
    <n v="38.49"/>
    <s v="215 Main St"/>
    <s v="Credit Card"/>
    <x v="3"/>
    <s v="TRK52335337"/>
    <n v="4"/>
    <s v="FREESHIP"/>
    <s v="Referral"/>
    <n v="38.49"/>
  </r>
  <r>
    <s v="ORD201045"/>
    <d v="2024-09-20T00:00:00"/>
    <s v="C11893"/>
    <s v="Laptop"/>
    <n v="5"/>
    <n v="316.39999999999998"/>
    <s v="671 Main St"/>
    <s v="Gift Card"/>
    <x v="2"/>
    <s v="TRK72012758"/>
    <n v="7"/>
    <s v="No Coupon"/>
    <s v="Email"/>
    <n v="1582"/>
  </r>
  <r>
    <s v="ORD201046"/>
    <d v="2024-10-07T00:00:00"/>
    <s v="C85421"/>
    <s v="Tablet"/>
    <n v="3"/>
    <n v="547.15"/>
    <s v="466 Main St"/>
    <s v="Online"/>
    <x v="0"/>
    <s v="TRK16524006"/>
    <n v="4"/>
    <s v="WINTER15"/>
    <s v="Instagram"/>
    <n v="1641.4499999999998"/>
  </r>
  <r>
    <s v="ORD201047"/>
    <d v="2023-06-23T00:00:00"/>
    <s v="C81726"/>
    <s v="Chair"/>
    <n v="4"/>
    <n v="540.34"/>
    <s v="394 Main St"/>
    <s v="Gift Card"/>
    <x v="0"/>
    <s v="TRK69872994"/>
    <n v="6"/>
    <s v="WINTER15"/>
    <s v="Referral"/>
    <n v="2161.36"/>
  </r>
  <r>
    <s v="ORD201048"/>
    <d v="2024-09-09T00:00:00"/>
    <s v="C57601"/>
    <s v="Monitor"/>
    <n v="4"/>
    <n v="73.650000000000006"/>
    <s v="889 Main St"/>
    <s v="Debit Card"/>
    <x v="0"/>
    <s v="TRK21153699"/>
    <n v="9"/>
    <s v="No Coupon"/>
    <s v="Google"/>
    <n v="294.60000000000002"/>
  </r>
  <r>
    <s v="ORD201049"/>
    <d v="2024-07-18T00:00:00"/>
    <s v="C60575"/>
    <s v="Desk"/>
    <n v="5"/>
    <n v="391.86"/>
    <s v="587 Main St"/>
    <s v="Credit Card"/>
    <x v="0"/>
    <s v="TRK44468232"/>
    <n v="6"/>
    <s v="No Coupon"/>
    <s v="Instagram"/>
    <n v="1959.3000000000002"/>
  </r>
  <r>
    <s v="ORD201050"/>
    <d v="2023-08-20T00:00:00"/>
    <s v="C70659"/>
    <s v="Laptop"/>
    <n v="5"/>
    <n v="69.7"/>
    <s v="722 Main St"/>
    <s v="Online"/>
    <x v="2"/>
    <s v="TRK49663597"/>
    <n v="9"/>
    <s v="No Coupon"/>
    <s v="Instagram"/>
    <n v="348.5"/>
  </r>
  <r>
    <s v="ORD201051"/>
    <d v="2025-03-05T00:00:00"/>
    <s v="C35043"/>
    <s v="Monitor"/>
    <n v="5"/>
    <n v="26.43"/>
    <s v="820 Main St"/>
    <s v="Gift Card"/>
    <x v="0"/>
    <s v="TRK65097450"/>
    <n v="5"/>
    <s v="FREESHIP"/>
    <s v="Facebook"/>
    <n v="132.15"/>
  </r>
  <r>
    <s v="ORD201052"/>
    <d v="2023-09-11T00:00:00"/>
    <s v="C12301"/>
    <s v="Tablet"/>
    <n v="1"/>
    <n v="531.74"/>
    <s v="493 Main St"/>
    <s v="Online"/>
    <x v="0"/>
    <s v="TRK25145796"/>
    <n v="1"/>
    <s v="WINTER15"/>
    <s v="Google"/>
    <n v="531.74"/>
  </r>
  <r>
    <s v="ORD201053"/>
    <d v="2024-09-15T00:00:00"/>
    <s v="C32798"/>
    <s v="Phone"/>
    <n v="2"/>
    <n v="496.62"/>
    <s v="679 Main St"/>
    <s v="Online"/>
    <x v="4"/>
    <s v="TRK37375451"/>
    <n v="2"/>
    <s v="SAVE10"/>
    <s v="Instagram"/>
    <n v="993.24"/>
  </r>
  <r>
    <s v="ORD201054"/>
    <d v="2023-11-29T00:00:00"/>
    <s v="C42949"/>
    <s v="Printer"/>
    <n v="1"/>
    <n v="660.66"/>
    <s v="447 Main St"/>
    <s v="Debit Card"/>
    <x v="3"/>
    <s v="TRK46415143"/>
    <n v="3"/>
    <s v="WINTER15"/>
    <s v="Instagram"/>
    <n v="660.66"/>
  </r>
  <r>
    <s v="ORD201055"/>
    <d v="2023-10-23T00:00:00"/>
    <s v="C10787"/>
    <s v="Monitor"/>
    <n v="4"/>
    <n v="274.82"/>
    <s v="932 Main St"/>
    <s v="Debit Card"/>
    <x v="3"/>
    <s v="TRK91512567"/>
    <n v="9"/>
    <s v="WINTER15"/>
    <s v="Email"/>
    <n v="1099.28"/>
  </r>
  <r>
    <s v="ORD201056"/>
    <d v="2024-06-14T00:00:00"/>
    <s v="C26152"/>
    <s v="Phone"/>
    <n v="2"/>
    <n v="486.35"/>
    <s v="790 Main St"/>
    <s v="Online"/>
    <x v="4"/>
    <s v="TRK49382455"/>
    <n v="6"/>
    <s v="SAVE10"/>
    <s v="Referral"/>
    <n v="972.7"/>
  </r>
  <r>
    <s v="ORD201057"/>
    <d v="2024-09-24T00:00:00"/>
    <s v="C46210"/>
    <s v="Laptop"/>
    <n v="3"/>
    <n v="428.88"/>
    <s v="535 Main St"/>
    <s v="Debit Card"/>
    <x v="0"/>
    <s v="TRK81611937"/>
    <n v="3"/>
    <s v="WINTER15"/>
    <s v="Facebook"/>
    <n v="1286.6399999999999"/>
  </r>
  <r>
    <s v="ORD201058"/>
    <d v="2023-09-08T00:00:00"/>
    <s v="C32943"/>
    <s v="Desk"/>
    <n v="2"/>
    <n v="412.14"/>
    <s v="127 Main St"/>
    <s v="Credit Card"/>
    <x v="2"/>
    <s v="TRK26949106"/>
    <n v="2"/>
    <s v="FREESHIP"/>
    <s v="Instagram"/>
    <n v="824.28"/>
  </r>
  <r>
    <s v="ORD201059"/>
    <d v="2024-09-22T00:00:00"/>
    <s v="C73629"/>
    <s v="Desk"/>
    <n v="1"/>
    <n v="265.64"/>
    <s v="601 Main St"/>
    <s v="Credit Card"/>
    <x v="2"/>
    <s v="TRK11492924"/>
    <n v="3"/>
    <s v="WINTER15"/>
    <s v="Instagram"/>
    <n v="265.64"/>
  </r>
  <r>
    <s v="ORD201060"/>
    <d v="2024-05-07T00:00:00"/>
    <s v="C38024"/>
    <s v="Tablet"/>
    <n v="2"/>
    <n v="273.43"/>
    <s v="824 Main St"/>
    <s v="Cash"/>
    <x v="0"/>
    <s v="TRK93370912"/>
    <n v="7"/>
    <s v="WINTER15"/>
    <s v="Referral"/>
    <n v="546.86"/>
  </r>
  <r>
    <s v="ORD201061"/>
    <d v="2025-01-29T00:00:00"/>
    <s v="C25445"/>
    <s v="Laptop"/>
    <n v="5"/>
    <n v="131.69999999999999"/>
    <s v="830 Main St"/>
    <s v="Cash"/>
    <x v="0"/>
    <s v="TRK12402431"/>
    <n v="8"/>
    <s v="FREESHIP"/>
    <s v="Google"/>
    <n v="658.5"/>
  </r>
  <r>
    <s v="ORD201062"/>
    <d v="2023-08-23T00:00:00"/>
    <s v="C13501"/>
    <s v="Chair"/>
    <n v="5"/>
    <n v="85.52"/>
    <s v="301 Main St"/>
    <s v="Gift Card"/>
    <x v="1"/>
    <s v="TRK65149372"/>
    <n v="5"/>
    <s v="No Coupon"/>
    <s v="Facebook"/>
    <n v="427.59999999999997"/>
  </r>
  <r>
    <s v="ORD201063"/>
    <d v="2024-06-19T00:00:00"/>
    <s v="C42108"/>
    <s v="Desk"/>
    <n v="2"/>
    <n v="320.68"/>
    <s v="336 Main St"/>
    <s v="Credit Card"/>
    <x v="0"/>
    <s v="TRK58407918"/>
    <n v="5"/>
    <s v="FREESHIP"/>
    <s v="Referral"/>
    <n v="641.36"/>
  </r>
  <r>
    <s v="ORD201064"/>
    <d v="2025-02-12T00:00:00"/>
    <s v="C32121"/>
    <s v="Laptop"/>
    <n v="4"/>
    <n v="198.81"/>
    <s v="654 Main St"/>
    <s v="Cash"/>
    <x v="2"/>
    <s v="TRK96074264"/>
    <n v="9"/>
    <s v="FREESHIP"/>
    <s v="Referral"/>
    <n v="795.24"/>
  </r>
  <r>
    <s v="ORD201065"/>
    <d v="2023-10-30T00:00:00"/>
    <s v="C47778"/>
    <s v="Printer"/>
    <n v="5"/>
    <n v="666.8"/>
    <s v="488 Main St"/>
    <s v="Debit Card"/>
    <x v="3"/>
    <s v="TRK79504329"/>
    <n v="7"/>
    <s v="SAVE10"/>
    <s v="Referral"/>
    <n v="3334"/>
  </r>
  <r>
    <s v="ORD201066"/>
    <d v="2023-12-20T00:00:00"/>
    <s v="C10791"/>
    <s v="Desk"/>
    <n v="1"/>
    <n v="355.09"/>
    <s v="674 Main St"/>
    <s v="Debit Card"/>
    <x v="1"/>
    <s v="TRK20321248"/>
    <n v="5"/>
    <s v="SAVE10"/>
    <s v="Instagram"/>
    <n v="355.09"/>
  </r>
  <r>
    <s v="ORD201067"/>
    <d v="2023-06-06T00:00:00"/>
    <s v="C78959"/>
    <s v="Phone"/>
    <n v="2"/>
    <n v="316.2"/>
    <s v="384 Main St"/>
    <s v="Online"/>
    <x v="2"/>
    <s v="TRK37426359"/>
    <n v="2"/>
    <s v="No Coupon"/>
    <s v="Instagram"/>
    <n v="632.4"/>
  </r>
  <r>
    <s v="ORD201068"/>
    <d v="2024-08-03T00:00:00"/>
    <s v="C29914"/>
    <s v="Laptop"/>
    <n v="1"/>
    <n v="133.38999999999999"/>
    <s v="469 Main St"/>
    <s v="Debit Card"/>
    <x v="0"/>
    <s v="TRK22073506"/>
    <n v="2"/>
    <s v="SAVE10"/>
    <s v="Referral"/>
    <n v="133.38999999999999"/>
  </r>
  <r>
    <s v="ORD201069"/>
    <d v="2023-02-25T00:00:00"/>
    <s v="C70506"/>
    <s v="Monitor"/>
    <n v="1"/>
    <n v="454.23"/>
    <s v="255 Main St"/>
    <s v="Gift Card"/>
    <x v="2"/>
    <s v="TRK12518384"/>
    <n v="3"/>
    <s v="No Coupon"/>
    <s v="Facebook"/>
    <n v="454.23"/>
  </r>
  <r>
    <s v="ORD201070"/>
    <d v="2024-09-06T00:00:00"/>
    <s v="C46873"/>
    <s v="Desk"/>
    <n v="4"/>
    <n v="491.29"/>
    <s v="496 Main St"/>
    <s v="Debit Card"/>
    <x v="4"/>
    <s v="TRK10926575"/>
    <n v="6"/>
    <s v="No Coupon"/>
    <s v="Email"/>
    <n v="1965.16"/>
  </r>
  <r>
    <s v="ORD201071"/>
    <d v="2025-06-24T00:00:00"/>
    <s v="C94037"/>
    <s v="Phone"/>
    <n v="2"/>
    <n v="255.14"/>
    <s v="216 Main St"/>
    <s v="Cash"/>
    <x v="0"/>
    <s v="TRK47536985"/>
    <n v="2"/>
    <s v="No Coupon"/>
    <s v="Google"/>
    <n v="510.28"/>
  </r>
  <r>
    <s v="ORD201072"/>
    <d v="2023-02-26T00:00:00"/>
    <s v="C88644"/>
    <s v="Monitor"/>
    <n v="1"/>
    <n v="392.61"/>
    <s v="977 Main St"/>
    <s v="Gift Card"/>
    <x v="1"/>
    <s v="TRK14900878"/>
    <n v="4"/>
    <s v="SAVE10"/>
    <s v="Referral"/>
    <n v="392.61"/>
  </r>
  <r>
    <s v="ORD201073"/>
    <d v="2024-10-11T00:00:00"/>
    <s v="C69471"/>
    <s v="Tablet"/>
    <n v="4"/>
    <n v="362.06"/>
    <s v="294 Main St"/>
    <s v="Debit Card"/>
    <x v="2"/>
    <s v="TRK11107152"/>
    <n v="4"/>
    <s v="No Coupon"/>
    <s v="Facebook"/>
    <n v="1448.24"/>
  </r>
  <r>
    <s v="ORD201074"/>
    <d v="2024-05-10T00:00:00"/>
    <s v="C21437"/>
    <s v="Phone"/>
    <n v="1"/>
    <n v="222.73"/>
    <s v="120 Main St"/>
    <s v="Online"/>
    <x v="2"/>
    <s v="TRK81624772"/>
    <n v="4"/>
    <s v="No Coupon"/>
    <s v="Google"/>
    <n v="222.73"/>
  </r>
  <r>
    <s v="ORD201075"/>
    <d v="2024-08-31T00:00:00"/>
    <s v="C40949"/>
    <s v="Monitor"/>
    <n v="2"/>
    <n v="552.63"/>
    <s v="609 Main St"/>
    <s v="Debit Card"/>
    <x v="3"/>
    <s v="TRK43066749"/>
    <n v="7"/>
    <s v="WINTER15"/>
    <s v="Instagram"/>
    <n v="1105.26"/>
  </r>
  <r>
    <s v="ORD201076"/>
    <d v="2023-05-08T00:00:00"/>
    <s v="C99116"/>
    <s v="Laptop"/>
    <n v="4"/>
    <n v="686.61"/>
    <s v="176 Main St"/>
    <s v="Cash"/>
    <x v="0"/>
    <s v="TRK52711973"/>
    <n v="6"/>
    <s v="No Coupon"/>
    <s v="Referral"/>
    <n v="2746.44"/>
  </r>
  <r>
    <s v="ORD201077"/>
    <d v="2025-03-07T00:00:00"/>
    <s v="C57861"/>
    <s v="Printer"/>
    <n v="3"/>
    <n v="305.16000000000003"/>
    <s v="115 Main St"/>
    <s v="Credit Card"/>
    <x v="1"/>
    <s v="TRK47775217"/>
    <n v="8"/>
    <s v="SAVE10"/>
    <s v="Referral"/>
    <n v="915.48"/>
  </r>
  <r>
    <s v="ORD201078"/>
    <d v="2023-03-18T00:00:00"/>
    <s v="C62627"/>
    <s v="Desk"/>
    <n v="1"/>
    <n v="41.09"/>
    <s v="881 Main St"/>
    <s v="Online"/>
    <x v="2"/>
    <s v="TRK90060232"/>
    <n v="4"/>
    <s v="WINTER15"/>
    <s v="Email"/>
    <n v="41.09"/>
  </r>
  <r>
    <s v="ORD201079"/>
    <d v="2024-06-20T00:00:00"/>
    <s v="C89979"/>
    <s v="Phone"/>
    <n v="5"/>
    <n v="634"/>
    <s v="144 Main St"/>
    <s v="Gift Card"/>
    <x v="3"/>
    <s v="TRK99055909"/>
    <n v="8"/>
    <s v="No Coupon"/>
    <s v="Email"/>
    <n v="3170"/>
  </r>
  <r>
    <s v="ORD201080"/>
    <d v="2023-01-20T00:00:00"/>
    <s v="C70613"/>
    <s v="Laptop"/>
    <n v="5"/>
    <n v="464.74"/>
    <s v="438 Main St"/>
    <s v="Gift Card"/>
    <x v="3"/>
    <s v="TRK33140293"/>
    <n v="7"/>
    <s v="No Coupon"/>
    <s v="Referral"/>
    <n v="2323.6999999999998"/>
  </r>
  <r>
    <s v="ORD201081"/>
    <d v="2023-04-21T00:00:00"/>
    <s v="C55636"/>
    <s v="Monitor"/>
    <n v="4"/>
    <n v="425.6"/>
    <s v="494 Main St"/>
    <s v="Credit Card"/>
    <x v="4"/>
    <s v="TRK85897054"/>
    <n v="5"/>
    <s v="FREESHIP"/>
    <s v="Google"/>
    <n v="1702.4"/>
  </r>
  <r>
    <s v="ORD201082"/>
    <d v="2023-10-06T00:00:00"/>
    <s v="C96595"/>
    <s v="Chair"/>
    <n v="3"/>
    <n v="573.22"/>
    <s v="177 Main St"/>
    <s v="Debit Card"/>
    <x v="4"/>
    <s v="TRK59779174"/>
    <n v="5"/>
    <s v="SAVE10"/>
    <s v="Email"/>
    <n v="1719.66"/>
  </r>
  <r>
    <s v="ORD201083"/>
    <d v="2024-07-09T00:00:00"/>
    <s v="C68508"/>
    <s v="Chair"/>
    <n v="1"/>
    <n v="123.28"/>
    <s v="895 Main St"/>
    <s v="Credit Card"/>
    <x v="3"/>
    <s v="TRK98960285"/>
    <n v="3"/>
    <s v="SAVE10"/>
    <s v="Email"/>
    <n v="123.28"/>
  </r>
  <r>
    <s v="ORD201084"/>
    <d v="2023-01-08T00:00:00"/>
    <s v="C45175"/>
    <s v="Phone"/>
    <n v="1"/>
    <n v="70.819999999999993"/>
    <s v="128 Main St"/>
    <s v="Gift Card"/>
    <x v="4"/>
    <s v="TRK41792296"/>
    <n v="1"/>
    <s v="WINTER15"/>
    <s v="Instagram"/>
    <n v="70.819999999999993"/>
  </r>
  <r>
    <s v="ORD201085"/>
    <d v="2023-05-21T00:00:00"/>
    <s v="C28049"/>
    <s v="Printer"/>
    <n v="2"/>
    <n v="646.69000000000005"/>
    <s v="404 Main St"/>
    <s v="Debit Card"/>
    <x v="0"/>
    <s v="TRK91426444"/>
    <n v="7"/>
    <s v="WINTER15"/>
    <s v="Instagram"/>
    <n v="1293.3800000000001"/>
  </r>
  <r>
    <s v="ORD201086"/>
    <d v="2023-12-23T00:00:00"/>
    <s v="C46967"/>
    <s v="Tablet"/>
    <n v="2"/>
    <n v="513.41999999999996"/>
    <s v="401 Main St"/>
    <s v="Online"/>
    <x v="4"/>
    <s v="TRK91439791"/>
    <n v="5"/>
    <s v="WINTER15"/>
    <s v="Instagram"/>
    <n v="1026.8399999999999"/>
  </r>
  <r>
    <s v="ORD201087"/>
    <d v="2025-03-23T00:00:00"/>
    <s v="C84134"/>
    <s v="Laptop"/>
    <n v="4"/>
    <n v="693.07"/>
    <s v="530 Main St"/>
    <s v="Online"/>
    <x v="0"/>
    <s v="TRK48659380"/>
    <n v="8"/>
    <s v="SAVE10"/>
    <s v="Instagram"/>
    <n v="2772.28"/>
  </r>
  <r>
    <s v="ORD201088"/>
    <d v="2023-11-30T00:00:00"/>
    <s v="C49831"/>
    <s v="Desk"/>
    <n v="3"/>
    <n v="491.43"/>
    <s v="213 Main St"/>
    <s v="Gift Card"/>
    <x v="0"/>
    <s v="TRK21232601"/>
    <n v="6"/>
    <s v="WINTER15"/>
    <s v="Instagram"/>
    <n v="1474.29"/>
  </r>
  <r>
    <s v="ORD201089"/>
    <d v="2025-03-15T00:00:00"/>
    <s v="C13324"/>
    <s v="Tablet"/>
    <n v="2"/>
    <n v="599.74"/>
    <s v="440 Main St"/>
    <s v="Gift Card"/>
    <x v="0"/>
    <s v="TRK66967997"/>
    <n v="2"/>
    <s v="No Coupon"/>
    <s v="Instagram"/>
    <n v="1199.48"/>
  </r>
  <r>
    <s v="ORD201090"/>
    <d v="2023-02-25T00:00:00"/>
    <s v="C61225"/>
    <s v="Monitor"/>
    <n v="2"/>
    <n v="650.25"/>
    <s v="996 Main St"/>
    <s v="Gift Card"/>
    <x v="2"/>
    <s v="TRK37022954"/>
    <n v="6"/>
    <s v="No Coupon"/>
    <s v="Instagram"/>
    <n v="1300.5"/>
  </r>
  <r>
    <s v="ORD201091"/>
    <d v="2024-10-08T00:00:00"/>
    <s v="C16400"/>
    <s v="Laptop"/>
    <n v="3"/>
    <n v="209.48"/>
    <s v="123 Main St"/>
    <s v="Debit Card"/>
    <x v="4"/>
    <s v="TRK57771859"/>
    <n v="4"/>
    <s v="No Coupon"/>
    <s v="Email"/>
    <n v="628.43999999999994"/>
  </r>
  <r>
    <s v="ORD201092"/>
    <d v="2023-08-21T00:00:00"/>
    <s v="C38642"/>
    <s v="Laptop"/>
    <n v="5"/>
    <n v="209.2"/>
    <s v="930 Main St"/>
    <s v="Debit Card"/>
    <x v="3"/>
    <s v="TRK47744396"/>
    <n v="6"/>
    <s v="WINTER15"/>
    <s v="Email"/>
    <n v="1046"/>
  </r>
  <r>
    <s v="ORD201093"/>
    <d v="2023-06-09T00:00:00"/>
    <s v="C86773"/>
    <s v="Phone"/>
    <n v="4"/>
    <n v="197.36"/>
    <s v="557 Main St"/>
    <s v="Gift Card"/>
    <x v="2"/>
    <s v="TRK22612240"/>
    <n v="9"/>
    <s v="FREESHIP"/>
    <s v="Instagram"/>
    <n v="789.44"/>
  </r>
  <r>
    <s v="ORD201094"/>
    <d v="2023-06-28T00:00:00"/>
    <s v="C66093"/>
    <s v="Printer"/>
    <n v="4"/>
    <n v="648.91"/>
    <s v="615 Main St"/>
    <s v="Credit Card"/>
    <x v="0"/>
    <s v="TRK54950785"/>
    <n v="6"/>
    <s v="SAVE10"/>
    <s v="Instagram"/>
    <n v="2595.64"/>
  </r>
  <r>
    <s v="ORD201095"/>
    <d v="2024-04-23T00:00:00"/>
    <s v="C33051"/>
    <s v="Phone"/>
    <n v="2"/>
    <n v="441.54"/>
    <s v="397 Main St"/>
    <s v="Online"/>
    <x v="3"/>
    <s v="TRK92929755"/>
    <n v="2"/>
    <s v="SAVE10"/>
    <s v="Email"/>
    <n v="883.08"/>
  </r>
  <r>
    <s v="ORD201096"/>
    <d v="2025-05-03T00:00:00"/>
    <s v="C18169"/>
    <s v="Tablet"/>
    <n v="2"/>
    <n v="464.92"/>
    <s v="782 Main St"/>
    <s v="Debit Card"/>
    <x v="2"/>
    <s v="TRK49482923"/>
    <n v="2"/>
    <s v="No Coupon"/>
    <s v="Facebook"/>
    <n v="929.84"/>
  </r>
  <r>
    <s v="ORD201097"/>
    <d v="2024-12-26T00:00:00"/>
    <s v="C81370"/>
    <s v="Monitor"/>
    <n v="5"/>
    <n v="506.45"/>
    <s v="344 Main St"/>
    <s v="Gift Card"/>
    <x v="0"/>
    <s v="TRK99682998"/>
    <n v="7"/>
    <s v="WINTER15"/>
    <s v="Google"/>
    <n v="2532.25"/>
  </r>
  <r>
    <s v="ORD201098"/>
    <d v="2023-06-17T00:00:00"/>
    <s v="C91103"/>
    <s v="Monitor"/>
    <n v="4"/>
    <n v="255.86"/>
    <s v="155 Main St"/>
    <s v="Credit Card"/>
    <x v="3"/>
    <s v="TRK91653000"/>
    <n v="7"/>
    <s v="No Coupon"/>
    <s v="Email"/>
    <n v="1023.44"/>
  </r>
  <r>
    <s v="ORD201099"/>
    <d v="2024-09-19T00:00:00"/>
    <s v="C21953"/>
    <s v="Laptop"/>
    <n v="2"/>
    <n v="125.23"/>
    <s v="272 Main St"/>
    <s v="Cash"/>
    <x v="1"/>
    <s v="TRK60774796"/>
    <n v="3"/>
    <s v="FREESHIP"/>
    <s v="Email"/>
    <n v="250.46"/>
  </r>
  <r>
    <s v="ORD201100"/>
    <d v="2023-08-17T00:00:00"/>
    <s v="C15146"/>
    <s v="Laptop"/>
    <n v="5"/>
    <n v="38.11"/>
    <s v="428 Main St"/>
    <s v="Debit Card"/>
    <x v="1"/>
    <s v="TRK79790530"/>
    <n v="6"/>
    <s v="WINTER15"/>
    <s v="Instagram"/>
    <n v="190.55"/>
  </r>
  <r>
    <s v="ORD201101"/>
    <d v="2025-06-08T00:00:00"/>
    <s v="C43546"/>
    <s v="Monitor"/>
    <n v="3"/>
    <n v="161.97"/>
    <s v="904 Main St"/>
    <s v="Cash"/>
    <x v="4"/>
    <s v="TRK85871121"/>
    <n v="4"/>
    <s v="SAVE10"/>
    <s v="Email"/>
    <n v="485.90999999999997"/>
  </r>
  <r>
    <s v="ORD201102"/>
    <d v="2024-06-03T00:00:00"/>
    <s v="C98474"/>
    <s v="Chair"/>
    <n v="4"/>
    <n v="347.17"/>
    <s v="997 Main St"/>
    <s v="Debit Card"/>
    <x v="0"/>
    <s v="TRK86192984"/>
    <n v="8"/>
    <s v="No Coupon"/>
    <s v="Instagram"/>
    <n v="1388.68"/>
  </r>
  <r>
    <s v="ORD201103"/>
    <d v="2023-04-24T00:00:00"/>
    <s v="C90292"/>
    <s v="Laptop"/>
    <n v="4"/>
    <n v="276.32"/>
    <s v="129 Main St"/>
    <s v="Online"/>
    <x v="3"/>
    <s v="TRK26270357"/>
    <n v="5"/>
    <s v="No Coupon"/>
    <s v="Google"/>
    <n v="1105.28"/>
  </r>
  <r>
    <s v="ORD201104"/>
    <d v="2024-07-25T00:00:00"/>
    <s v="C17075"/>
    <s v="Tablet"/>
    <n v="4"/>
    <n v="314.76"/>
    <s v="850 Main St"/>
    <s v="Online"/>
    <x v="0"/>
    <s v="TRK63547510"/>
    <n v="8"/>
    <s v="No Coupon"/>
    <s v="Instagram"/>
    <n v="1259.04"/>
  </r>
  <r>
    <s v="ORD201105"/>
    <d v="2024-01-08T00:00:00"/>
    <s v="C12487"/>
    <s v="Tablet"/>
    <n v="3"/>
    <n v="475.69"/>
    <s v="884 Main St"/>
    <s v="Gift Card"/>
    <x v="1"/>
    <s v="TRK23324770"/>
    <n v="3"/>
    <s v="FREESHIP"/>
    <s v="Google"/>
    <n v="1427.07"/>
  </r>
  <r>
    <s v="ORD201106"/>
    <d v="2023-03-12T00:00:00"/>
    <s v="C34555"/>
    <s v="Chair"/>
    <n v="1"/>
    <n v="372.8"/>
    <s v="903 Main St"/>
    <s v="Cash"/>
    <x v="1"/>
    <s v="TRK72859458"/>
    <n v="6"/>
    <s v="SAVE10"/>
    <s v="Facebook"/>
    <n v="372.8"/>
  </r>
  <r>
    <s v="ORD201107"/>
    <d v="2025-06-30T00:00:00"/>
    <s v="C25110"/>
    <s v="Tablet"/>
    <n v="2"/>
    <n v="63.21"/>
    <s v="282 Main St"/>
    <s v="Online"/>
    <x v="1"/>
    <s v="TRK80963328"/>
    <n v="4"/>
    <s v="SAVE10"/>
    <s v="Google"/>
    <n v="126.42"/>
  </r>
  <r>
    <s v="ORD201108"/>
    <d v="2023-03-20T00:00:00"/>
    <s v="C35136"/>
    <s v="Laptop"/>
    <n v="1"/>
    <n v="634.94000000000005"/>
    <s v="462 Main St"/>
    <s v="Online"/>
    <x v="1"/>
    <s v="TRK49753703"/>
    <n v="5"/>
    <s v="WINTER15"/>
    <s v="Instagram"/>
    <n v="634.94000000000005"/>
  </r>
  <r>
    <s v="ORD201109"/>
    <d v="2024-04-08T00:00:00"/>
    <s v="C62277"/>
    <s v="Printer"/>
    <n v="4"/>
    <n v="77.47"/>
    <s v="474 Main St"/>
    <s v="Gift Card"/>
    <x v="2"/>
    <s v="TRK32026174"/>
    <n v="7"/>
    <s v="SAVE10"/>
    <s v="Instagram"/>
    <n v="309.88"/>
  </r>
  <r>
    <s v="ORD201110"/>
    <d v="2024-02-25T00:00:00"/>
    <s v="C12472"/>
    <s v="Chair"/>
    <n v="3"/>
    <n v="84.31"/>
    <s v="912 Main St"/>
    <s v="Credit Card"/>
    <x v="0"/>
    <s v="TRK36103184"/>
    <n v="3"/>
    <s v="SAVE10"/>
    <s v="Email"/>
    <n v="252.93"/>
  </r>
  <r>
    <s v="ORD201111"/>
    <d v="2023-05-06T00:00:00"/>
    <s v="C24047"/>
    <s v="Monitor"/>
    <n v="4"/>
    <n v="234.45"/>
    <s v="362 Main St"/>
    <s v="Online"/>
    <x v="1"/>
    <s v="TRK91338580"/>
    <n v="9"/>
    <s v="FREESHIP"/>
    <s v="Instagram"/>
    <n v="937.8"/>
  </r>
  <r>
    <s v="ORD201112"/>
    <d v="2023-10-13T00:00:00"/>
    <s v="C76929"/>
    <s v="Desk"/>
    <n v="1"/>
    <n v="356.81"/>
    <s v="563 Main St"/>
    <s v="Online"/>
    <x v="3"/>
    <s v="TRK80694400"/>
    <n v="1"/>
    <s v="WINTER15"/>
    <s v="Instagram"/>
    <n v="356.81"/>
  </r>
  <r>
    <s v="ORD201113"/>
    <d v="2023-03-19T00:00:00"/>
    <s v="C52914"/>
    <s v="Desk"/>
    <n v="4"/>
    <n v="209.99"/>
    <s v="168 Main St"/>
    <s v="Cash"/>
    <x v="3"/>
    <s v="TRK80819053"/>
    <n v="8"/>
    <s v="No Coupon"/>
    <s v="Google"/>
    <n v="839.96"/>
  </r>
  <r>
    <s v="ORD201114"/>
    <d v="2023-03-16T00:00:00"/>
    <s v="C55164"/>
    <s v="Tablet"/>
    <n v="3"/>
    <n v="659.88"/>
    <s v="609 Main St"/>
    <s v="Gift Card"/>
    <x v="1"/>
    <s v="TRK79610967"/>
    <n v="3"/>
    <s v="No Coupon"/>
    <s v="Google"/>
    <n v="1979.6399999999999"/>
  </r>
  <r>
    <s v="ORD201115"/>
    <d v="2025-06-20T00:00:00"/>
    <s v="C70426"/>
    <s v="Laptop"/>
    <n v="2"/>
    <n v="336.32"/>
    <s v="562 Main St"/>
    <s v="Online"/>
    <x v="2"/>
    <s v="TRK89687816"/>
    <n v="3"/>
    <s v="No Coupon"/>
    <s v="Google"/>
    <n v="672.64"/>
  </r>
  <r>
    <s v="ORD201116"/>
    <d v="2023-10-14T00:00:00"/>
    <s v="C69149"/>
    <s v="Printer"/>
    <n v="2"/>
    <n v="531.49"/>
    <s v="562 Main St"/>
    <s v="Credit Card"/>
    <x v="3"/>
    <s v="TRK61265132"/>
    <n v="7"/>
    <s v="WINTER15"/>
    <s v="Facebook"/>
    <n v="1062.98"/>
  </r>
  <r>
    <s v="ORD201117"/>
    <d v="2024-05-20T00:00:00"/>
    <s v="C78684"/>
    <s v="Chair"/>
    <n v="3"/>
    <n v="588.44000000000005"/>
    <s v="858 Main St"/>
    <s v="Gift Card"/>
    <x v="0"/>
    <s v="TRK95779073"/>
    <n v="8"/>
    <s v="WINTER15"/>
    <s v="Google"/>
    <n v="1765.3200000000002"/>
  </r>
  <r>
    <s v="ORD201118"/>
    <d v="2024-05-24T00:00:00"/>
    <s v="C58168"/>
    <s v="Phone"/>
    <n v="3"/>
    <n v="251.48"/>
    <s v="359 Main St"/>
    <s v="Credit Card"/>
    <x v="2"/>
    <s v="TRK99102265"/>
    <n v="4"/>
    <s v="No Coupon"/>
    <s v="Email"/>
    <n v="754.43999999999994"/>
  </r>
  <r>
    <s v="ORD201119"/>
    <d v="2024-11-24T00:00:00"/>
    <s v="C99024"/>
    <s v="Laptop"/>
    <n v="1"/>
    <n v="684.65"/>
    <s v="250 Main St"/>
    <s v="Credit Card"/>
    <x v="3"/>
    <s v="TRK24675988"/>
    <n v="1"/>
    <s v="FREESHIP"/>
    <s v="Email"/>
    <n v="684.65"/>
  </r>
  <r>
    <s v="ORD201120"/>
    <d v="2025-05-10T00:00:00"/>
    <s v="C22919"/>
    <s v="Tablet"/>
    <n v="1"/>
    <n v="195.86"/>
    <s v="267 Main St"/>
    <s v="Online"/>
    <x v="4"/>
    <s v="TRK82416295"/>
    <n v="3"/>
    <s v="No Coupon"/>
    <s v="Facebook"/>
    <n v="195.86"/>
  </r>
  <r>
    <s v="ORD201121"/>
    <d v="2023-05-28T00:00:00"/>
    <s v="C98354"/>
    <s v="Phone"/>
    <n v="3"/>
    <n v="50.34"/>
    <s v="393 Main St"/>
    <s v="Gift Card"/>
    <x v="2"/>
    <s v="TRK43070888"/>
    <n v="3"/>
    <s v="FREESHIP"/>
    <s v="Instagram"/>
    <n v="151.02000000000001"/>
  </r>
  <r>
    <s v="ORD201122"/>
    <d v="2023-06-07T00:00:00"/>
    <s v="C38840"/>
    <s v="Monitor"/>
    <n v="5"/>
    <n v="678.19"/>
    <s v="766 Main St"/>
    <s v="Online"/>
    <x v="2"/>
    <s v="TRK32496970"/>
    <n v="8"/>
    <s v="No Coupon"/>
    <s v="Facebook"/>
    <n v="3390.9500000000003"/>
  </r>
  <r>
    <s v="ORD201123"/>
    <d v="2023-04-14T00:00:00"/>
    <s v="C68936"/>
    <s v="Tablet"/>
    <n v="3"/>
    <n v="554.25"/>
    <s v="843 Main St"/>
    <s v="Debit Card"/>
    <x v="0"/>
    <s v="TRK73163634"/>
    <n v="6"/>
    <s v="WINTER15"/>
    <s v="Referral"/>
    <n v="1662.75"/>
  </r>
  <r>
    <s v="ORD201124"/>
    <d v="2023-05-09T00:00:00"/>
    <s v="C33744"/>
    <s v="Chair"/>
    <n v="4"/>
    <n v="576.87"/>
    <s v="888 Main St"/>
    <s v="Gift Card"/>
    <x v="2"/>
    <s v="TRK40245983"/>
    <n v="5"/>
    <s v="No Coupon"/>
    <s v="Instagram"/>
    <n v="2307.48"/>
  </r>
  <r>
    <s v="ORD201125"/>
    <d v="2023-10-16T00:00:00"/>
    <s v="C23555"/>
    <s v="Desk"/>
    <n v="4"/>
    <n v="408.36"/>
    <s v="156 Main St"/>
    <s v="Gift Card"/>
    <x v="1"/>
    <s v="TRK67210247"/>
    <n v="4"/>
    <s v="FREESHIP"/>
    <s v="Referral"/>
    <n v="1633.44"/>
  </r>
  <r>
    <s v="ORD201126"/>
    <d v="2024-07-22T00:00:00"/>
    <s v="C34337"/>
    <s v="Phone"/>
    <n v="5"/>
    <n v="190.11"/>
    <s v="325 Main St"/>
    <s v="Cash"/>
    <x v="3"/>
    <s v="TRK36195559"/>
    <n v="7"/>
    <s v="SAVE10"/>
    <s v="Google"/>
    <n v="950.55000000000007"/>
  </r>
  <r>
    <s v="ORD201127"/>
    <d v="2025-03-15T00:00:00"/>
    <s v="C69396"/>
    <s v="Printer"/>
    <n v="3"/>
    <n v="602.75"/>
    <s v="920 Main St"/>
    <s v="Credit Card"/>
    <x v="0"/>
    <s v="TRK33155049"/>
    <n v="6"/>
    <s v="SAVE10"/>
    <s v="Email"/>
    <n v="1808.25"/>
  </r>
  <r>
    <s v="ORD201128"/>
    <d v="2023-08-17T00:00:00"/>
    <s v="C49198"/>
    <s v="Monitor"/>
    <n v="3"/>
    <n v="646.79"/>
    <s v="447 Main St"/>
    <s v="Cash"/>
    <x v="1"/>
    <s v="TRK10883354"/>
    <n v="5"/>
    <s v="WINTER15"/>
    <s v="Google"/>
    <n v="1940.37"/>
  </r>
  <r>
    <s v="ORD201129"/>
    <d v="2023-06-11T00:00:00"/>
    <s v="C43911"/>
    <s v="Chair"/>
    <n v="4"/>
    <n v="418.71"/>
    <s v="239 Main St"/>
    <s v="Cash"/>
    <x v="4"/>
    <s v="TRK37495481"/>
    <n v="8"/>
    <s v="FREESHIP"/>
    <s v="Instagram"/>
    <n v="1674.84"/>
  </r>
  <r>
    <s v="ORD201130"/>
    <d v="2025-02-16T00:00:00"/>
    <s v="C24347"/>
    <s v="Laptop"/>
    <n v="2"/>
    <n v="323.45"/>
    <s v="533 Main St"/>
    <s v="Credit Card"/>
    <x v="2"/>
    <s v="TRK27233265"/>
    <n v="5"/>
    <s v="FREESHIP"/>
    <s v="Instagram"/>
    <n v="646.9"/>
  </r>
  <r>
    <s v="ORD201131"/>
    <d v="2024-07-18T00:00:00"/>
    <s v="C21043"/>
    <s v="Phone"/>
    <n v="1"/>
    <n v="694.5"/>
    <s v="195 Main St"/>
    <s v="Credit Card"/>
    <x v="4"/>
    <s v="TRK41691086"/>
    <n v="3"/>
    <s v="WINTER15"/>
    <s v="Facebook"/>
    <n v="694.5"/>
  </r>
  <r>
    <s v="ORD201132"/>
    <d v="2024-12-02T00:00:00"/>
    <s v="C58858"/>
    <s v="Chair"/>
    <n v="2"/>
    <n v="337.32"/>
    <s v="948 Main St"/>
    <s v="Credit Card"/>
    <x v="1"/>
    <s v="TRK30406357"/>
    <n v="4"/>
    <s v="SAVE10"/>
    <s v="Email"/>
    <n v="674.64"/>
  </r>
  <r>
    <s v="ORD201133"/>
    <d v="2024-04-09T00:00:00"/>
    <s v="C20670"/>
    <s v="Printer"/>
    <n v="2"/>
    <n v="467.91"/>
    <s v="432 Main St"/>
    <s v="Gift Card"/>
    <x v="2"/>
    <s v="TRK76731303"/>
    <n v="5"/>
    <s v="WINTER15"/>
    <s v="Facebook"/>
    <n v="935.82"/>
  </r>
  <r>
    <s v="ORD201134"/>
    <d v="2024-06-08T00:00:00"/>
    <s v="C90993"/>
    <s v="Desk"/>
    <n v="4"/>
    <n v="38.28"/>
    <s v="950 Main St"/>
    <s v="Debit Card"/>
    <x v="1"/>
    <s v="TRK53964711"/>
    <n v="4"/>
    <s v="WINTER15"/>
    <s v="Facebook"/>
    <n v="153.12"/>
  </r>
  <r>
    <s v="ORD201135"/>
    <d v="2023-12-28T00:00:00"/>
    <s v="C11473"/>
    <s v="Printer"/>
    <n v="2"/>
    <n v="73.41"/>
    <s v="562 Main St"/>
    <s v="Online"/>
    <x v="0"/>
    <s v="TRK97793275"/>
    <n v="2"/>
    <s v="SAVE10"/>
    <s v="Google"/>
    <n v="146.82"/>
  </r>
  <r>
    <s v="ORD201136"/>
    <d v="2023-09-24T00:00:00"/>
    <s v="C71899"/>
    <s v="Tablet"/>
    <n v="3"/>
    <n v="668.33"/>
    <s v="799 Main St"/>
    <s v="Gift Card"/>
    <x v="4"/>
    <s v="TRK34856025"/>
    <n v="4"/>
    <s v="WINTER15"/>
    <s v="Facebook"/>
    <n v="2004.9900000000002"/>
  </r>
  <r>
    <s v="ORD201137"/>
    <d v="2024-07-29T00:00:00"/>
    <s v="C48577"/>
    <s v="Printer"/>
    <n v="4"/>
    <n v="410.21"/>
    <s v="841 Main St"/>
    <s v="Cash"/>
    <x v="4"/>
    <s v="TRK59911645"/>
    <n v="5"/>
    <s v="WINTER15"/>
    <s v="Instagram"/>
    <n v="1640.84"/>
  </r>
  <r>
    <s v="ORD201138"/>
    <d v="2023-12-18T00:00:00"/>
    <s v="C13100"/>
    <s v="Desk"/>
    <n v="4"/>
    <n v="294.41000000000003"/>
    <s v="188 Main St"/>
    <s v="Debit Card"/>
    <x v="4"/>
    <s v="TRK55565668"/>
    <n v="4"/>
    <s v="No Coupon"/>
    <s v="Instagram"/>
    <n v="1177.6400000000001"/>
  </r>
  <r>
    <s v="ORD201139"/>
    <d v="2025-03-01T00:00:00"/>
    <s v="C70659"/>
    <s v="Chair"/>
    <n v="3"/>
    <n v="501.82"/>
    <s v="568 Main St"/>
    <s v="Gift Card"/>
    <x v="1"/>
    <s v="TRK28290825"/>
    <n v="4"/>
    <s v="FREESHIP"/>
    <s v="Email"/>
    <n v="1505.46"/>
  </r>
  <r>
    <s v="ORD201140"/>
    <d v="2024-06-24T00:00:00"/>
    <s v="C49838"/>
    <s v="Printer"/>
    <n v="2"/>
    <n v="552.83000000000004"/>
    <s v="904 Main St"/>
    <s v="Credit Card"/>
    <x v="1"/>
    <s v="TRK38297718"/>
    <n v="3"/>
    <s v="No Coupon"/>
    <s v="Referral"/>
    <n v="1105.6600000000001"/>
  </r>
  <r>
    <s v="ORD201141"/>
    <d v="2025-02-16T00:00:00"/>
    <s v="C11998"/>
    <s v="Chair"/>
    <n v="3"/>
    <n v="498.66"/>
    <s v="382 Main St"/>
    <s v="Cash"/>
    <x v="1"/>
    <s v="TRK26707221"/>
    <n v="6"/>
    <s v="No Coupon"/>
    <s v="Email"/>
    <n v="1495.98"/>
  </r>
  <r>
    <s v="ORD201142"/>
    <d v="2024-08-23T00:00:00"/>
    <s v="C23405"/>
    <s v="Phone"/>
    <n v="4"/>
    <n v="695.1"/>
    <s v="484 Main St"/>
    <s v="Debit Card"/>
    <x v="2"/>
    <s v="TRK83678708"/>
    <n v="8"/>
    <s v="No Coupon"/>
    <s v="Email"/>
    <n v="2780.4"/>
  </r>
  <r>
    <s v="ORD201143"/>
    <d v="2023-04-03T00:00:00"/>
    <s v="C41132"/>
    <s v="Chair"/>
    <n v="1"/>
    <n v="381.61"/>
    <s v="114 Main St"/>
    <s v="Debit Card"/>
    <x v="4"/>
    <s v="TRK51040137"/>
    <n v="5"/>
    <s v="No Coupon"/>
    <s v="Email"/>
    <n v="381.61"/>
  </r>
  <r>
    <s v="ORD201144"/>
    <d v="2023-02-16T00:00:00"/>
    <s v="C88463"/>
    <s v="Desk"/>
    <n v="5"/>
    <n v="507.94"/>
    <s v="292 Main St"/>
    <s v="Online"/>
    <x v="1"/>
    <s v="TRK88749996"/>
    <n v="9"/>
    <s v="No Coupon"/>
    <s v="Facebook"/>
    <n v="2539.6999999999998"/>
  </r>
  <r>
    <s v="ORD201145"/>
    <d v="2025-05-12T00:00:00"/>
    <s v="C28152"/>
    <s v="Desk"/>
    <n v="3"/>
    <n v="571.53"/>
    <s v="821 Main St"/>
    <s v="Debit Card"/>
    <x v="3"/>
    <s v="TRK59642814"/>
    <n v="6"/>
    <s v="FREESHIP"/>
    <s v="Facebook"/>
    <n v="1714.59"/>
  </r>
  <r>
    <s v="ORD201146"/>
    <d v="2024-10-03T00:00:00"/>
    <s v="C36383"/>
    <s v="Monitor"/>
    <n v="5"/>
    <n v="421.44"/>
    <s v="286 Main St"/>
    <s v="Cash"/>
    <x v="4"/>
    <s v="TRK93336357"/>
    <n v="5"/>
    <s v="SAVE10"/>
    <s v="Instagram"/>
    <n v="2107.1999999999998"/>
  </r>
  <r>
    <s v="ORD201147"/>
    <d v="2025-01-02T00:00:00"/>
    <s v="C19759"/>
    <s v="Chair"/>
    <n v="2"/>
    <n v="588.29999999999995"/>
    <s v="234 Main St"/>
    <s v="Online"/>
    <x v="4"/>
    <s v="TRK22515454"/>
    <n v="2"/>
    <s v="FREESHIP"/>
    <s v="Email"/>
    <n v="1176.5999999999999"/>
  </r>
  <r>
    <s v="ORD201148"/>
    <d v="2024-06-25T00:00:00"/>
    <s v="C54886"/>
    <s v="Phone"/>
    <n v="1"/>
    <n v="355.15"/>
    <s v="442 Main St"/>
    <s v="Cash"/>
    <x v="2"/>
    <s v="TRK66241930"/>
    <n v="2"/>
    <s v="SAVE10"/>
    <s v="Email"/>
    <n v="355.15"/>
  </r>
  <r>
    <s v="ORD201149"/>
    <d v="2024-07-25T00:00:00"/>
    <s v="C27305"/>
    <s v="Chair"/>
    <n v="2"/>
    <n v="695.29"/>
    <s v="957 Main St"/>
    <s v="Credit Card"/>
    <x v="4"/>
    <s v="TRK28789916"/>
    <n v="6"/>
    <s v="FREESHIP"/>
    <s v="Instagram"/>
    <n v="1390.58"/>
  </r>
  <r>
    <s v="ORD201150"/>
    <d v="2023-02-20T00:00:00"/>
    <s v="C17921"/>
    <s v="Desk"/>
    <n v="4"/>
    <n v="302.64999999999998"/>
    <s v="119 Main St"/>
    <s v="Credit Card"/>
    <x v="1"/>
    <s v="TRK79291524"/>
    <n v="8"/>
    <s v="SAVE10"/>
    <s v="Referral"/>
    <n v="1210.5999999999999"/>
  </r>
  <r>
    <s v="ORD201151"/>
    <d v="2023-01-29T00:00:00"/>
    <s v="C94381"/>
    <s v="Chair"/>
    <n v="2"/>
    <n v="608.04"/>
    <s v="962 Main St"/>
    <s v="Cash"/>
    <x v="1"/>
    <s v="TRK69804304"/>
    <n v="4"/>
    <s v="No Coupon"/>
    <s v="Google"/>
    <n v="1216.08"/>
  </r>
  <r>
    <s v="ORD201152"/>
    <d v="2023-11-09T00:00:00"/>
    <s v="C25162"/>
    <s v="Tablet"/>
    <n v="2"/>
    <n v="344.18"/>
    <s v="533 Main St"/>
    <s v="Credit Card"/>
    <x v="0"/>
    <s v="TRK42183078"/>
    <n v="7"/>
    <s v="No Coupon"/>
    <s v="Referral"/>
    <n v="688.36"/>
  </r>
  <r>
    <s v="ORD201153"/>
    <d v="2024-12-16T00:00:00"/>
    <s v="C98317"/>
    <s v="Monitor"/>
    <n v="4"/>
    <n v="696.71"/>
    <s v="276 Main St"/>
    <s v="Debit Card"/>
    <x v="0"/>
    <s v="TRK37172138"/>
    <n v="4"/>
    <s v="No Coupon"/>
    <s v="Instagram"/>
    <n v="2786.84"/>
  </r>
  <r>
    <s v="ORD201154"/>
    <d v="2025-06-11T00:00:00"/>
    <s v="C53631"/>
    <s v="Monitor"/>
    <n v="3"/>
    <n v="198.63"/>
    <s v="593 Main St"/>
    <s v="Cash"/>
    <x v="4"/>
    <s v="TRK67589167"/>
    <n v="8"/>
    <s v="SAVE10"/>
    <s v="Instagram"/>
    <n v="595.89"/>
  </r>
  <r>
    <s v="ORD201155"/>
    <d v="2023-08-13T00:00:00"/>
    <s v="C41478"/>
    <s v="Printer"/>
    <n v="4"/>
    <n v="534.57000000000005"/>
    <s v="667 Main St"/>
    <s v="Credit Card"/>
    <x v="3"/>
    <s v="TRK62068126"/>
    <n v="6"/>
    <s v="FREESHIP"/>
    <s v="Facebook"/>
    <n v="2138.2800000000002"/>
  </r>
  <r>
    <s v="ORD201156"/>
    <d v="2023-07-19T00:00:00"/>
    <s v="C20512"/>
    <s v="Laptop"/>
    <n v="4"/>
    <n v="690.78"/>
    <s v="980 Main St"/>
    <s v="Credit Card"/>
    <x v="0"/>
    <s v="TRK98234737"/>
    <n v="9"/>
    <s v="No Coupon"/>
    <s v="Referral"/>
    <n v="2763.12"/>
  </r>
  <r>
    <s v="ORD201157"/>
    <d v="2024-05-29T00:00:00"/>
    <s v="C25841"/>
    <s v="Monitor"/>
    <n v="3"/>
    <n v="301.55"/>
    <s v="242 Main St"/>
    <s v="Debit Card"/>
    <x v="3"/>
    <s v="TRK21451375"/>
    <n v="5"/>
    <s v="FREESHIP"/>
    <s v="Google"/>
    <n v="904.65000000000009"/>
  </r>
  <r>
    <s v="ORD201158"/>
    <d v="2023-04-20T00:00:00"/>
    <s v="C82781"/>
    <s v="Monitor"/>
    <n v="4"/>
    <n v="27.42"/>
    <s v="661 Main St"/>
    <s v="Debit Card"/>
    <x v="4"/>
    <s v="TRK20605418"/>
    <n v="4"/>
    <s v="SAVE10"/>
    <s v="Referral"/>
    <n v="109.68"/>
  </r>
  <r>
    <s v="ORD201159"/>
    <d v="2024-02-23T00:00:00"/>
    <s v="C66112"/>
    <s v="Desk"/>
    <n v="4"/>
    <n v="466.7"/>
    <s v="874 Main St"/>
    <s v="Debit Card"/>
    <x v="2"/>
    <s v="TRK60955607"/>
    <n v="8"/>
    <s v="No Coupon"/>
    <s v="Instagram"/>
    <n v="1866.8"/>
  </r>
  <r>
    <s v="ORD201160"/>
    <d v="2024-09-04T00:00:00"/>
    <s v="C40466"/>
    <s v="Desk"/>
    <n v="1"/>
    <n v="541.64"/>
    <s v="449 Main St"/>
    <s v="Debit Card"/>
    <x v="0"/>
    <s v="TRK70255168"/>
    <n v="5"/>
    <s v="SAVE10"/>
    <s v="Email"/>
    <n v="541.64"/>
  </r>
  <r>
    <s v="ORD201161"/>
    <d v="2023-10-16T00:00:00"/>
    <s v="C32570"/>
    <s v="Phone"/>
    <n v="1"/>
    <n v="11.39"/>
    <s v="826 Main St"/>
    <s v="Cash"/>
    <x v="1"/>
    <s v="TRK35969968"/>
    <n v="6"/>
    <s v="WINTER15"/>
    <s v="Email"/>
    <n v="11.39"/>
  </r>
  <r>
    <s v="ORD201162"/>
    <d v="2025-03-11T00:00:00"/>
    <s v="C29405"/>
    <s v="Phone"/>
    <n v="2"/>
    <n v="224.37"/>
    <s v="251 Main St"/>
    <s v="Debit Card"/>
    <x v="3"/>
    <s v="TRK33125798"/>
    <n v="3"/>
    <s v="WINTER15"/>
    <s v="Referral"/>
    <n v="448.74"/>
  </r>
  <r>
    <s v="ORD201163"/>
    <d v="2024-06-11T00:00:00"/>
    <s v="C30643"/>
    <s v="Laptop"/>
    <n v="3"/>
    <n v="306.29000000000002"/>
    <s v="966 Main St"/>
    <s v="Credit Card"/>
    <x v="2"/>
    <s v="TRK19477485"/>
    <n v="7"/>
    <s v="WINTER15"/>
    <s v="Instagram"/>
    <n v="918.87000000000012"/>
  </r>
  <r>
    <s v="ORD201164"/>
    <d v="2024-01-08T00:00:00"/>
    <s v="C65890"/>
    <s v="Tablet"/>
    <n v="5"/>
    <n v="315.57"/>
    <s v="340 Main St"/>
    <s v="Debit Card"/>
    <x v="3"/>
    <s v="TRK64530489"/>
    <n v="6"/>
    <s v="WINTER15"/>
    <s v="Email"/>
    <n v="1577.85"/>
  </r>
  <r>
    <s v="ORD201165"/>
    <d v="2023-07-14T00:00:00"/>
    <s v="C36992"/>
    <s v="Chair"/>
    <n v="3"/>
    <n v="223.79"/>
    <s v="617 Main St"/>
    <s v="Debit Card"/>
    <x v="4"/>
    <s v="TRK63460217"/>
    <n v="3"/>
    <s v="No Coupon"/>
    <s v="Google"/>
    <n v="671.37"/>
  </r>
  <r>
    <s v="ORD201166"/>
    <d v="2023-07-31T00:00:00"/>
    <s v="C95568"/>
    <s v="Chair"/>
    <n v="3"/>
    <n v="324.47000000000003"/>
    <s v="971 Main St"/>
    <s v="Cash"/>
    <x v="3"/>
    <s v="TRK37075292"/>
    <n v="4"/>
    <s v="WINTER15"/>
    <s v="Email"/>
    <n v="973.41000000000008"/>
  </r>
  <r>
    <s v="ORD201167"/>
    <d v="2023-10-17T00:00:00"/>
    <s v="C17966"/>
    <s v="Printer"/>
    <n v="2"/>
    <n v="92.87"/>
    <s v="360 Main St"/>
    <s v="Credit Card"/>
    <x v="4"/>
    <s v="TRK31169396"/>
    <n v="5"/>
    <s v="FREESHIP"/>
    <s v="Facebook"/>
    <n v="185.74"/>
  </r>
  <r>
    <s v="ORD201168"/>
    <d v="2023-04-08T00:00:00"/>
    <s v="C89559"/>
    <s v="Laptop"/>
    <n v="2"/>
    <n v="331.42"/>
    <s v="297 Main St"/>
    <s v="Credit Card"/>
    <x v="3"/>
    <s v="TRK82838108"/>
    <n v="6"/>
    <s v="WINTER15"/>
    <s v="Google"/>
    <n v="662.84"/>
  </r>
  <r>
    <s v="ORD201169"/>
    <d v="2024-12-23T00:00:00"/>
    <s v="C15849"/>
    <s v="Chair"/>
    <n v="1"/>
    <n v="525.42999999999995"/>
    <s v="643 Main St"/>
    <s v="Cash"/>
    <x v="1"/>
    <s v="TRK26794546"/>
    <n v="2"/>
    <s v="SAVE10"/>
    <s v="Instagram"/>
    <n v="525.42999999999995"/>
  </r>
  <r>
    <s v="ORD201170"/>
    <d v="2023-08-03T00:00:00"/>
    <s v="C94257"/>
    <s v="Printer"/>
    <n v="2"/>
    <n v="697.19"/>
    <s v="762 Main St"/>
    <s v="Cash"/>
    <x v="2"/>
    <s v="TRK40220743"/>
    <n v="7"/>
    <s v="FREESHIP"/>
    <s v="Email"/>
    <n v="1394.38"/>
  </r>
  <r>
    <s v="ORD201171"/>
    <d v="2023-08-28T00:00:00"/>
    <s v="C39911"/>
    <s v="Phone"/>
    <n v="4"/>
    <n v="518.4"/>
    <s v="699 Main St"/>
    <s v="Credit Card"/>
    <x v="3"/>
    <s v="TRK80431998"/>
    <n v="7"/>
    <s v="SAVE10"/>
    <s v="Facebook"/>
    <n v="2073.6"/>
  </r>
  <r>
    <s v="ORD201172"/>
    <d v="2025-02-04T00:00:00"/>
    <s v="C28828"/>
    <s v="Desk"/>
    <n v="3"/>
    <n v="131.96"/>
    <s v="745 Main St"/>
    <s v="Credit Card"/>
    <x v="4"/>
    <s v="TRK32550359"/>
    <n v="8"/>
    <s v="No Coupon"/>
    <s v="Instagram"/>
    <n v="395.88"/>
  </r>
  <r>
    <s v="ORD201173"/>
    <d v="2024-10-04T00:00:00"/>
    <s v="C82921"/>
    <s v="Monitor"/>
    <n v="1"/>
    <n v="208.36"/>
    <s v="703 Main St"/>
    <s v="Online"/>
    <x v="0"/>
    <s v="TRK31079911"/>
    <n v="4"/>
    <s v="FREESHIP"/>
    <s v="Email"/>
    <n v="208.36"/>
  </r>
  <r>
    <s v="ORD201174"/>
    <d v="2023-11-27T00:00:00"/>
    <s v="C50159"/>
    <s v="Printer"/>
    <n v="3"/>
    <n v="222.34"/>
    <s v="105 Main St"/>
    <s v="Credit Card"/>
    <x v="2"/>
    <s v="TRK53737452"/>
    <n v="5"/>
    <s v="WINTER15"/>
    <s v="Email"/>
    <n v="667.02"/>
  </r>
  <r>
    <s v="ORD201175"/>
    <d v="2024-09-10T00:00:00"/>
    <s v="C62512"/>
    <s v="Printer"/>
    <n v="3"/>
    <n v="91.74"/>
    <s v="368 Main St"/>
    <s v="Debit Card"/>
    <x v="2"/>
    <s v="TRK24139954"/>
    <n v="8"/>
    <s v="FREESHIP"/>
    <s v="Referral"/>
    <n v="275.21999999999997"/>
  </r>
  <r>
    <s v="ORD201176"/>
    <d v="2023-08-13T00:00:00"/>
    <s v="C39260"/>
    <s v="Tablet"/>
    <n v="2"/>
    <n v="213.83"/>
    <s v="374 Main St"/>
    <s v="Debit Card"/>
    <x v="1"/>
    <s v="TRK55587314"/>
    <n v="2"/>
    <s v="WINTER15"/>
    <s v="Email"/>
    <n v="427.66"/>
  </r>
  <r>
    <s v="ORD201177"/>
    <d v="2023-04-27T00:00:00"/>
    <s v="C23917"/>
    <s v="Printer"/>
    <n v="1"/>
    <n v="127.55"/>
    <s v="433 Main St"/>
    <s v="Cash"/>
    <x v="0"/>
    <s v="TRK44434536"/>
    <n v="3"/>
    <s v="SAVE10"/>
    <s v="Referral"/>
    <n v="127.55"/>
  </r>
  <r>
    <s v="ORD201178"/>
    <d v="2024-09-08T00:00:00"/>
    <s v="C65107"/>
    <s v="Monitor"/>
    <n v="1"/>
    <n v="70.239999999999995"/>
    <s v="456 Main St"/>
    <s v="Credit Card"/>
    <x v="1"/>
    <s v="TRK10261578"/>
    <n v="4"/>
    <s v="FREESHIP"/>
    <s v="Google"/>
    <n v="70.239999999999995"/>
  </r>
  <r>
    <s v="ORD201179"/>
    <d v="2023-01-08T00:00:00"/>
    <s v="C84630"/>
    <s v="Laptop"/>
    <n v="5"/>
    <n v="518.54999999999995"/>
    <s v="907 Main St"/>
    <s v="Credit Card"/>
    <x v="1"/>
    <s v="TRK48054997"/>
    <n v="6"/>
    <s v="WINTER15"/>
    <s v="Instagram"/>
    <n v="2592.75"/>
  </r>
  <r>
    <s v="ORD201180"/>
    <d v="2023-10-31T00:00:00"/>
    <s v="C42235"/>
    <s v="Chair"/>
    <n v="4"/>
    <n v="298.36"/>
    <s v="722 Main St"/>
    <s v="Debit Card"/>
    <x v="4"/>
    <s v="TRK49379882"/>
    <n v="8"/>
    <s v="FREESHIP"/>
    <s v="Google"/>
    <n v="1193.44"/>
  </r>
  <r>
    <s v="ORD201181"/>
    <d v="2023-07-27T00:00:00"/>
    <s v="C70246"/>
    <s v="Desk"/>
    <n v="3"/>
    <n v="158.74"/>
    <s v="293 Main St"/>
    <s v="Online"/>
    <x v="4"/>
    <s v="TRK45708320"/>
    <n v="7"/>
    <s v="FREESHIP"/>
    <s v="Instagram"/>
    <n v="476.22"/>
  </r>
  <r>
    <s v="ORD201182"/>
    <d v="2025-06-14T00:00:00"/>
    <s v="C18473"/>
    <s v="Chair"/>
    <n v="2"/>
    <n v="420.29"/>
    <s v="700 Main St"/>
    <s v="Gift Card"/>
    <x v="2"/>
    <s v="TRK97834202"/>
    <n v="3"/>
    <s v="SAVE10"/>
    <s v="Google"/>
    <n v="840.58"/>
  </r>
  <r>
    <s v="ORD201183"/>
    <d v="2023-04-05T00:00:00"/>
    <s v="C12607"/>
    <s v="Desk"/>
    <n v="1"/>
    <n v="281.52"/>
    <s v="460 Main St"/>
    <s v="Gift Card"/>
    <x v="0"/>
    <s v="TRK83653396"/>
    <n v="6"/>
    <s v="WINTER15"/>
    <s v="Referral"/>
    <n v="281.52"/>
  </r>
  <r>
    <s v="ORD201184"/>
    <d v="2023-09-27T00:00:00"/>
    <s v="C10222"/>
    <s v="Laptop"/>
    <n v="1"/>
    <n v="204.08"/>
    <s v="979 Main St"/>
    <s v="Gift Card"/>
    <x v="2"/>
    <s v="TRK86297895"/>
    <n v="4"/>
    <s v="No Coupon"/>
    <s v="Google"/>
    <n v="204.08"/>
  </r>
  <r>
    <s v="ORD201185"/>
    <d v="2024-07-08T00:00:00"/>
    <s v="C77344"/>
    <s v="Chair"/>
    <n v="1"/>
    <n v="343.31"/>
    <s v="777 Main St"/>
    <s v="Gift Card"/>
    <x v="2"/>
    <s v="TRK20605055"/>
    <n v="6"/>
    <s v="SAVE10"/>
    <s v="Google"/>
    <n v="343.31"/>
  </r>
  <r>
    <s v="ORD201186"/>
    <d v="2023-11-18T00:00:00"/>
    <s v="C65497"/>
    <s v="Monitor"/>
    <n v="1"/>
    <n v="163.32"/>
    <s v="676 Main St"/>
    <s v="Cash"/>
    <x v="0"/>
    <s v="TRK83702761"/>
    <n v="6"/>
    <s v="WINTER15"/>
    <s v="Facebook"/>
    <n v="163.32"/>
  </r>
  <r>
    <s v="ORD201187"/>
    <d v="2024-03-13T00:00:00"/>
    <s v="C26340"/>
    <s v="Desk"/>
    <n v="2"/>
    <n v="184.6"/>
    <s v="562 Main St"/>
    <s v="Gift Card"/>
    <x v="3"/>
    <s v="TRK59962703"/>
    <n v="7"/>
    <s v="WINTER15"/>
    <s v="Email"/>
    <n v="369.2"/>
  </r>
  <r>
    <s v="ORD201188"/>
    <d v="2023-10-07T00:00:00"/>
    <s v="C75619"/>
    <s v="Printer"/>
    <n v="2"/>
    <n v="371.29"/>
    <s v="924 Main St"/>
    <s v="Gift Card"/>
    <x v="0"/>
    <s v="TRK23086941"/>
    <n v="5"/>
    <s v="WINTER15"/>
    <s v="Facebook"/>
    <n v="742.58"/>
  </r>
  <r>
    <s v="ORD201189"/>
    <d v="2024-08-17T00:00:00"/>
    <s v="C96136"/>
    <s v="Tablet"/>
    <n v="5"/>
    <n v="389.22"/>
    <s v="149 Main St"/>
    <s v="Cash"/>
    <x v="1"/>
    <s v="TRK60856682"/>
    <n v="7"/>
    <s v="No Coupon"/>
    <s v="Referral"/>
    <n v="1946.1000000000001"/>
  </r>
  <r>
    <s v="ORD201190"/>
    <d v="2025-06-08T00:00:00"/>
    <s v="C46886"/>
    <s v="Desk"/>
    <n v="3"/>
    <n v="616.39"/>
    <s v="754 Main St"/>
    <s v="Credit Card"/>
    <x v="0"/>
    <s v="TRK82791646"/>
    <n v="6"/>
    <s v="FREESHIP"/>
    <s v="Instagram"/>
    <n v="1849.17"/>
  </r>
  <r>
    <s v="ORD201191"/>
    <d v="2025-02-10T00:00:00"/>
    <s v="C44148"/>
    <s v="Desk"/>
    <n v="4"/>
    <n v="376.43"/>
    <s v="809 Main St"/>
    <s v="Gift Card"/>
    <x v="4"/>
    <s v="TRK67872709"/>
    <n v="5"/>
    <s v="WINTER15"/>
    <s v="Instagram"/>
    <n v="1505.72"/>
  </r>
  <r>
    <s v="ORD201192"/>
    <d v="2024-02-28T00:00:00"/>
    <s v="C72007"/>
    <s v="Chair"/>
    <n v="3"/>
    <n v="432.85"/>
    <s v="999 Main St"/>
    <s v="Online"/>
    <x v="4"/>
    <s v="TRK16240916"/>
    <n v="4"/>
    <s v="No Coupon"/>
    <s v="Instagram"/>
    <n v="1298.5500000000002"/>
  </r>
  <r>
    <s v="ORD201193"/>
    <d v="2025-06-16T00:00:00"/>
    <s v="C45104"/>
    <s v="Tablet"/>
    <n v="1"/>
    <n v="687.89"/>
    <s v="348 Main St"/>
    <s v="Cash"/>
    <x v="2"/>
    <s v="TRK38559816"/>
    <n v="1"/>
    <s v="FREESHIP"/>
    <s v="Email"/>
    <n v="687.89"/>
  </r>
  <r>
    <s v="ORD201194"/>
    <d v="2023-11-19T00:00:00"/>
    <s v="C29885"/>
    <s v="Printer"/>
    <n v="3"/>
    <n v="189.44"/>
    <s v="725 Main St"/>
    <s v="Cash"/>
    <x v="4"/>
    <s v="TRK62067865"/>
    <n v="4"/>
    <s v="FREESHIP"/>
    <s v="Email"/>
    <n v="568.31999999999994"/>
  </r>
  <r>
    <s v="ORD201195"/>
    <d v="2024-06-20T00:00:00"/>
    <s v="C21126"/>
    <s v="Desk"/>
    <n v="1"/>
    <n v="107.04"/>
    <s v="392 Main St"/>
    <s v="Credit Card"/>
    <x v="1"/>
    <s v="TRK38009181"/>
    <n v="6"/>
    <s v="FREESHIP"/>
    <s v="Google"/>
    <n v="107.04"/>
  </r>
  <r>
    <s v="ORD201196"/>
    <d v="2024-03-04T00:00:00"/>
    <s v="C20095"/>
    <s v="Monitor"/>
    <n v="2"/>
    <n v="662.53"/>
    <s v="778 Main St"/>
    <s v="Online"/>
    <x v="1"/>
    <s v="TRK69207593"/>
    <n v="5"/>
    <s v="No Coupon"/>
    <s v="Facebook"/>
    <n v="1325.06"/>
  </r>
  <r>
    <s v="ORD201197"/>
    <d v="2023-07-13T00:00:00"/>
    <s v="C79674"/>
    <s v="Tablet"/>
    <n v="2"/>
    <n v="436.84"/>
    <s v="275 Main St"/>
    <s v="Online"/>
    <x v="3"/>
    <s v="TRK88039356"/>
    <n v="2"/>
    <s v="FREESHIP"/>
    <s v="Instagram"/>
    <n v="873.68"/>
  </r>
  <r>
    <s v="ORD201198"/>
    <d v="2024-08-22T00:00:00"/>
    <s v="C64753"/>
    <s v="Chair"/>
    <n v="4"/>
    <n v="262.52"/>
    <s v="509 Main St"/>
    <s v="Debit Card"/>
    <x v="1"/>
    <s v="TRK71683331"/>
    <n v="4"/>
    <s v="WINTER15"/>
    <s v="Instagram"/>
    <n v="1050.08"/>
  </r>
  <r>
    <s v="ORD201199"/>
    <d v="2023-06-11T00:00:00"/>
    <s v="C57502"/>
    <s v="Tablet"/>
    <n v="4"/>
    <n v="560.58000000000004"/>
    <s v="201 Main St"/>
    <s v="Gift Card"/>
    <x v="2"/>
    <s v="TRK51116746"/>
    <n v="6"/>
    <s v="SAVE10"/>
    <s v="Referral"/>
    <n v="2242.3200000000002"/>
  </r>
  <r>
    <m/>
    <m/>
    <m/>
    <m/>
    <m/>
    <m/>
    <m/>
    <m/>
    <x v="5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3C7A68-C356-41EA-A360-A45A25A23A8C}" name="Revenue By Product" cacheId="1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5" rowHeaderCaption="Product">
  <location ref="A3:B11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Total Revenue" fld="1" baseField="0" baseItem="0" numFmtId="2"/>
  </dataFields>
  <formats count="14">
    <format>
      <pivotArea type="all" dataOnly="0" outline="0" fieldPosition="0"/>
    </format>
    <format>
      <pivotArea outline="0" collapsedLevelsAreSubtotals="1" fieldPosition="0"/>
    </format>
    <format>
      <pivotArea field="0" type="button" dataOnly="0" labelOnly="1" outline="0" axis="axisRow" fieldPosition="0"/>
    </format>
    <format>
      <pivotArea dataOnly="0" labelOnly="1" fieldPosition="0">
        <references count="1">
          <reference field="0" count="0"/>
        </references>
      </pivotArea>
    </format>
    <format>
      <pivotArea dataOnly="0" labelOnly="1" grandRow="1" outline="0" fieldPosition="0"/>
    </format>
    <format>
      <pivotArea dataOnly="0" labelOnly="1" outline="0" axis="axisValues" fieldPosition="0"/>
    </format>
    <format dxfId="0">
      <pivotArea type="all" dataOnly="0" outline="0" fieldPosition="0"/>
    </format>
    <format dxfId="1">
      <pivotArea outline="0" collapsedLevelsAreSubtotals="1" fieldPosition="0"/>
    </format>
    <format dxfId="2">
      <pivotArea field="0" type="button" dataOnly="0" labelOnly="1" outline="0" axis="axisRow" fieldPosition="0"/>
    </format>
    <format dxfId="3">
      <pivotArea dataOnly="0" labelOnly="1" fieldPosition="0">
        <references count="1">
          <reference field="0" count="0"/>
        </references>
      </pivotArea>
    </format>
    <format dxfId="4">
      <pivotArea dataOnly="0" labelOnly="1" grandRow="1" outline="0" fieldPosition="0"/>
    </format>
    <format dxfId="5">
      <pivotArea dataOnly="0" labelOnly="1" outline="0" axis="axisValues" fieldPosition="0"/>
    </format>
    <format>
      <pivotArea grandRow="1" outline="0" collapsedLevelsAreSubtotals="1" fieldPosition="0"/>
    </format>
    <format>
      <pivotArea collapsedLevelsAreSubtotals="1" fieldPosition="0">
        <references count="1">
          <reference field="0" count="0"/>
        </references>
      </pivotArea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Total Revenue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 Data!$A:$N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4E2567-BB65-452E-9AAE-33FCE0D134D1}" name="Order Statu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 rowHeaderCaption="Order Status">
  <location ref="E3:F9" firstHeaderRow="1" firstDataRow="1" firstDataCol="1"/>
  <pivotFields count="14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x="1"/>
        <item x="3"/>
        <item x="4"/>
        <item x="2"/>
        <item x="0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3"/>
    </i>
    <i>
      <x v="2"/>
    </i>
    <i>
      <x v="4"/>
    </i>
    <i>
      <x v="1"/>
    </i>
    <i t="grand">
      <x/>
    </i>
  </rowItems>
  <colItems count="1">
    <i/>
  </colItems>
  <dataFields count="1">
    <dataField name="Count" fld="0" subtotal="count" baseField="8" baseItem="0"/>
  </dataFields>
  <formats count="1">
    <format dxfId="6">
      <pivotArea type="all" dataOnly="0" outline="0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306608-37A2-4563-B24D-097D0052D883}" name="Referral Status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Referral Source">
  <location ref="E13:F19" firstHeaderRow="1" firstDataRow="1" firstDataCol="1"/>
  <pivotFields count="2">
    <pivotField axis="axisRow" allDrilled="1" subtotalTop="0" showAll="0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" fld="1" subtotal="count" baseField="0" baseItem="0"/>
  </dataFields>
  <formats count="6">
    <format dxfId="7">
      <pivotArea type="all" dataOnly="0" outline="0" fieldPosition="0"/>
    </format>
    <format dxfId="8">
      <pivotArea outline="0" collapsedLevelsAreSubtotals="1" fieldPosition="0"/>
    </format>
    <format dxfId="9">
      <pivotArea field="0" type="button" dataOnly="0" labelOnly="1" outline="0" axis="axisRow" fieldPosition="0"/>
    </format>
    <format dxfId="10">
      <pivotArea dataOnly="0" labelOnly="1" fieldPosition="0">
        <references count="1">
          <reference field="0" count="0"/>
        </references>
      </pivotArea>
    </format>
    <format dxfId="11">
      <pivotArea dataOnly="0" labelOnly="1" grandRow="1" outline="0" fieldPosition="0"/>
    </format>
    <format dxfId="12">
      <pivotArea dataOnly="0" labelOnly="1" outline="0" axis="axisValues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 Data!$A:$N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8F3EB2-597B-49F5-90DC-52CD40E57903}" name="Payment Method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Payment Method">
  <location ref="A15:B21" firstHeaderRow="1" firstDataRow="1" firstDataCol="1"/>
  <pivotFields count="2">
    <pivotField dataField="1" subtotalTop="0" showAll="0" defaultSubtotal="0"/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6">
    <i>
      <x v="4"/>
    </i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" fld="0" subtotal="count" baseField="0" baseItem="0"/>
  </dataFields>
  <formats count="6">
    <format dxfId="13">
      <pivotArea type="all" dataOnly="0" outline="0" fieldPosition="0"/>
    </format>
    <format dxfId="14">
      <pivotArea outline="0" collapsedLevelsAreSubtotals="1" fieldPosition="0"/>
    </format>
    <format dxfId="15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7">
      <pivotArea dataOnly="0" labelOnly="1" grandRow="1" outline="0" fieldPosition="0"/>
    </format>
    <format dxfId="18">
      <pivotArea dataOnly="0" labelOnly="1" outline="0" axis="axisValues" fieldPosition="0"/>
    </format>
  </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 Data!$A:$N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483C94-073F-4F5F-81CA-75C63E0501C1}" name="PivotTable9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Coupon Codes">
  <location ref="I3:J8" firstHeaderRow="1" firstDataRow="1" firstDataCol="1"/>
  <pivotFields count="2">
    <pivotField dataField="1" subtotalTop="0" showAll="0" defaultSubtotal="0"/>
    <pivotField axis="axisRow" allDrilled="1" subtotalTop="0" showAll="0" sortType="descending" defaultSubtotal="0" defaultAttributeDrillState="1">
      <items count="4">
        <item s="1" x="0"/>
        <item s="1" x="1"/>
        <item s="1" x="2"/>
        <item s="1"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5">
    <i>
      <x/>
    </i>
    <i>
      <x v="1"/>
    </i>
    <i>
      <x v="3"/>
    </i>
    <i>
      <x v="2"/>
    </i>
    <i t="grand">
      <x/>
    </i>
  </rowItems>
  <colItems count="1">
    <i/>
  </colItems>
  <dataFields count="1">
    <dataField name="Count" fld="0" subtotal="count" baseField="0" baseItem="0"/>
  </dataFields>
  <formats count="6">
    <format dxfId="19">
      <pivotArea type="all" dataOnly="0" outline="0" fieldPosition="0"/>
    </format>
    <format dxfId="20">
      <pivotArea outline="0" collapsedLevelsAreSubtotals="1" fieldPosition="0"/>
    </format>
    <format dxfId="21">
      <pivotArea field="1" type="button" dataOnly="0" labelOnly="1" outline="0" axis="axisRow" fieldPosition="0"/>
    </format>
    <format dxfId="22">
      <pivotArea dataOnly="0" labelOnly="1" fieldPosition="0">
        <references count="1">
          <reference field="1" count="0"/>
        </references>
      </pivotArea>
    </format>
    <format dxfId="23">
      <pivotArea dataOnly="0" labelOnly="1" grandRow="1" outline="0" fieldPosition="0"/>
    </format>
    <format dxfId="24">
      <pivotArea dataOnly="0" labelOnly="1" outline="0" axis="axisValues" fieldPosition="0"/>
    </format>
  </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 Data!$A:$N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7C1A7E-D896-4E7C-ABCC-3214C87ADD07}" name="Montly Revenuve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Month">
  <location ref="L3:M7" firstHeaderRow="1" firstDataRow="1" firstDataCol="1"/>
  <pivotFields count="4">
    <pivotField axis="axisRow" allDrilled="1" subtotalTop="0" showAll="0" dataSourceSort="1" defaultSubtotal="0" defaultAttributeDrillState="1">
      <items count="6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</items>
    </pivotField>
    <pivotField dataField="1" subtotalTop="0" showAll="0" defaultSubtotal="0"/>
    <pivotField axis="axisRow" allDrilled="1" subtotalTop="0" showAll="0" dataSourceSort="1" defaultSubtotal="0">
      <items count="6">
        <item x="0" e="0"/>
        <item x="1" e="0"/>
        <item x="2" e="0"/>
        <item x="3" e="0"/>
        <item x="4" e="0"/>
        <item x="5" e="0"/>
      </items>
    </pivotField>
    <pivotField axis="axisRow" allDrilled="1" subtotalTop="0" showAll="0" dataSourceSort="1" defaultSubtotal="0" defaultAttributeDrillState="1">
      <items count="3">
        <item x="0" e="0"/>
        <item x="1" e="0"/>
        <item x="2" e="0"/>
      </items>
    </pivotField>
  </pivotFields>
  <rowFields count="3">
    <field x="3"/>
    <field x="2"/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Revenue" fld="1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Revenue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14"/>
    <rowHierarchyUsage hierarchyUsage="16"/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 Data!$A:$N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65374-790A-4F13-8591-3080B303E204}">
  <dimension ref="A3:E20"/>
  <sheetViews>
    <sheetView workbookViewId="0">
      <selection activeCell="C23" sqref="C23"/>
    </sheetView>
  </sheetViews>
  <sheetFormatPr defaultRowHeight="15" x14ac:dyDescent="0.25"/>
  <cols>
    <col min="1" max="1" width="14.28515625" customWidth="1"/>
    <col min="2" max="2" width="27.5703125" customWidth="1"/>
    <col min="3" max="3" width="28.140625" customWidth="1"/>
    <col min="4" max="4" width="18.140625" customWidth="1"/>
    <col min="5" max="5" width="12.140625" bestFit="1" customWidth="1"/>
  </cols>
  <sheetData>
    <row r="3" spans="1:5" x14ac:dyDescent="0.25">
      <c r="A3" s="4" t="s">
        <v>23</v>
      </c>
      <c r="B3" s="4" t="s">
        <v>22</v>
      </c>
      <c r="C3" s="4" t="s">
        <v>21</v>
      </c>
      <c r="D3" s="4" t="s">
        <v>20</v>
      </c>
      <c r="E3" s="4" t="s">
        <v>19</v>
      </c>
    </row>
    <row r="4" spans="1:5" x14ac:dyDescent="0.25">
      <c r="A4" s="4" t="s">
        <v>18</v>
      </c>
      <c r="B4" s="2">
        <f>COUNTA('[1]Sales Data'!E2:E1201)</f>
        <v>1200</v>
      </c>
      <c r="C4" s="2">
        <f>COUNTA('[1]Sales Data'!F2:F1201)</f>
        <v>1200</v>
      </c>
      <c r="D4" s="2">
        <f>COUNTA('[1]Sales Data'!N2:N12001)</f>
        <v>2400</v>
      </c>
      <c r="E4" s="2">
        <f>COUNTA('[1]Sales Data'!K2:K12001)</f>
        <v>2400</v>
      </c>
    </row>
    <row r="5" spans="1:5" x14ac:dyDescent="0.25">
      <c r="A5" s="4" t="s">
        <v>17</v>
      </c>
      <c r="B5" s="2">
        <f>AVERAGE('[1]Sales Data'!E2:E1201)</f>
        <v>2.9458333333333333</v>
      </c>
      <c r="C5" s="2">
        <f>AVERAGE('[1]Sales Data'!F2:F1201)</f>
        <v>356.41275000000007</v>
      </c>
      <c r="D5" s="2">
        <f>AVERAGE('[1]Sales Data'!N2:N1201)</f>
        <v>1053.9683000000005</v>
      </c>
      <c r="E5" s="2">
        <f>AVERAGE('[1]Sales Data'!K2:K1201)</f>
        <v>5.4850000000000003</v>
      </c>
    </row>
    <row r="6" spans="1:5" x14ac:dyDescent="0.25">
      <c r="A6" s="4" t="s">
        <v>16</v>
      </c>
      <c r="B6" s="2">
        <f>MEDIAN('[1]Sales Data'!E2:E1201)</f>
        <v>3</v>
      </c>
      <c r="C6" s="2">
        <f>MEDIAN('[1]Sales Data'!F2:F1201)</f>
        <v>364.21</v>
      </c>
      <c r="D6" s="2">
        <f>MEDIAN('[1]Sales Data'!N2:N1201)</f>
        <v>823.61500000000001</v>
      </c>
      <c r="E6" s="2">
        <f>MEDIAN('[1]Sales Data'!K2:K1201)</f>
        <v>5</v>
      </c>
    </row>
    <row r="7" spans="1:5" x14ac:dyDescent="0.25">
      <c r="A7" s="4" t="s">
        <v>15</v>
      </c>
      <c r="B7" s="2">
        <f>MIN('[1]Sales Data'!E2:E1201)</f>
        <v>1</v>
      </c>
      <c r="C7" s="2">
        <f>MIN('[1]Sales Data'!F2:F1201)</f>
        <v>11.39</v>
      </c>
      <c r="D7" s="2">
        <f>MIN('[1]Sales Data'!N2:N1201)</f>
        <v>11.39</v>
      </c>
      <c r="E7" s="5">
        <f>MIN('[1]Sales Data'!K2:K1201)</f>
        <v>1</v>
      </c>
    </row>
    <row r="8" spans="1:5" x14ac:dyDescent="0.25">
      <c r="A8" s="4" t="s">
        <v>14</v>
      </c>
      <c r="B8" s="2">
        <f>MAX('[1]Sales Data'!E2:E1201)</f>
        <v>5</v>
      </c>
      <c r="C8" s="2">
        <f>MAX('[1]Sales Data'!F2:F1201)</f>
        <v>699.93</v>
      </c>
      <c r="D8" s="2">
        <f>MAX('[1]Sales Data'!N2:N1201)</f>
        <v>3456.3999999999996</v>
      </c>
      <c r="E8" s="2">
        <f>MAX('[1]Sales Data'!K2:K1201)</f>
        <v>10</v>
      </c>
    </row>
    <row r="9" spans="1:5" x14ac:dyDescent="0.25">
      <c r="A9" s="4" t="s">
        <v>13</v>
      </c>
      <c r="B9" s="2">
        <f>_xlfn.VAR.S('[1]Sales Data'!E2:E1201)</f>
        <v>1.9812169863775364</v>
      </c>
      <c r="C9" s="2">
        <f>_xlfn.VAR.S('[1]Sales Data'!F2:F1201)</f>
        <v>38878.827068327788</v>
      </c>
      <c r="D9" s="2">
        <f>_xlfn.VAR.S('[1]Sales Data'!N2:N1201)</f>
        <v>672164.77629352151</v>
      </c>
      <c r="E9" s="2">
        <f>_xlfn.VAR.S('[1]Sales Data'!K2:K1201)</f>
        <v>5.2074478732276921</v>
      </c>
    </row>
    <row r="10" spans="1:5" x14ac:dyDescent="0.25">
      <c r="A10" s="4" t="s">
        <v>12</v>
      </c>
      <c r="B10" s="2">
        <f>_xlfn.STDEV.S('[1]Sales Data'!E2:E1201)</f>
        <v>1.4075570987983175</v>
      </c>
      <c r="C10" s="2">
        <f>_xlfn.STDEV.S('[1]Sales Data'!F2:F1201)</f>
        <v>197.17714641491236</v>
      </c>
      <c r="D10" s="2">
        <f>_xlfn.STDEV.S('[1]Sales Data'!N2:N1201)</f>
        <v>819.85655836464559</v>
      </c>
      <c r="E10" s="2">
        <f>_xlfn.STDEV.S('[1]Sales Data'!K2:K1201)</f>
        <v>2.2819833201028645</v>
      </c>
    </row>
    <row r="11" spans="1:5" x14ac:dyDescent="0.25">
      <c r="A11" s="4" t="s">
        <v>11</v>
      </c>
      <c r="B11" s="2">
        <f>QUARTILE('[1]Sales Data'!E2:E1201,1)</f>
        <v>2</v>
      </c>
      <c r="C11" s="2">
        <f>QUARTILE('[1]Sales Data'!F2:F1201,1)</f>
        <v>186.0625</v>
      </c>
      <c r="D11" s="2">
        <f>QUARTILE('[1]Sales Data'!N2:N1201,1)</f>
        <v>410.52</v>
      </c>
      <c r="E11" s="2">
        <f>QUARTILE('[1]Sales Data'!K2:K1201,1)</f>
        <v>4</v>
      </c>
    </row>
    <row r="12" spans="1:5" x14ac:dyDescent="0.25">
      <c r="A12" s="4" t="s">
        <v>10</v>
      </c>
      <c r="B12" s="2">
        <f>QUARTILE('[1]Sales Data'!E2:E1201,3)</f>
        <v>4</v>
      </c>
      <c r="C12" s="2">
        <f>QUARTILE('[1]Sales Data'!F2:F1201,3)</f>
        <v>521.56999999999994</v>
      </c>
      <c r="D12" s="2">
        <f>QUARTILE('[1]Sales Data'!N2:N1201,3)</f>
        <v>1578.4749999999999</v>
      </c>
      <c r="E12" s="2">
        <f>QUARTILE('[1]Sales Data'!K2:K1201,3)</f>
        <v>7</v>
      </c>
    </row>
    <row r="13" spans="1:5" x14ac:dyDescent="0.25">
      <c r="A13" s="4" t="s">
        <v>9</v>
      </c>
      <c r="B13" s="2"/>
      <c r="C13" s="2"/>
      <c r="D13" s="2">
        <f>D12-D11</f>
        <v>1167.9549999999999</v>
      </c>
      <c r="E13" s="2"/>
    </row>
    <row r="14" spans="1:5" x14ac:dyDescent="0.25">
      <c r="A14" s="4" t="s">
        <v>8</v>
      </c>
      <c r="B14" s="2"/>
      <c r="C14" s="2"/>
      <c r="D14" s="2">
        <f>D11-1.5*D13</f>
        <v>-1341.4124999999999</v>
      </c>
      <c r="E14" s="2"/>
    </row>
    <row r="15" spans="1:5" x14ac:dyDescent="0.25">
      <c r="A15" s="4" t="s">
        <v>7</v>
      </c>
      <c r="B15" s="2"/>
      <c r="C15" s="2"/>
      <c r="D15" s="2">
        <f>D12+1.5*D13</f>
        <v>3330.4074999999998</v>
      </c>
      <c r="E15" s="2"/>
    </row>
    <row r="18" spans="2:4" x14ac:dyDescent="0.25">
      <c r="B18" s="3" t="s">
        <v>6</v>
      </c>
      <c r="C18" s="4" t="s">
        <v>5</v>
      </c>
      <c r="D18" s="3" t="s">
        <v>4</v>
      </c>
    </row>
    <row r="19" spans="2:4" x14ac:dyDescent="0.25">
      <c r="B19" s="1" t="s">
        <v>3</v>
      </c>
      <c r="C19" s="2">
        <f>CORREL('[1]Sales Data'!E2:E1201,'[1]Sales Data'!N2:N1201)</f>
        <v>0.6152513633467066</v>
      </c>
      <c r="D19" s="1" t="s">
        <v>2</v>
      </c>
    </row>
    <row r="20" spans="2:4" x14ac:dyDescent="0.25">
      <c r="B20" s="1" t="s">
        <v>1</v>
      </c>
      <c r="C20" s="2">
        <f>CORREL('[1]Sales Data'!F2:F1201,'[1]Sales Data'!N2:N1201)</f>
        <v>0.71708108926378089</v>
      </c>
      <c r="D20" s="1" t="s">
        <v>0</v>
      </c>
    </row>
  </sheetData>
  <pageMargins left="0.7" right="0.7" top="0.75" bottom="0.75" header="0.3" footer="0.3"/>
  <ignoredErrors>
    <ignoredError sqref="B4:E12 C19:C20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31371-279A-428E-A32E-FD76287A34D2}">
  <dimension ref="A1:ZF732"/>
  <sheetViews>
    <sheetView workbookViewId="0">
      <selection activeCell="L6" sqref="L6"/>
    </sheetView>
  </sheetViews>
  <sheetFormatPr defaultRowHeight="15.75" x14ac:dyDescent="0.25"/>
  <cols>
    <col min="1" max="1" width="20.7109375" style="6" bestFit="1" customWidth="1"/>
    <col min="2" max="2" width="15.42578125" style="6" bestFit="1" customWidth="1"/>
    <col min="3" max="4" width="9.140625" style="6"/>
    <col min="5" max="5" width="18.85546875" style="6" bestFit="1" customWidth="1"/>
    <col min="6" max="6" width="7" style="6" bestFit="1" customWidth="1"/>
    <col min="7" max="8" width="9.140625" style="6"/>
    <col min="9" max="9" width="17.42578125" style="6" bestFit="1" customWidth="1"/>
    <col min="10" max="10" width="11.5703125" style="6" bestFit="1" customWidth="1"/>
    <col min="11" max="11" width="12" style="6" bestFit="1" customWidth="1"/>
    <col min="12" max="12" width="11.28515625" style="6" bestFit="1" customWidth="1"/>
    <col min="13" max="13" width="11" style="6" bestFit="1" customWidth="1"/>
    <col min="14" max="17" width="12" style="6" bestFit="1" customWidth="1"/>
    <col min="18" max="18" width="13" style="6" bestFit="1" customWidth="1"/>
    <col min="19" max="19" width="12.5703125" style="6" bestFit="1" customWidth="1"/>
    <col min="20" max="24" width="13" style="6" bestFit="1" customWidth="1"/>
    <col min="25" max="32" width="13.42578125" style="6" bestFit="1" customWidth="1"/>
    <col min="33" max="33" width="13" style="6" bestFit="1" customWidth="1"/>
    <col min="34" max="39" width="12.5703125" style="6" bestFit="1" customWidth="1"/>
    <col min="40" max="40" width="13.42578125" style="6" bestFit="1" customWidth="1"/>
    <col min="41" max="41" width="13" style="6" bestFit="1" customWidth="1"/>
    <col min="42" max="46" width="13.42578125" style="6" bestFit="1" customWidth="1"/>
    <col min="47" max="47" width="14" style="6" bestFit="1" customWidth="1"/>
    <col min="48" max="48" width="13.42578125" style="6" bestFit="1" customWidth="1"/>
    <col min="49" max="53" width="14" style="6" bestFit="1" customWidth="1"/>
    <col min="54" max="58" width="12.5703125" style="6" bestFit="1" customWidth="1"/>
    <col min="59" max="65" width="13.42578125" style="6" bestFit="1" customWidth="1"/>
    <col min="66" max="66" width="14" style="6" bestFit="1" customWidth="1"/>
    <col min="67" max="67" width="13.42578125" style="6" bestFit="1" customWidth="1"/>
    <col min="68" max="74" width="14" style="6" bestFit="1" customWidth="1"/>
    <col min="75" max="75" width="13.42578125" style="6" bestFit="1" customWidth="1"/>
    <col min="76" max="76" width="12" style="6" bestFit="1" customWidth="1"/>
    <col min="77" max="81" width="12.5703125" style="6" bestFit="1" customWidth="1"/>
    <col min="82" max="82" width="13.42578125" style="6" bestFit="1" customWidth="1"/>
    <col min="83" max="83" width="13" style="6" bestFit="1" customWidth="1"/>
    <col min="84" max="87" width="13.42578125" style="6" bestFit="1" customWidth="1"/>
    <col min="88" max="88" width="14" style="6" bestFit="1" customWidth="1"/>
    <col min="89" max="89" width="13.42578125" style="6" bestFit="1" customWidth="1"/>
    <col min="90" max="94" width="14" style="6" bestFit="1" customWidth="1"/>
    <col min="95" max="95" width="12" style="6" bestFit="1" customWidth="1"/>
    <col min="96" max="102" width="12.5703125" style="6" bestFit="1" customWidth="1"/>
    <col min="103" max="103" width="13" style="6" bestFit="1" customWidth="1"/>
    <col min="104" max="110" width="13.42578125" style="6" bestFit="1" customWidth="1"/>
    <col min="111" max="111" width="14" style="6" bestFit="1" customWidth="1"/>
    <col min="112" max="112" width="13.42578125" style="6" bestFit="1" customWidth="1"/>
    <col min="113" max="118" width="14" style="6" bestFit="1" customWidth="1"/>
    <col min="119" max="119" width="13.42578125" style="6" bestFit="1" customWidth="1"/>
    <col min="120" max="120" width="12" style="6" bestFit="1" customWidth="1"/>
    <col min="121" max="128" width="12.5703125" style="6" bestFit="1" customWidth="1"/>
    <col min="129" max="129" width="13" style="6" bestFit="1" customWidth="1"/>
    <col min="130" max="135" width="13.42578125" style="6" bestFit="1" customWidth="1"/>
    <col min="136" max="136" width="14" style="6" bestFit="1" customWidth="1"/>
    <col min="137" max="137" width="13.42578125" style="6" bestFit="1" customWidth="1"/>
    <col min="138" max="144" width="14" style="6" bestFit="1" customWidth="1"/>
    <col min="145" max="145" width="12" style="6" bestFit="1" customWidth="1"/>
    <col min="146" max="151" width="12.5703125" style="6" bestFit="1" customWidth="1"/>
    <col min="152" max="152" width="13.42578125" style="6" bestFit="1" customWidth="1"/>
    <col min="153" max="153" width="13" style="6" bestFit="1" customWidth="1"/>
    <col min="154" max="159" width="13.42578125" style="6" bestFit="1" customWidth="1"/>
    <col min="160" max="160" width="14" style="6" bestFit="1" customWidth="1"/>
    <col min="161" max="161" width="13.42578125" style="6" bestFit="1" customWidth="1"/>
    <col min="162" max="167" width="14" style="6" bestFit="1" customWidth="1"/>
    <col min="168" max="168" width="13.42578125" style="6" bestFit="1" customWidth="1"/>
    <col min="169" max="169" width="12" style="6" bestFit="1" customWidth="1"/>
    <col min="170" max="176" width="12.5703125" style="6" bestFit="1" customWidth="1"/>
    <col min="177" max="177" width="13.42578125" style="6" bestFit="1" customWidth="1"/>
    <col min="178" max="178" width="13" style="6" bestFit="1" customWidth="1"/>
    <col min="179" max="181" width="13.42578125" style="6" bestFit="1" customWidth="1"/>
    <col min="182" max="182" width="14" style="6" bestFit="1" customWidth="1"/>
    <col min="183" max="183" width="13.42578125" style="6" bestFit="1" customWidth="1"/>
    <col min="184" max="191" width="14" style="6" bestFit="1" customWidth="1"/>
    <col min="192" max="192" width="13.42578125" style="6" bestFit="1" customWidth="1"/>
    <col min="193" max="193" width="12" style="6" bestFit="1" customWidth="1"/>
    <col min="194" max="199" width="12.5703125" style="6" bestFit="1" customWidth="1"/>
    <col min="200" max="200" width="13.42578125" style="6" bestFit="1" customWidth="1"/>
    <col min="201" max="201" width="13" style="6" bestFit="1" customWidth="1"/>
    <col min="202" max="206" width="13.42578125" style="6" bestFit="1" customWidth="1"/>
    <col min="207" max="213" width="14" style="6" bestFit="1" customWidth="1"/>
    <col min="214" max="221" width="13.42578125" style="6" bestFit="1" customWidth="1"/>
    <col min="222" max="227" width="14.42578125" style="6" bestFit="1" customWidth="1"/>
    <col min="228" max="235" width="14.85546875" style="6" bestFit="1" customWidth="1"/>
    <col min="236" max="236" width="14.42578125" style="6" bestFit="1" customWidth="1"/>
    <col min="237" max="241" width="13" style="6" bestFit="1" customWidth="1"/>
    <col min="242" max="242" width="13.42578125" style="6" bestFit="1" customWidth="1"/>
    <col min="243" max="249" width="14" style="6" bestFit="1" customWidth="1"/>
    <col min="250" max="256" width="14.42578125" style="6" bestFit="1" customWidth="1"/>
    <col min="257" max="257" width="13" style="6" bestFit="1" customWidth="1"/>
    <col min="258" max="264" width="13.42578125" style="6" bestFit="1" customWidth="1"/>
    <col min="265" max="265" width="14.42578125" style="6" bestFit="1" customWidth="1"/>
    <col min="266" max="266" width="14" style="6" bestFit="1" customWidth="1"/>
    <col min="267" max="273" width="14.42578125" style="6" bestFit="1" customWidth="1"/>
    <col min="274" max="274" width="14.85546875" style="6" bestFit="1" customWidth="1"/>
    <col min="275" max="275" width="14.42578125" style="6" bestFit="1" customWidth="1"/>
    <col min="276" max="283" width="14.85546875" style="6" bestFit="1" customWidth="1"/>
    <col min="284" max="284" width="11.5703125" style="6" bestFit="1" customWidth="1"/>
    <col min="285" max="289" width="12" style="6" bestFit="1" customWidth="1"/>
    <col min="290" max="297" width="13" style="6" bestFit="1" customWidth="1"/>
    <col min="298" max="298" width="13.42578125" style="6" bestFit="1" customWidth="1"/>
    <col min="299" max="299" width="13" style="6" bestFit="1" customWidth="1"/>
    <col min="300" max="305" width="13.42578125" style="6" bestFit="1" customWidth="1"/>
    <col min="306" max="306" width="12" style="6" bestFit="1" customWidth="1"/>
    <col min="307" max="311" width="12.5703125" style="6" bestFit="1" customWidth="1"/>
    <col min="312" max="312" width="13.42578125" style="6" bestFit="1" customWidth="1"/>
    <col min="313" max="313" width="13" style="6" bestFit="1" customWidth="1"/>
    <col min="314" max="318" width="13.42578125" style="6" bestFit="1" customWidth="1"/>
    <col min="319" max="326" width="14" style="6" bestFit="1" customWidth="1"/>
    <col min="327" max="327" width="12" style="6" bestFit="1" customWidth="1"/>
    <col min="328" max="333" width="12.5703125" style="6" bestFit="1" customWidth="1"/>
    <col min="334" max="334" width="13.42578125" style="6" bestFit="1" customWidth="1"/>
    <col min="335" max="335" width="13" style="6" bestFit="1" customWidth="1"/>
    <col min="336" max="341" width="13.42578125" style="6" bestFit="1" customWidth="1"/>
    <col min="342" max="347" width="14" style="6" bestFit="1" customWidth="1"/>
    <col min="348" max="348" width="13.42578125" style="6" bestFit="1" customWidth="1"/>
    <col min="349" max="353" width="12.5703125" style="6" bestFit="1" customWidth="1"/>
    <col min="354" max="354" width="13.42578125" style="6" bestFit="1" customWidth="1"/>
    <col min="355" max="355" width="13" style="6" bestFit="1" customWidth="1"/>
    <col min="356" max="360" width="13.42578125" style="6" bestFit="1" customWidth="1"/>
    <col min="361" max="361" width="14" style="6" bestFit="1" customWidth="1"/>
    <col min="362" max="362" width="13.42578125" style="6" bestFit="1" customWidth="1"/>
    <col min="363" max="370" width="14" style="6" bestFit="1" customWidth="1"/>
    <col min="371" max="374" width="12.5703125" style="6" bestFit="1" customWidth="1"/>
    <col min="375" max="381" width="13.42578125" style="6" bestFit="1" customWidth="1"/>
    <col min="382" max="382" width="14" style="6" bestFit="1" customWidth="1"/>
    <col min="383" max="383" width="13.42578125" style="6" bestFit="1" customWidth="1"/>
    <col min="384" max="387" width="14" style="6" bestFit="1" customWidth="1"/>
    <col min="388" max="388" width="13.42578125" style="6" bestFit="1" customWidth="1"/>
    <col min="389" max="389" width="12" style="6" bestFit="1" customWidth="1"/>
    <col min="390" max="397" width="12.5703125" style="6" bestFit="1" customWidth="1"/>
    <col min="398" max="398" width="13.42578125" style="6" bestFit="1" customWidth="1"/>
    <col min="399" max="399" width="13" style="6" bestFit="1" customWidth="1"/>
    <col min="400" max="405" width="13.42578125" style="6" bestFit="1" customWidth="1"/>
    <col min="406" max="406" width="14" style="6" bestFit="1" customWidth="1"/>
    <col min="407" max="407" width="13.42578125" style="6" bestFit="1" customWidth="1"/>
    <col min="408" max="415" width="14" style="6" bestFit="1" customWidth="1"/>
    <col min="416" max="416" width="12" style="6" bestFit="1" customWidth="1"/>
    <col min="417" max="422" width="12.5703125" style="6" bestFit="1" customWidth="1"/>
    <col min="423" max="428" width="13.42578125" style="6" bestFit="1" customWidth="1"/>
    <col min="429" max="438" width="14" style="6" bestFit="1" customWidth="1"/>
    <col min="439" max="441" width="12.5703125" style="6" bestFit="1" customWidth="1"/>
    <col min="442" max="442" width="13" style="6" bestFit="1" customWidth="1"/>
    <col min="443" max="446" width="13.42578125" style="6" bestFit="1" customWidth="1"/>
    <col min="447" max="454" width="14" style="6" bestFit="1" customWidth="1"/>
    <col min="455" max="455" width="13.42578125" style="6" bestFit="1" customWidth="1"/>
    <col min="456" max="462" width="12.5703125" style="6" bestFit="1" customWidth="1"/>
    <col min="463" max="463" width="13.42578125" style="6" bestFit="1" customWidth="1"/>
    <col min="464" max="464" width="13" style="6" bestFit="1" customWidth="1"/>
    <col min="465" max="469" width="13.42578125" style="6" bestFit="1" customWidth="1"/>
    <col min="470" max="470" width="14" style="6" bestFit="1" customWidth="1"/>
    <col min="471" max="471" width="13.42578125" style="6" bestFit="1" customWidth="1"/>
    <col min="472" max="479" width="14" style="6" bestFit="1" customWidth="1"/>
    <col min="480" max="484" width="13.42578125" style="6" bestFit="1" customWidth="1"/>
    <col min="485" max="485" width="14.42578125" style="6" bestFit="1" customWidth="1"/>
    <col min="486" max="486" width="14" style="6" bestFit="1" customWidth="1"/>
    <col min="487" max="492" width="14.42578125" style="6" bestFit="1" customWidth="1"/>
    <col min="493" max="498" width="14.85546875" style="6" bestFit="1" customWidth="1"/>
    <col min="499" max="499" width="12.5703125" style="6" bestFit="1" customWidth="1"/>
    <col min="500" max="503" width="13" style="6" bestFit="1" customWidth="1"/>
    <col min="504" max="504" width="14" style="6" bestFit="1" customWidth="1"/>
    <col min="505" max="505" width="13.42578125" style="6" bestFit="1" customWidth="1"/>
    <col min="506" max="509" width="14" style="6" bestFit="1" customWidth="1"/>
    <col min="510" max="517" width="14.42578125" style="6" bestFit="1" customWidth="1"/>
    <col min="518" max="524" width="13.42578125" style="6" bestFit="1" customWidth="1"/>
    <col min="525" max="525" width="14.42578125" style="6" bestFit="1" customWidth="1"/>
    <col min="526" max="526" width="14" style="6" bestFit="1" customWidth="1"/>
    <col min="527" max="532" width="14.42578125" style="6" bestFit="1" customWidth="1"/>
    <col min="533" max="541" width="14.85546875" style="6" bestFit="1" customWidth="1"/>
    <col min="542" max="545" width="12" style="6" bestFit="1" customWidth="1"/>
    <col min="546" max="546" width="13" style="6" bestFit="1" customWidth="1"/>
    <col min="547" max="547" width="12.5703125" style="6" bestFit="1" customWidth="1"/>
    <col min="548" max="550" width="13" style="6" bestFit="1" customWidth="1"/>
    <col min="551" max="551" width="13.42578125" style="6" bestFit="1" customWidth="1"/>
    <col min="552" max="552" width="13" style="6" bestFit="1" customWidth="1"/>
    <col min="553" max="561" width="13.42578125" style="6" bestFit="1" customWidth="1"/>
    <col min="562" max="568" width="12.5703125" style="6" bestFit="1" customWidth="1"/>
    <col min="569" max="575" width="13.42578125" style="6" bestFit="1" customWidth="1"/>
    <col min="576" max="581" width="14" style="6" bestFit="1" customWidth="1"/>
    <col min="582" max="582" width="12" style="6" bestFit="1" customWidth="1"/>
    <col min="583" max="589" width="12.5703125" style="6" bestFit="1" customWidth="1"/>
    <col min="590" max="590" width="13.42578125" style="6" bestFit="1" customWidth="1"/>
    <col min="591" max="591" width="13" style="6" bestFit="1" customWidth="1"/>
    <col min="592" max="598" width="13.42578125" style="6" bestFit="1" customWidth="1"/>
    <col min="599" max="605" width="14" style="6" bestFit="1" customWidth="1"/>
    <col min="606" max="606" width="13.42578125" style="6" bestFit="1" customWidth="1"/>
    <col min="607" max="607" width="12" style="6" bestFit="1" customWidth="1"/>
    <col min="608" max="614" width="12.5703125" style="6" bestFit="1" customWidth="1"/>
    <col min="615" max="615" width="13" style="6" bestFit="1" customWidth="1"/>
    <col min="616" max="622" width="13.42578125" style="6" bestFit="1" customWidth="1"/>
    <col min="623" max="623" width="14" style="6" bestFit="1" customWidth="1"/>
    <col min="624" max="624" width="13.42578125" style="6" bestFit="1" customWidth="1"/>
    <col min="625" max="632" width="14" style="6" bestFit="1" customWidth="1"/>
    <col min="633" max="639" width="12.5703125" style="6" bestFit="1" customWidth="1"/>
    <col min="640" max="648" width="13.42578125" style="6" bestFit="1" customWidth="1"/>
    <col min="649" max="654" width="14" style="6" bestFit="1" customWidth="1"/>
    <col min="655" max="655" width="13.42578125" style="6" bestFit="1" customWidth="1"/>
    <col min="656" max="656" width="12" style="6" bestFit="1" customWidth="1"/>
    <col min="657" max="662" width="12.5703125" style="6" bestFit="1" customWidth="1"/>
    <col min="663" max="663" width="13.42578125" style="6" bestFit="1" customWidth="1"/>
    <col min="664" max="664" width="13" style="6" bestFit="1" customWidth="1"/>
    <col min="665" max="671" width="13.42578125" style="6" bestFit="1" customWidth="1"/>
    <col min="672" max="672" width="14" style="6" bestFit="1" customWidth="1"/>
    <col min="673" max="673" width="13.42578125" style="6" bestFit="1" customWidth="1"/>
    <col min="674" max="680" width="14" style="6" bestFit="1" customWidth="1"/>
    <col min="681" max="681" width="16.5703125" style="6" bestFit="1" customWidth="1"/>
    <col min="682" max="682" width="11.28515625" style="6" bestFit="1" customWidth="1"/>
    <col min="683" max="16384" width="9.140625" style="6"/>
  </cols>
  <sheetData>
    <row r="1" spans="1:682" x14ac:dyDescent="0.25">
      <c r="E1"/>
      <c r="F1"/>
    </row>
    <row r="3" spans="1:682" x14ac:dyDescent="0.25">
      <c r="A3" s="14" t="s">
        <v>62</v>
      </c>
      <c r="B3" s="6" t="s">
        <v>61</v>
      </c>
      <c r="E3" s="10" t="s">
        <v>60</v>
      </c>
      <c r="F3" s="8" t="s">
        <v>36</v>
      </c>
      <c r="G3"/>
      <c r="I3" s="10" t="s">
        <v>59</v>
      </c>
      <c r="J3" s="8" t="s">
        <v>36</v>
      </c>
      <c r="L3" s="13" t="s">
        <v>58</v>
      </c>
      <c r="M3" t="s">
        <v>57</v>
      </c>
    </row>
    <row r="4" spans="1:682" x14ac:dyDescent="0.25">
      <c r="A4" s="12" t="s">
        <v>56</v>
      </c>
      <c r="B4" s="11">
        <v>195620.11000000002</v>
      </c>
      <c r="E4" s="9" t="s">
        <v>55</v>
      </c>
      <c r="F4" s="8">
        <v>250</v>
      </c>
      <c r="G4"/>
      <c r="I4" s="9" t="s">
        <v>54</v>
      </c>
      <c r="J4" s="8">
        <v>313</v>
      </c>
      <c r="L4" s="7" t="s">
        <v>53</v>
      </c>
      <c r="M4" s="15">
        <v>552643.23999999976</v>
      </c>
    </row>
    <row r="5" spans="1:682" x14ac:dyDescent="0.25">
      <c r="A5" s="12" t="s">
        <v>52</v>
      </c>
      <c r="B5" s="11">
        <v>167459.93</v>
      </c>
      <c r="E5" s="9" t="s">
        <v>51</v>
      </c>
      <c r="F5" s="8">
        <v>247</v>
      </c>
      <c r="G5"/>
      <c r="I5" s="9" t="s">
        <v>50</v>
      </c>
      <c r="J5" s="8">
        <v>309</v>
      </c>
      <c r="L5" s="7" t="s">
        <v>30</v>
      </c>
      <c r="M5" s="15">
        <v>480235.87000000034</v>
      </c>
    </row>
    <row r="6" spans="1:682" x14ac:dyDescent="0.25">
      <c r="A6" s="12" t="s">
        <v>49</v>
      </c>
      <c r="B6" s="11">
        <v>192126.55999999994</v>
      </c>
      <c r="E6" s="9" t="s">
        <v>48</v>
      </c>
      <c r="F6" s="8">
        <v>237</v>
      </c>
      <c r="G6"/>
      <c r="I6" s="9" t="s">
        <v>47</v>
      </c>
      <c r="J6" s="8">
        <v>292</v>
      </c>
      <c r="L6" s="7" t="s">
        <v>25</v>
      </c>
      <c r="M6" s="15">
        <v>231882.85000000006</v>
      </c>
    </row>
    <row r="7" spans="1:682" x14ac:dyDescent="0.25">
      <c r="A7" s="12" t="s">
        <v>46</v>
      </c>
      <c r="B7" s="11">
        <v>175651.40999999997</v>
      </c>
      <c r="E7" s="9" t="s">
        <v>45</v>
      </c>
      <c r="F7" s="8">
        <v>235</v>
      </c>
      <c r="G7"/>
      <c r="I7" s="9" t="s">
        <v>44</v>
      </c>
      <c r="J7" s="8">
        <v>286</v>
      </c>
      <c r="L7" s="7" t="s">
        <v>24</v>
      </c>
      <c r="M7" s="15">
        <v>1264761.9600000004</v>
      </c>
    </row>
    <row r="8" spans="1:682" x14ac:dyDescent="0.25">
      <c r="A8" s="12" t="s">
        <v>43</v>
      </c>
      <c r="B8" s="11">
        <v>151722.39000000001</v>
      </c>
      <c r="E8" s="9" t="s">
        <v>42</v>
      </c>
      <c r="F8" s="8">
        <v>231</v>
      </c>
      <c r="G8"/>
      <c r="I8" s="9" t="s">
        <v>24</v>
      </c>
      <c r="J8" s="8">
        <v>1200</v>
      </c>
      <c r="L8"/>
      <c r="M8"/>
    </row>
    <row r="9" spans="1:682" x14ac:dyDescent="0.25">
      <c r="A9" s="12" t="s">
        <v>41</v>
      </c>
      <c r="B9" s="11">
        <v>195612.60999999996</v>
      </c>
      <c r="E9" s="9" t="s">
        <v>24</v>
      </c>
      <c r="F9" s="8">
        <v>1200</v>
      </c>
      <c r="G9"/>
      <c r="K9"/>
      <c r="L9"/>
      <c r="M9"/>
    </row>
    <row r="10" spans="1:682" x14ac:dyDescent="0.25">
      <c r="A10" s="12" t="s">
        <v>40</v>
      </c>
      <c r="B10" s="11">
        <v>186568.95000000007</v>
      </c>
      <c r="E10"/>
      <c r="F10"/>
      <c r="G10"/>
      <c r="K10"/>
      <c r="L10"/>
      <c r="M10"/>
    </row>
    <row r="11" spans="1:682" ht="15.75" customHeight="1" x14ac:dyDescent="0.25">
      <c r="A11" s="12" t="s">
        <v>24</v>
      </c>
      <c r="B11" s="11">
        <v>1264761.9600000004</v>
      </c>
      <c r="E11"/>
      <c r="F11"/>
      <c r="G11"/>
      <c r="K11"/>
      <c r="L11"/>
      <c r="M11"/>
    </row>
    <row r="12" spans="1:682" x14ac:dyDescent="0.25">
      <c r="E12"/>
      <c r="F12"/>
      <c r="G12"/>
      <c r="K12"/>
      <c r="L12"/>
      <c r="M12"/>
    </row>
    <row r="13" spans="1:682" x14ac:dyDescent="0.25">
      <c r="E13" s="10" t="s">
        <v>39</v>
      </c>
      <c r="F13" s="8" t="s">
        <v>36</v>
      </c>
      <c r="G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</row>
    <row r="14" spans="1:682" x14ac:dyDescent="0.25">
      <c r="E14" s="9" t="s">
        <v>38</v>
      </c>
      <c r="F14" s="8">
        <v>250</v>
      </c>
      <c r="G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</row>
    <row r="15" spans="1:682" x14ac:dyDescent="0.25">
      <c r="A15" s="10" t="s">
        <v>37</v>
      </c>
      <c r="B15" s="8" t="s">
        <v>36</v>
      </c>
      <c r="C15"/>
      <c r="E15" s="9" t="s">
        <v>35</v>
      </c>
      <c r="F15" s="8">
        <v>228</v>
      </c>
      <c r="G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</row>
    <row r="16" spans="1:682" x14ac:dyDescent="0.25">
      <c r="A16" s="9" t="s">
        <v>34</v>
      </c>
      <c r="B16" s="8">
        <v>258</v>
      </c>
      <c r="C16"/>
      <c r="E16" s="9" t="s">
        <v>33</v>
      </c>
      <c r="F16" s="8">
        <v>241</v>
      </c>
      <c r="G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</row>
    <row r="17" spans="1:682" x14ac:dyDescent="0.25">
      <c r="A17" s="9" t="s">
        <v>32</v>
      </c>
      <c r="B17" s="8">
        <v>246</v>
      </c>
      <c r="C17"/>
      <c r="E17" s="9" t="s">
        <v>31</v>
      </c>
      <c r="F17" s="8">
        <v>259</v>
      </c>
      <c r="G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</row>
    <row r="18" spans="1:682" x14ac:dyDescent="0.25">
      <c r="A18" s="9" t="s">
        <v>29</v>
      </c>
      <c r="B18" s="8">
        <v>234</v>
      </c>
      <c r="C18"/>
      <c r="E18" s="9" t="s">
        <v>28</v>
      </c>
      <c r="F18" s="8">
        <v>222</v>
      </c>
      <c r="G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</row>
    <row r="19" spans="1:682" x14ac:dyDescent="0.25">
      <c r="A19" s="9" t="s">
        <v>27</v>
      </c>
      <c r="B19" s="8">
        <v>232</v>
      </c>
      <c r="C19"/>
      <c r="E19" s="9" t="s">
        <v>24</v>
      </c>
      <c r="F19" s="8">
        <v>1200</v>
      </c>
      <c r="G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</row>
    <row r="20" spans="1:682" x14ac:dyDescent="0.25">
      <c r="A20" s="9" t="s">
        <v>26</v>
      </c>
      <c r="B20" s="8">
        <v>230</v>
      </c>
      <c r="C20"/>
      <c r="E20"/>
      <c r="F20"/>
      <c r="G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/>
      <c r="XX20"/>
      <c r="XY20"/>
      <c r="XZ20"/>
      <c r="YA20"/>
      <c r="YB20"/>
      <c r="YC20"/>
      <c r="YD20"/>
      <c r="YE20"/>
      <c r="YF20"/>
      <c r="YG20"/>
      <c r="YH20"/>
      <c r="YI20"/>
      <c r="YJ20"/>
      <c r="YK20"/>
      <c r="YL20"/>
      <c r="YM20"/>
      <c r="YN20"/>
      <c r="YO20"/>
      <c r="YP20"/>
      <c r="YQ20"/>
      <c r="YR20"/>
      <c r="YS20"/>
      <c r="YT20"/>
      <c r="YU20"/>
      <c r="YV20"/>
      <c r="YW20"/>
      <c r="YX20"/>
      <c r="YY20"/>
      <c r="YZ20"/>
      <c r="ZA20"/>
      <c r="ZB20"/>
      <c r="ZC20"/>
      <c r="ZD20"/>
      <c r="ZE20"/>
      <c r="ZF20"/>
    </row>
    <row r="21" spans="1:682" x14ac:dyDescent="0.25">
      <c r="A21" s="9" t="s">
        <v>24</v>
      </c>
      <c r="B21" s="8">
        <v>1200</v>
      </c>
      <c r="C21"/>
      <c r="E21"/>
      <c r="F21"/>
      <c r="G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</row>
    <row r="22" spans="1:682" x14ac:dyDescent="0.25">
      <c r="A22"/>
      <c r="B22"/>
      <c r="C22"/>
      <c r="E22"/>
      <c r="F22"/>
      <c r="G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/>
      <c r="VS22"/>
      <c r="VT22"/>
      <c r="VU22"/>
      <c r="VV22"/>
      <c r="VW22"/>
      <c r="VX22"/>
      <c r="VY22"/>
      <c r="VZ22"/>
      <c r="WA22"/>
      <c r="WB22"/>
      <c r="WC22"/>
      <c r="WD22"/>
      <c r="WE22"/>
      <c r="WF22"/>
      <c r="WG22"/>
      <c r="WH22"/>
      <c r="WI22"/>
      <c r="WJ22"/>
      <c r="WK22"/>
      <c r="WL22"/>
      <c r="WM22"/>
      <c r="WN22"/>
      <c r="WO22"/>
      <c r="WP22"/>
      <c r="WQ22"/>
      <c r="WR22"/>
      <c r="WS22"/>
      <c r="WT22"/>
      <c r="WU22"/>
      <c r="WV22"/>
      <c r="WW22"/>
      <c r="WX22"/>
      <c r="WY22"/>
      <c r="WZ22"/>
      <c r="XA22"/>
      <c r="XB22"/>
      <c r="XC22"/>
      <c r="XD22"/>
      <c r="XE22"/>
      <c r="XF22"/>
      <c r="XG22"/>
      <c r="XH22"/>
      <c r="XI22"/>
      <c r="XJ22"/>
      <c r="XK22"/>
      <c r="XL22"/>
      <c r="XM22"/>
      <c r="XN22"/>
      <c r="XO22"/>
      <c r="XP22"/>
      <c r="XQ22"/>
      <c r="XR22"/>
      <c r="XS22"/>
      <c r="XT22"/>
      <c r="XU22"/>
      <c r="XV22"/>
      <c r="XW22"/>
      <c r="XX22"/>
      <c r="XY22"/>
      <c r="XZ22"/>
      <c r="YA22"/>
      <c r="YB22"/>
      <c r="YC22"/>
      <c r="YD22"/>
      <c r="YE22"/>
      <c r="YF22"/>
      <c r="YG22"/>
      <c r="YH22"/>
      <c r="YI22"/>
      <c r="YJ22"/>
      <c r="YK22"/>
      <c r="YL22"/>
      <c r="YM22"/>
      <c r="YN22"/>
      <c r="YO22"/>
      <c r="YP22"/>
      <c r="YQ22"/>
      <c r="YR22"/>
      <c r="YS22"/>
      <c r="YT22"/>
      <c r="YU22"/>
      <c r="YV22"/>
      <c r="YW22"/>
      <c r="YX22"/>
      <c r="YY22"/>
      <c r="YZ22"/>
      <c r="ZA22"/>
      <c r="ZB22"/>
      <c r="ZC22"/>
      <c r="ZD22"/>
      <c r="ZE22"/>
      <c r="ZF22"/>
    </row>
    <row r="23" spans="1:682" x14ac:dyDescent="0.25">
      <c r="A23"/>
      <c r="B23"/>
      <c r="C23"/>
      <c r="E23"/>
      <c r="F23"/>
      <c r="G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/>
      <c r="VS23"/>
      <c r="VT23"/>
      <c r="VU23"/>
      <c r="VV23"/>
      <c r="VW23"/>
      <c r="VX23"/>
      <c r="VY23"/>
      <c r="VZ23"/>
      <c r="WA23"/>
      <c r="WB23"/>
      <c r="WC23"/>
      <c r="WD23"/>
      <c r="WE23"/>
      <c r="WF23"/>
      <c r="WG23"/>
      <c r="WH23"/>
      <c r="WI23"/>
      <c r="WJ23"/>
      <c r="WK23"/>
      <c r="WL23"/>
      <c r="WM23"/>
      <c r="WN23"/>
      <c r="WO23"/>
      <c r="WP23"/>
      <c r="WQ23"/>
      <c r="WR23"/>
      <c r="WS23"/>
      <c r="WT23"/>
      <c r="WU23"/>
      <c r="WV23"/>
      <c r="WW23"/>
      <c r="WX23"/>
      <c r="WY23"/>
      <c r="WZ23"/>
      <c r="XA23"/>
      <c r="XB23"/>
      <c r="XC23"/>
      <c r="XD23"/>
      <c r="XE23"/>
      <c r="XF23"/>
      <c r="XG23"/>
      <c r="XH23"/>
      <c r="XI23"/>
      <c r="XJ23"/>
      <c r="XK23"/>
      <c r="XL23"/>
      <c r="XM23"/>
      <c r="XN23"/>
      <c r="XO23"/>
      <c r="XP23"/>
      <c r="XQ23"/>
      <c r="XR23"/>
      <c r="XS23"/>
      <c r="XT23"/>
      <c r="XU23"/>
      <c r="XV23"/>
      <c r="XW23"/>
      <c r="XX23"/>
      <c r="XY23"/>
      <c r="XZ23"/>
      <c r="YA23"/>
      <c r="YB23"/>
      <c r="YC23"/>
      <c r="YD23"/>
      <c r="YE23"/>
      <c r="YF23"/>
      <c r="YG23"/>
      <c r="YH23"/>
      <c r="YI23"/>
      <c r="YJ23"/>
      <c r="YK23"/>
      <c r="YL23"/>
      <c r="YM23"/>
      <c r="YN23"/>
      <c r="YO23"/>
      <c r="YP23"/>
      <c r="YQ23"/>
      <c r="YR23"/>
      <c r="YS23"/>
      <c r="YT23"/>
      <c r="YU23"/>
      <c r="YV23"/>
      <c r="YW23"/>
      <c r="YX23"/>
      <c r="YY23"/>
      <c r="YZ23"/>
      <c r="ZA23"/>
      <c r="ZB23"/>
      <c r="ZC23"/>
      <c r="ZD23"/>
      <c r="ZE23"/>
      <c r="ZF23"/>
    </row>
    <row r="24" spans="1:682" x14ac:dyDescent="0.25">
      <c r="A24"/>
      <c r="B24"/>
      <c r="C24"/>
      <c r="E24"/>
      <c r="F24"/>
      <c r="G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  <c r="TD24"/>
      <c r="TE24"/>
      <c r="TF24"/>
      <c r="TG24"/>
      <c r="TH24"/>
      <c r="TI24"/>
      <c r="TJ24"/>
      <c r="TK24"/>
      <c r="TL24"/>
      <c r="TM24"/>
      <c r="TN24"/>
      <c r="TO24"/>
      <c r="TP24"/>
      <c r="TQ24"/>
      <c r="TR24"/>
      <c r="TS24"/>
      <c r="TT24"/>
      <c r="TU24"/>
      <c r="TV24"/>
      <c r="TW24"/>
      <c r="TX24"/>
      <c r="TY24"/>
      <c r="TZ24"/>
      <c r="UA24"/>
      <c r="UB24"/>
      <c r="UC24"/>
      <c r="UD24"/>
      <c r="UE24"/>
      <c r="UF24"/>
      <c r="UG24"/>
      <c r="UH24"/>
      <c r="UI24"/>
      <c r="UJ24"/>
      <c r="UK24"/>
      <c r="UL24"/>
      <c r="UM24"/>
      <c r="UN24"/>
      <c r="UO24"/>
      <c r="UP24"/>
      <c r="UQ24"/>
      <c r="UR24"/>
      <c r="US24"/>
      <c r="UT24"/>
      <c r="UU24"/>
      <c r="UV24"/>
      <c r="UW24"/>
      <c r="UX24"/>
      <c r="UY24"/>
      <c r="UZ24"/>
      <c r="VA24"/>
      <c r="VB24"/>
      <c r="VC24"/>
      <c r="VD24"/>
      <c r="VE24"/>
      <c r="VF24"/>
      <c r="VG24"/>
      <c r="VH24"/>
      <c r="VI24"/>
      <c r="VJ24"/>
      <c r="VK24"/>
      <c r="VL24"/>
      <c r="VM24"/>
      <c r="VN24"/>
      <c r="VO24"/>
      <c r="VP24"/>
      <c r="VQ24"/>
      <c r="VR24"/>
      <c r="VS24"/>
      <c r="VT24"/>
      <c r="VU24"/>
      <c r="VV24"/>
      <c r="VW24"/>
      <c r="VX24"/>
      <c r="VY24"/>
      <c r="VZ24"/>
      <c r="WA24"/>
      <c r="WB24"/>
      <c r="WC24"/>
      <c r="WD24"/>
      <c r="WE24"/>
      <c r="WF24"/>
      <c r="WG24"/>
      <c r="WH24"/>
      <c r="WI24"/>
      <c r="WJ24"/>
      <c r="WK24"/>
      <c r="WL24"/>
      <c r="WM24"/>
      <c r="WN24"/>
      <c r="WO24"/>
      <c r="WP24"/>
      <c r="WQ24"/>
      <c r="WR24"/>
      <c r="WS24"/>
      <c r="WT24"/>
      <c r="WU24"/>
      <c r="WV24"/>
      <c r="WW24"/>
      <c r="WX24"/>
      <c r="WY24"/>
      <c r="WZ24"/>
      <c r="XA24"/>
      <c r="XB24"/>
      <c r="XC24"/>
      <c r="XD24"/>
      <c r="XE24"/>
      <c r="XF24"/>
      <c r="XG24"/>
      <c r="XH24"/>
      <c r="XI24"/>
      <c r="XJ24"/>
      <c r="XK24"/>
      <c r="XL24"/>
      <c r="XM24"/>
      <c r="XN24"/>
      <c r="XO24"/>
      <c r="XP24"/>
      <c r="XQ24"/>
      <c r="XR24"/>
      <c r="XS24"/>
      <c r="XT24"/>
      <c r="XU24"/>
      <c r="XV24"/>
      <c r="XW24"/>
      <c r="XX24"/>
      <c r="XY24"/>
      <c r="XZ24"/>
      <c r="YA24"/>
      <c r="YB24"/>
      <c r="YC24"/>
      <c r="YD24"/>
      <c r="YE24"/>
      <c r="YF24"/>
      <c r="YG24"/>
      <c r="YH24"/>
      <c r="YI24"/>
      <c r="YJ24"/>
      <c r="YK24"/>
      <c r="YL24"/>
      <c r="YM24"/>
      <c r="YN24"/>
      <c r="YO24"/>
      <c r="YP24"/>
      <c r="YQ24"/>
      <c r="YR24"/>
      <c r="YS24"/>
      <c r="YT24"/>
      <c r="YU24"/>
      <c r="YV24"/>
      <c r="YW24"/>
      <c r="YX24"/>
      <c r="YY24"/>
      <c r="YZ24"/>
      <c r="ZA24"/>
      <c r="ZB24"/>
      <c r="ZC24"/>
      <c r="ZD24"/>
      <c r="ZE24"/>
      <c r="ZF24"/>
    </row>
    <row r="25" spans="1:682" x14ac:dyDescent="0.25">
      <c r="A25"/>
      <c r="B25"/>
      <c r="C25"/>
      <c r="E25"/>
      <c r="F25"/>
      <c r="G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/>
      <c r="UH25"/>
      <c r="UI25"/>
      <c r="UJ25"/>
      <c r="UK25"/>
      <c r="UL25"/>
      <c r="UM25"/>
      <c r="UN25"/>
      <c r="UO25"/>
      <c r="UP25"/>
      <c r="UQ25"/>
      <c r="UR25"/>
      <c r="US25"/>
      <c r="UT25"/>
      <c r="UU25"/>
      <c r="UV25"/>
      <c r="UW25"/>
      <c r="UX25"/>
      <c r="UY25"/>
      <c r="UZ25"/>
      <c r="VA25"/>
      <c r="VB25"/>
      <c r="VC25"/>
      <c r="VD25"/>
      <c r="VE25"/>
      <c r="VF25"/>
      <c r="VG25"/>
      <c r="VH25"/>
      <c r="VI25"/>
      <c r="VJ25"/>
      <c r="VK25"/>
      <c r="VL25"/>
      <c r="VM25"/>
      <c r="VN25"/>
      <c r="VO25"/>
      <c r="VP25"/>
      <c r="VQ25"/>
      <c r="VR25"/>
      <c r="VS25"/>
      <c r="VT25"/>
      <c r="VU25"/>
      <c r="VV25"/>
      <c r="VW25"/>
      <c r="VX25"/>
      <c r="VY25"/>
      <c r="VZ25"/>
      <c r="WA25"/>
      <c r="WB25"/>
      <c r="WC25"/>
      <c r="WD25"/>
      <c r="WE25"/>
      <c r="WF25"/>
      <c r="WG25"/>
      <c r="WH25"/>
      <c r="WI25"/>
      <c r="WJ25"/>
      <c r="WK25"/>
      <c r="WL25"/>
      <c r="WM25"/>
      <c r="WN25"/>
      <c r="WO25"/>
      <c r="WP25"/>
      <c r="WQ25"/>
      <c r="WR25"/>
      <c r="WS25"/>
      <c r="WT25"/>
      <c r="WU25"/>
      <c r="WV25"/>
      <c r="WW25"/>
      <c r="WX25"/>
      <c r="WY25"/>
      <c r="WZ25"/>
      <c r="XA25"/>
      <c r="XB25"/>
      <c r="XC25"/>
      <c r="XD25"/>
      <c r="XE25"/>
      <c r="XF25"/>
      <c r="XG25"/>
      <c r="XH25"/>
      <c r="XI25"/>
      <c r="XJ25"/>
      <c r="XK25"/>
      <c r="XL25"/>
      <c r="XM25"/>
      <c r="XN25"/>
      <c r="XO25"/>
      <c r="XP25"/>
      <c r="XQ25"/>
      <c r="XR25"/>
      <c r="XS25"/>
      <c r="XT25"/>
      <c r="XU25"/>
      <c r="XV25"/>
      <c r="XW25"/>
      <c r="XX25"/>
      <c r="XY25"/>
      <c r="XZ25"/>
      <c r="YA25"/>
      <c r="YB25"/>
      <c r="YC25"/>
      <c r="YD25"/>
      <c r="YE25"/>
      <c r="YF25"/>
      <c r="YG25"/>
      <c r="YH25"/>
      <c r="YI25"/>
      <c r="YJ25"/>
      <c r="YK25"/>
      <c r="YL25"/>
      <c r="YM25"/>
      <c r="YN25"/>
      <c r="YO25"/>
      <c r="YP25"/>
      <c r="YQ25"/>
      <c r="YR25"/>
      <c r="YS25"/>
      <c r="YT25"/>
      <c r="YU25"/>
      <c r="YV25"/>
      <c r="YW25"/>
      <c r="YX25"/>
      <c r="YY25"/>
      <c r="YZ25"/>
      <c r="ZA25"/>
      <c r="ZB25"/>
      <c r="ZC25"/>
      <c r="ZD25"/>
      <c r="ZE25"/>
      <c r="ZF25"/>
    </row>
    <row r="26" spans="1:682" x14ac:dyDescent="0.25">
      <c r="A26"/>
      <c r="B26"/>
      <c r="C26"/>
      <c r="E26"/>
      <c r="F26"/>
      <c r="G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/>
      <c r="TQ26"/>
      <c r="TR26"/>
      <c r="TS26"/>
      <c r="TT26"/>
      <c r="TU26"/>
      <c r="TV26"/>
      <c r="TW26"/>
      <c r="TX26"/>
      <c r="TY26"/>
      <c r="TZ26"/>
      <c r="UA26"/>
      <c r="UB26"/>
      <c r="UC26"/>
      <c r="UD26"/>
      <c r="UE26"/>
      <c r="UF26"/>
      <c r="UG26"/>
      <c r="UH26"/>
      <c r="UI26"/>
      <c r="UJ26"/>
      <c r="UK26"/>
      <c r="UL26"/>
      <c r="UM26"/>
      <c r="UN26"/>
      <c r="UO26"/>
      <c r="UP26"/>
      <c r="UQ26"/>
      <c r="UR26"/>
      <c r="US26"/>
      <c r="UT26"/>
      <c r="UU26"/>
      <c r="UV26"/>
      <c r="UW26"/>
      <c r="UX26"/>
      <c r="UY26"/>
      <c r="UZ26"/>
      <c r="VA26"/>
      <c r="VB26"/>
      <c r="VC26"/>
      <c r="VD26"/>
      <c r="VE26"/>
      <c r="VF26"/>
      <c r="VG26"/>
      <c r="VH26"/>
      <c r="VI26"/>
      <c r="VJ26"/>
      <c r="VK26"/>
      <c r="VL26"/>
      <c r="VM26"/>
      <c r="VN26"/>
      <c r="VO26"/>
      <c r="VP26"/>
      <c r="VQ26"/>
      <c r="VR26"/>
      <c r="VS26"/>
      <c r="VT26"/>
      <c r="VU26"/>
      <c r="VV26"/>
      <c r="VW26"/>
      <c r="VX26"/>
      <c r="VY26"/>
      <c r="VZ26"/>
      <c r="WA26"/>
      <c r="WB26"/>
      <c r="WC26"/>
      <c r="WD26"/>
      <c r="WE26"/>
      <c r="WF26"/>
      <c r="WG26"/>
      <c r="WH26"/>
      <c r="WI26"/>
      <c r="WJ26"/>
      <c r="WK26"/>
      <c r="WL26"/>
      <c r="WM26"/>
      <c r="WN26"/>
      <c r="WO26"/>
      <c r="WP26"/>
      <c r="WQ26"/>
      <c r="WR26"/>
      <c r="WS26"/>
      <c r="WT26"/>
      <c r="WU26"/>
      <c r="WV26"/>
      <c r="WW26"/>
      <c r="WX26"/>
      <c r="WY26"/>
      <c r="WZ26"/>
      <c r="XA26"/>
      <c r="XB26"/>
      <c r="XC26"/>
      <c r="XD26"/>
      <c r="XE26"/>
      <c r="XF26"/>
      <c r="XG26"/>
      <c r="XH26"/>
      <c r="XI26"/>
      <c r="XJ26"/>
      <c r="XK26"/>
      <c r="XL26"/>
      <c r="XM26"/>
      <c r="XN26"/>
      <c r="XO26"/>
      <c r="XP26"/>
      <c r="XQ26"/>
      <c r="XR26"/>
      <c r="XS26"/>
      <c r="XT26"/>
      <c r="XU26"/>
      <c r="XV26"/>
      <c r="XW26"/>
      <c r="XX26"/>
      <c r="XY26"/>
      <c r="XZ26"/>
      <c r="YA26"/>
      <c r="YB26"/>
      <c r="YC26"/>
      <c r="YD26"/>
      <c r="YE26"/>
      <c r="YF26"/>
      <c r="YG26"/>
      <c r="YH26"/>
      <c r="YI26"/>
      <c r="YJ26"/>
      <c r="YK26"/>
      <c r="YL26"/>
      <c r="YM26"/>
      <c r="YN26"/>
      <c r="YO26"/>
      <c r="YP26"/>
      <c r="YQ26"/>
      <c r="YR26"/>
      <c r="YS26"/>
      <c r="YT26"/>
      <c r="YU26"/>
      <c r="YV26"/>
      <c r="YW26"/>
      <c r="YX26"/>
      <c r="YY26"/>
      <c r="YZ26"/>
      <c r="ZA26"/>
      <c r="ZB26"/>
      <c r="ZC26"/>
      <c r="ZD26"/>
      <c r="ZE26"/>
      <c r="ZF26"/>
    </row>
    <row r="27" spans="1:682" x14ac:dyDescent="0.25">
      <c r="A27"/>
      <c r="B27"/>
      <c r="C27"/>
      <c r="E27"/>
      <c r="F27"/>
      <c r="G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  <c r="TM27"/>
      <c r="TN27"/>
      <c r="TO27"/>
      <c r="TP27"/>
      <c r="TQ27"/>
      <c r="TR27"/>
      <c r="TS27"/>
      <c r="TT27"/>
      <c r="TU27"/>
      <c r="TV27"/>
      <c r="TW27"/>
      <c r="TX27"/>
      <c r="TY27"/>
      <c r="TZ27"/>
      <c r="UA27"/>
      <c r="UB27"/>
      <c r="UC27"/>
      <c r="UD27"/>
      <c r="UE27"/>
      <c r="UF27"/>
      <c r="UG27"/>
      <c r="UH27"/>
      <c r="UI27"/>
      <c r="UJ27"/>
      <c r="UK27"/>
      <c r="UL27"/>
      <c r="UM27"/>
      <c r="UN27"/>
      <c r="UO27"/>
      <c r="UP27"/>
      <c r="UQ27"/>
      <c r="UR27"/>
      <c r="US27"/>
      <c r="UT27"/>
      <c r="UU27"/>
      <c r="UV27"/>
      <c r="UW27"/>
      <c r="UX27"/>
      <c r="UY27"/>
      <c r="UZ27"/>
      <c r="VA27"/>
      <c r="VB27"/>
      <c r="VC27"/>
      <c r="VD27"/>
      <c r="VE27"/>
      <c r="VF27"/>
      <c r="VG27"/>
      <c r="VH27"/>
      <c r="VI27"/>
      <c r="VJ27"/>
      <c r="VK27"/>
      <c r="VL27"/>
      <c r="VM27"/>
      <c r="VN27"/>
      <c r="VO27"/>
      <c r="VP27"/>
      <c r="VQ27"/>
      <c r="VR27"/>
      <c r="VS27"/>
      <c r="VT27"/>
      <c r="VU27"/>
      <c r="VV27"/>
      <c r="VW27"/>
      <c r="VX27"/>
      <c r="VY27"/>
      <c r="VZ27"/>
      <c r="WA27"/>
      <c r="WB27"/>
      <c r="WC27"/>
      <c r="WD27"/>
      <c r="WE27"/>
      <c r="WF27"/>
      <c r="WG27"/>
      <c r="WH27"/>
      <c r="WI27"/>
      <c r="WJ27"/>
      <c r="WK27"/>
      <c r="WL27"/>
      <c r="WM27"/>
      <c r="WN27"/>
      <c r="WO27"/>
      <c r="WP27"/>
      <c r="WQ27"/>
      <c r="WR27"/>
      <c r="WS27"/>
      <c r="WT27"/>
      <c r="WU27"/>
      <c r="WV27"/>
      <c r="WW27"/>
      <c r="WX27"/>
      <c r="WY27"/>
      <c r="WZ27"/>
      <c r="XA27"/>
      <c r="XB27"/>
      <c r="XC27"/>
      <c r="XD27"/>
      <c r="XE27"/>
      <c r="XF27"/>
      <c r="XG27"/>
      <c r="XH27"/>
      <c r="XI27"/>
      <c r="XJ27"/>
      <c r="XK27"/>
      <c r="XL27"/>
      <c r="XM27"/>
      <c r="XN27"/>
      <c r="XO27"/>
      <c r="XP27"/>
      <c r="XQ27"/>
      <c r="XR27"/>
      <c r="XS27"/>
      <c r="XT27"/>
      <c r="XU27"/>
      <c r="XV27"/>
      <c r="XW27"/>
      <c r="XX27"/>
      <c r="XY27"/>
      <c r="XZ27"/>
      <c r="YA27"/>
      <c r="YB27"/>
      <c r="YC27"/>
      <c r="YD27"/>
      <c r="YE27"/>
      <c r="YF27"/>
      <c r="YG27"/>
      <c r="YH27"/>
      <c r="YI27"/>
      <c r="YJ27"/>
      <c r="YK27"/>
      <c r="YL27"/>
      <c r="YM27"/>
      <c r="YN27"/>
      <c r="YO27"/>
      <c r="YP27"/>
      <c r="YQ27"/>
      <c r="YR27"/>
      <c r="YS27"/>
      <c r="YT27"/>
      <c r="YU27"/>
      <c r="YV27"/>
      <c r="YW27"/>
      <c r="YX27"/>
      <c r="YY27"/>
      <c r="YZ27"/>
      <c r="ZA27"/>
      <c r="ZB27"/>
      <c r="ZC27"/>
      <c r="ZD27"/>
      <c r="ZE27"/>
      <c r="ZF27"/>
    </row>
    <row r="28" spans="1:682" x14ac:dyDescent="0.25">
      <c r="A28"/>
      <c r="B28"/>
      <c r="C28"/>
      <c r="E28"/>
      <c r="F28"/>
      <c r="G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  <c r="TP28"/>
      <c r="TQ28"/>
      <c r="TR28"/>
      <c r="TS28"/>
      <c r="TT28"/>
      <c r="TU28"/>
      <c r="TV28"/>
      <c r="TW28"/>
      <c r="TX28"/>
      <c r="TY28"/>
      <c r="TZ28"/>
      <c r="UA28"/>
      <c r="UB28"/>
      <c r="UC28"/>
      <c r="UD28"/>
      <c r="UE28"/>
      <c r="UF28"/>
      <c r="UG28"/>
      <c r="UH28"/>
      <c r="UI28"/>
      <c r="UJ28"/>
      <c r="UK28"/>
      <c r="UL28"/>
      <c r="UM28"/>
      <c r="UN28"/>
      <c r="UO28"/>
      <c r="UP28"/>
      <c r="UQ28"/>
      <c r="UR28"/>
      <c r="US28"/>
      <c r="UT28"/>
      <c r="UU28"/>
      <c r="UV28"/>
      <c r="UW28"/>
      <c r="UX28"/>
      <c r="UY28"/>
      <c r="UZ28"/>
      <c r="VA28"/>
      <c r="VB28"/>
      <c r="VC28"/>
      <c r="VD28"/>
      <c r="VE28"/>
      <c r="VF28"/>
      <c r="VG28"/>
      <c r="VH28"/>
      <c r="VI28"/>
      <c r="VJ28"/>
      <c r="VK28"/>
      <c r="VL28"/>
      <c r="VM28"/>
      <c r="VN28"/>
      <c r="VO28"/>
      <c r="VP28"/>
      <c r="VQ28"/>
      <c r="VR28"/>
      <c r="VS28"/>
      <c r="VT28"/>
      <c r="VU28"/>
      <c r="VV28"/>
      <c r="VW28"/>
      <c r="VX28"/>
      <c r="VY28"/>
      <c r="VZ28"/>
      <c r="WA28"/>
      <c r="WB28"/>
      <c r="WC28"/>
      <c r="WD28"/>
      <c r="WE28"/>
      <c r="WF28"/>
      <c r="WG28"/>
      <c r="WH28"/>
      <c r="WI28"/>
      <c r="WJ28"/>
      <c r="WK28"/>
      <c r="WL28"/>
      <c r="WM28"/>
      <c r="WN28"/>
      <c r="WO28"/>
      <c r="WP28"/>
      <c r="WQ28"/>
      <c r="WR28"/>
      <c r="WS28"/>
      <c r="WT28"/>
      <c r="WU28"/>
      <c r="WV28"/>
      <c r="WW28"/>
      <c r="WX28"/>
      <c r="WY28"/>
      <c r="WZ28"/>
      <c r="XA28"/>
      <c r="XB28"/>
      <c r="XC28"/>
      <c r="XD28"/>
      <c r="XE28"/>
      <c r="XF28"/>
      <c r="XG28"/>
      <c r="XH28"/>
      <c r="XI28"/>
      <c r="XJ28"/>
      <c r="XK28"/>
      <c r="XL28"/>
      <c r="XM28"/>
      <c r="XN28"/>
      <c r="XO28"/>
      <c r="XP28"/>
      <c r="XQ28"/>
      <c r="XR28"/>
      <c r="XS28"/>
      <c r="XT28"/>
      <c r="XU28"/>
      <c r="XV28"/>
      <c r="XW28"/>
      <c r="XX28"/>
      <c r="XY28"/>
      <c r="XZ28"/>
      <c r="YA28"/>
      <c r="YB28"/>
      <c r="YC28"/>
      <c r="YD28"/>
      <c r="YE28"/>
      <c r="YF28"/>
      <c r="YG28"/>
      <c r="YH28"/>
      <c r="YI28"/>
      <c r="YJ28"/>
      <c r="YK28"/>
      <c r="YL28"/>
      <c r="YM28"/>
      <c r="YN28"/>
      <c r="YO28"/>
      <c r="YP28"/>
      <c r="YQ28"/>
      <c r="YR28"/>
      <c r="YS28"/>
      <c r="YT28"/>
      <c r="YU28"/>
      <c r="YV28"/>
      <c r="YW28"/>
      <c r="YX28"/>
      <c r="YY28"/>
      <c r="YZ28"/>
      <c r="ZA28"/>
      <c r="ZB28"/>
      <c r="ZC28"/>
      <c r="ZD28"/>
      <c r="ZE28"/>
      <c r="ZF28"/>
    </row>
    <row r="29" spans="1:682" x14ac:dyDescent="0.25">
      <c r="A29"/>
      <c r="B29"/>
      <c r="C29"/>
      <c r="E29"/>
      <c r="F29"/>
      <c r="G29"/>
      <c r="K29"/>
      <c r="L29"/>
      <c r="M29"/>
    </row>
    <row r="30" spans="1:682" x14ac:dyDescent="0.25">
      <c r="A30"/>
      <c r="B30"/>
      <c r="C30"/>
      <c r="E30"/>
      <c r="F30"/>
      <c r="G30"/>
      <c r="K30"/>
      <c r="L30"/>
      <c r="M30"/>
    </row>
    <row r="31" spans="1:682" x14ac:dyDescent="0.25">
      <c r="A31"/>
      <c r="B31"/>
      <c r="C31"/>
      <c r="L31"/>
      <c r="M31"/>
    </row>
    <row r="32" spans="1:682" x14ac:dyDescent="0.25">
      <c r="A32"/>
      <c r="B32"/>
      <c r="C32"/>
      <c r="L32"/>
      <c r="M32"/>
    </row>
    <row r="33" spans="9:13" x14ac:dyDescent="0.25">
      <c r="L33"/>
      <c r="M33"/>
    </row>
    <row r="34" spans="9:13" x14ac:dyDescent="0.25">
      <c r="L34"/>
      <c r="M34"/>
    </row>
    <row r="35" spans="9:13" x14ac:dyDescent="0.25">
      <c r="L35"/>
      <c r="M35"/>
    </row>
    <row r="36" spans="9:13" x14ac:dyDescent="0.25">
      <c r="L36"/>
      <c r="M36"/>
    </row>
    <row r="37" spans="9:13" x14ac:dyDescent="0.25">
      <c r="L37"/>
      <c r="M37"/>
    </row>
    <row r="48" spans="9:13" x14ac:dyDescent="0.25">
      <c r="I48"/>
      <c r="J48"/>
    </row>
    <row r="49" spans="9:10" x14ac:dyDescent="0.25">
      <c r="I49"/>
      <c r="J49"/>
    </row>
    <row r="50" spans="9:10" x14ac:dyDescent="0.25">
      <c r="I50"/>
      <c r="J50"/>
    </row>
    <row r="51" spans="9:10" x14ac:dyDescent="0.25">
      <c r="I51"/>
      <c r="J51"/>
    </row>
    <row r="52" spans="9:10" x14ac:dyDescent="0.25">
      <c r="I52"/>
      <c r="J52"/>
    </row>
    <row r="53" spans="9:10" x14ac:dyDescent="0.25">
      <c r="I53"/>
      <c r="J53"/>
    </row>
    <row r="54" spans="9:10" x14ac:dyDescent="0.25">
      <c r="I54"/>
      <c r="J54"/>
    </row>
    <row r="55" spans="9:10" x14ac:dyDescent="0.25">
      <c r="I55"/>
      <c r="J55"/>
    </row>
    <row r="56" spans="9:10" x14ac:dyDescent="0.25">
      <c r="I56"/>
      <c r="J56"/>
    </row>
    <row r="57" spans="9:10" x14ac:dyDescent="0.25">
      <c r="I57"/>
      <c r="J57"/>
    </row>
    <row r="58" spans="9:10" x14ac:dyDescent="0.25">
      <c r="I58"/>
      <c r="J58"/>
    </row>
    <row r="59" spans="9:10" x14ac:dyDescent="0.25">
      <c r="I59"/>
      <c r="J59"/>
    </row>
    <row r="60" spans="9:10" x14ac:dyDescent="0.25">
      <c r="I60"/>
      <c r="J60"/>
    </row>
    <row r="61" spans="9:10" x14ac:dyDescent="0.25">
      <c r="I61"/>
      <c r="J61"/>
    </row>
    <row r="62" spans="9:10" x14ac:dyDescent="0.25">
      <c r="I62"/>
      <c r="J62"/>
    </row>
    <row r="63" spans="9:10" x14ac:dyDescent="0.25">
      <c r="I63"/>
      <c r="J63"/>
    </row>
    <row r="64" spans="9:10" x14ac:dyDescent="0.25">
      <c r="I64"/>
      <c r="J64"/>
    </row>
    <row r="65" spans="9:10" x14ac:dyDescent="0.25">
      <c r="I65"/>
      <c r="J65"/>
    </row>
    <row r="66" spans="9:10" x14ac:dyDescent="0.25">
      <c r="I66"/>
      <c r="J66"/>
    </row>
    <row r="67" spans="9:10" x14ac:dyDescent="0.25">
      <c r="I67"/>
      <c r="J67"/>
    </row>
    <row r="68" spans="9:10" x14ac:dyDescent="0.25">
      <c r="I68"/>
      <c r="J68"/>
    </row>
    <row r="69" spans="9:10" x14ac:dyDescent="0.25">
      <c r="I69"/>
      <c r="J69"/>
    </row>
    <row r="70" spans="9:10" x14ac:dyDescent="0.25">
      <c r="I70"/>
      <c r="J70"/>
    </row>
    <row r="71" spans="9:10" x14ac:dyDescent="0.25">
      <c r="I71"/>
      <c r="J71"/>
    </row>
    <row r="72" spans="9:10" x14ac:dyDescent="0.25">
      <c r="I72"/>
      <c r="J72"/>
    </row>
    <row r="73" spans="9:10" x14ac:dyDescent="0.25">
      <c r="I73"/>
      <c r="J73"/>
    </row>
    <row r="74" spans="9:10" x14ac:dyDescent="0.25">
      <c r="I74"/>
      <c r="J74"/>
    </row>
    <row r="75" spans="9:10" x14ac:dyDescent="0.25">
      <c r="I75"/>
      <c r="J75"/>
    </row>
    <row r="76" spans="9:10" x14ac:dyDescent="0.25">
      <c r="I76"/>
      <c r="J76"/>
    </row>
    <row r="77" spans="9:10" x14ac:dyDescent="0.25">
      <c r="I77"/>
      <c r="J77"/>
    </row>
    <row r="78" spans="9:10" x14ac:dyDescent="0.25">
      <c r="I78"/>
      <c r="J78"/>
    </row>
    <row r="79" spans="9:10" x14ac:dyDescent="0.25">
      <c r="I79"/>
      <c r="J79"/>
    </row>
    <row r="80" spans="9:10" x14ac:dyDescent="0.25">
      <c r="I80"/>
      <c r="J80"/>
    </row>
    <row r="81" spans="9:10" x14ac:dyDescent="0.25">
      <c r="I81"/>
      <c r="J81"/>
    </row>
    <row r="82" spans="9:10" x14ac:dyDescent="0.25">
      <c r="I82"/>
      <c r="J82"/>
    </row>
    <row r="83" spans="9:10" x14ac:dyDescent="0.25">
      <c r="I83"/>
      <c r="J83"/>
    </row>
    <row r="84" spans="9:10" x14ac:dyDescent="0.25">
      <c r="I84"/>
      <c r="J84"/>
    </row>
    <row r="85" spans="9:10" x14ac:dyDescent="0.25">
      <c r="I85"/>
      <c r="J85"/>
    </row>
    <row r="86" spans="9:10" x14ac:dyDescent="0.25">
      <c r="I86"/>
      <c r="J86"/>
    </row>
    <row r="87" spans="9:10" x14ac:dyDescent="0.25">
      <c r="I87"/>
      <c r="J87"/>
    </row>
    <row r="88" spans="9:10" x14ac:dyDescent="0.25">
      <c r="I88"/>
      <c r="J88"/>
    </row>
    <row r="89" spans="9:10" x14ac:dyDescent="0.25">
      <c r="I89"/>
      <c r="J89"/>
    </row>
    <row r="90" spans="9:10" x14ac:dyDescent="0.25">
      <c r="I90"/>
      <c r="J90"/>
    </row>
    <row r="91" spans="9:10" x14ac:dyDescent="0.25">
      <c r="I91"/>
      <c r="J91"/>
    </row>
    <row r="92" spans="9:10" x14ac:dyDescent="0.25">
      <c r="I92"/>
      <c r="J92"/>
    </row>
    <row r="93" spans="9:10" x14ac:dyDescent="0.25">
      <c r="I93"/>
      <c r="J93"/>
    </row>
    <row r="94" spans="9:10" x14ac:dyDescent="0.25">
      <c r="I94"/>
      <c r="J94"/>
    </row>
    <row r="95" spans="9:10" x14ac:dyDescent="0.25">
      <c r="I95"/>
      <c r="J95"/>
    </row>
    <row r="96" spans="9:10" x14ac:dyDescent="0.25">
      <c r="I96"/>
      <c r="J96"/>
    </row>
    <row r="97" spans="9:10" x14ac:dyDescent="0.25">
      <c r="I97"/>
      <c r="J97"/>
    </row>
    <row r="98" spans="9:10" x14ac:dyDescent="0.25">
      <c r="I98"/>
      <c r="J98"/>
    </row>
    <row r="99" spans="9:10" x14ac:dyDescent="0.25">
      <c r="I99"/>
      <c r="J99"/>
    </row>
    <row r="100" spans="9:10" x14ac:dyDescent="0.25">
      <c r="I100"/>
      <c r="J100"/>
    </row>
    <row r="101" spans="9:10" x14ac:dyDescent="0.25">
      <c r="I101"/>
      <c r="J101"/>
    </row>
    <row r="102" spans="9:10" x14ac:dyDescent="0.25">
      <c r="I102"/>
      <c r="J102"/>
    </row>
    <row r="103" spans="9:10" x14ac:dyDescent="0.25">
      <c r="I103"/>
      <c r="J103"/>
    </row>
    <row r="104" spans="9:10" x14ac:dyDescent="0.25">
      <c r="I104"/>
      <c r="J104"/>
    </row>
    <row r="105" spans="9:10" x14ac:dyDescent="0.25">
      <c r="I105"/>
      <c r="J105"/>
    </row>
    <row r="106" spans="9:10" x14ac:dyDescent="0.25">
      <c r="I106"/>
      <c r="J106"/>
    </row>
    <row r="107" spans="9:10" x14ac:dyDescent="0.25">
      <c r="I107"/>
      <c r="J107"/>
    </row>
    <row r="108" spans="9:10" x14ac:dyDescent="0.25">
      <c r="I108"/>
      <c r="J108"/>
    </row>
    <row r="109" spans="9:10" x14ac:dyDescent="0.25">
      <c r="I109"/>
      <c r="J109"/>
    </row>
    <row r="110" spans="9:10" x14ac:dyDescent="0.25">
      <c r="I110"/>
      <c r="J110"/>
    </row>
    <row r="111" spans="9:10" x14ac:dyDescent="0.25">
      <c r="I111"/>
      <c r="J111"/>
    </row>
    <row r="112" spans="9:10" x14ac:dyDescent="0.25">
      <c r="I112"/>
      <c r="J112"/>
    </row>
    <row r="113" spans="9:10" x14ac:dyDescent="0.25">
      <c r="I113"/>
      <c r="J113"/>
    </row>
    <row r="114" spans="9:10" x14ac:dyDescent="0.25">
      <c r="I114"/>
      <c r="J114"/>
    </row>
    <row r="115" spans="9:10" x14ac:dyDescent="0.25">
      <c r="I115"/>
      <c r="J115"/>
    </row>
    <row r="116" spans="9:10" x14ac:dyDescent="0.25">
      <c r="I116"/>
      <c r="J116"/>
    </row>
    <row r="117" spans="9:10" x14ac:dyDescent="0.25">
      <c r="I117"/>
      <c r="J117"/>
    </row>
    <row r="118" spans="9:10" x14ac:dyDescent="0.25">
      <c r="I118"/>
      <c r="J118"/>
    </row>
    <row r="119" spans="9:10" x14ac:dyDescent="0.25">
      <c r="I119"/>
      <c r="J119"/>
    </row>
    <row r="120" spans="9:10" x14ac:dyDescent="0.25">
      <c r="I120"/>
      <c r="J120"/>
    </row>
    <row r="121" spans="9:10" x14ac:dyDescent="0.25">
      <c r="I121"/>
      <c r="J121"/>
    </row>
    <row r="122" spans="9:10" x14ac:dyDescent="0.25">
      <c r="I122"/>
      <c r="J122"/>
    </row>
    <row r="123" spans="9:10" x14ac:dyDescent="0.25">
      <c r="I123"/>
      <c r="J123"/>
    </row>
    <row r="124" spans="9:10" x14ac:dyDescent="0.25">
      <c r="I124"/>
      <c r="J124"/>
    </row>
    <row r="125" spans="9:10" x14ac:dyDescent="0.25">
      <c r="I125"/>
      <c r="J125"/>
    </row>
    <row r="126" spans="9:10" x14ac:dyDescent="0.25">
      <c r="I126"/>
      <c r="J126"/>
    </row>
    <row r="127" spans="9:10" x14ac:dyDescent="0.25">
      <c r="I127"/>
      <c r="J127"/>
    </row>
    <row r="128" spans="9:10" x14ac:dyDescent="0.25">
      <c r="I128"/>
      <c r="J128"/>
    </row>
    <row r="129" spans="9:10" x14ac:dyDescent="0.25">
      <c r="I129"/>
      <c r="J129"/>
    </row>
    <row r="130" spans="9:10" x14ac:dyDescent="0.25">
      <c r="I130"/>
      <c r="J130"/>
    </row>
    <row r="131" spans="9:10" x14ac:dyDescent="0.25">
      <c r="I131"/>
      <c r="J131"/>
    </row>
    <row r="132" spans="9:10" x14ac:dyDescent="0.25">
      <c r="I132"/>
      <c r="J132"/>
    </row>
    <row r="133" spans="9:10" x14ac:dyDescent="0.25">
      <c r="I133"/>
      <c r="J133"/>
    </row>
    <row r="134" spans="9:10" x14ac:dyDescent="0.25">
      <c r="I134"/>
      <c r="J134"/>
    </row>
    <row r="135" spans="9:10" x14ac:dyDescent="0.25">
      <c r="I135"/>
      <c r="J135"/>
    </row>
    <row r="136" spans="9:10" x14ac:dyDescent="0.25">
      <c r="I136"/>
      <c r="J136"/>
    </row>
    <row r="137" spans="9:10" x14ac:dyDescent="0.25">
      <c r="I137"/>
      <c r="J137"/>
    </row>
    <row r="138" spans="9:10" x14ac:dyDescent="0.25">
      <c r="I138"/>
      <c r="J138"/>
    </row>
    <row r="139" spans="9:10" x14ac:dyDescent="0.25">
      <c r="I139"/>
      <c r="J139"/>
    </row>
    <row r="140" spans="9:10" x14ac:dyDescent="0.25">
      <c r="I140"/>
      <c r="J140"/>
    </row>
    <row r="141" spans="9:10" x14ac:dyDescent="0.25">
      <c r="I141"/>
      <c r="J141"/>
    </row>
    <row r="142" spans="9:10" x14ac:dyDescent="0.25">
      <c r="I142"/>
      <c r="J142"/>
    </row>
    <row r="143" spans="9:10" x14ac:dyDescent="0.25">
      <c r="I143"/>
      <c r="J143"/>
    </row>
    <row r="144" spans="9:10" x14ac:dyDescent="0.25">
      <c r="I144"/>
      <c r="J144"/>
    </row>
    <row r="145" spans="9:10" x14ac:dyDescent="0.25">
      <c r="I145"/>
      <c r="J145"/>
    </row>
    <row r="146" spans="9:10" x14ac:dyDescent="0.25">
      <c r="I146"/>
      <c r="J146"/>
    </row>
    <row r="147" spans="9:10" x14ac:dyDescent="0.25">
      <c r="I147"/>
      <c r="J147"/>
    </row>
    <row r="148" spans="9:10" x14ac:dyDescent="0.25">
      <c r="I148"/>
      <c r="J148"/>
    </row>
    <row r="149" spans="9:10" x14ac:dyDescent="0.25">
      <c r="I149"/>
      <c r="J149"/>
    </row>
    <row r="150" spans="9:10" x14ac:dyDescent="0.25">
      <c r="I150"/>
      <c r="J150"/>
    </row>
    <row r="151" spans="9:10" x14ac:dyDescent="0.25">
      <c r="I151"/>
      <c r="J151"/>
    </row>
    <row r="152" spans="9:10" x14ac:dyDescent="0.25">
      <c r="I152"/>
      <c r="J152"/>
    </row>
    <row r="153" spans="9:10" x14ac:dyDescent="0.25">
      <c r="I153"/>
      <c r="J153"/>
    </row>
    <row r="154" spans="9:10" x14ac:dyDescent="0.25">
      <c r="I154"/>
      <c r="J154"/>
    </row>
    <row r="155" spans="9:10" x14ac:dyDescent="0.25">
      <c r="I155"/>
      <c r="J155"/>
    </row>
    <row r="156" spans="9:10" x14ac:dyDescent="0.25">
      <c r="I156"/>
      <c r="J156"/>
    </row>
    <row r="157" spans="9:10" x14ac:dyDescent="0.25">
      <c r="I157"/>
      <c r="J157"/>
    </row>
    <row r="158" spans="9:10" x14ac:dyDescent="0.25">
      <c r="I158"/>
      <c r="J158"/>
    </row>
    <row r="159" spans="9:10" x14ac:dyDescent="0.25">
      <c r="I159"/>
      <c r="J159"/>
    </row>
    <row r="160" spans="9:10" x14ac:dyDescent="0.25">
      <c r="I160"/>
      <c r="J160"/>
    </row>
    <row r="161" spans="9:10" x14ac:dyDescent="0.25">
      <c r="I161"/>
      <c r="J161"/>
    </row>
    <row r="162" spans="9:10" x14ac:dyDescent="0.25">
      <c r="I162"/>
      <c r="J162"/>
    </row>
    <row r="163" spans="9:10" x14ac:dyDescent="0.25">
      <c r="I163"/>
      <c r="J163"/>
    </row>
    <row r="164" spans="9:10" x14ac:dyDescent="0.25">
      <c r="I164"/>
      <c r="J164"/>
    </row>
    <row r="165" spans="9:10" x14ac:dyDescent="0.25">
      <c r="I165"/>
      <c r="J165"/>
    </row>
    <row r="166" spans="9:10" x14ac:dyDescent="0.25">
      <c r="I166"/>
      <c r="J166"/>
    </row>
    <row r="167" spans="9:10" x14ac:dyDescent="0.25">
      <c r="I167"/>
      <c r="J167"/>
    </row>
    <row r="168" spans="9:10" x14ac:dyDescent="0.25">
      <c r="I168"/>
      <c r="J168"/>
    </row>
    <row r="169" spans="9:10" x14ac:dyDescent="0.25">
      <c r="I169"/>
      <c r="J169"/>
    </row>
    <row r="170" spans="9:10" x14ac:dyDescent="0.25">
      <c r="I170"/>
      <c r="J170"/>
    </row>
    <row r="171" spans="9:10" x14ac:dyDescent="0.25">
      <c r="I171"/>
      <c r="J171"/>
    </row>
    <row r="172" spans="9:10" x14ac:dyDescent="0.25">
      <c r="I172"/>
      <c r="J172"/>
    </row>
    <row r="173" spans="9:10" x14ac:dyDescent="0.25">
      <c r="I173"/>
      <c r="J173"/>
    </row>
    <row r="174" spans="9:10" x14ac:dyDescent="0.25">
      <c r="I174"/>
      <c r="J174"/>
    </row>
    <row r="175" spans="9:10" x14ac:dyDescent="0.25">
      <c r="I175"/>
      <c r="J175"/>
    </row>
    <row r="176" spans="9:10" x14ac:dyDescent="0.25">
      <c r="I176"/>
      <c r="J176"/>
    </row>
    <row r="177" spans="9:10" x14ac:dyDescent="0.25">
      <c r="I177"/>
      <c r="J177"/>
    </row>
    <row r="178" spans="9:10" x14ac:dyDescent="0.25">
      <c r="I178"/>
      <c r="J178"/>
    </row>
    <row r="179" spans="9:10" x14ac:dyDescent="0.25">
      <c r="I179"/>
      <c r="J179"/>
    </row>
    <row r="180" spans="9:10" x14ac:dyDescent="0.25">
      <c r="I180"/>
      <c r="J180"/>
    </row>
    <row r="181" spans="9:10" x14ac:dyDescent="0.25">
      <c r="I181"/>
      <c r="J181"/>
    </row>
    <row r="182" spans="9:10" x14ac:dyDescent="0.25">
      <c r="I182"/>
      <c r="J182"/>
    </row>
    <row r="183" spans="9:10" x14ac:dyDescent="0.25">
      <c r="I183"/>
      <c r="J183"/>
    </row>
    <row r="184" spans="9:10" x14ac:dyDescent="0.25">
      <c r="I184"/>
      <c r="J184"/>
    </row>
    <row r="185" spans="9:10" x14ac:dyDescent="0.25">
      <c r="I185"/>
      <c r="J185"/>
    </row>
    <row r="186" spans="9:10" x14ac:dyDescent="0.25">
      <c r="I186"/>
      <c r="J186"/>
    </row>
    <row r="187" spans="9:10" x14ac:dyDescent="0.25">
      <c r="I187"/>
      <c r="J187"/>
    </row>
    <row r="188" spans="9:10" x14ac:dyDescent="0.25">
      <c r="I188"/>
      <c r="J188"/>
    </row>
    <row r="189" spans="9:10" x14ac:dyDescent="0.25">
      <c r="I189"/>
      <c r="J189"/>
    </row>
    <row r="190" spans="9:10" x14ac:dyDescent="0.25">
      <c r="I190"/>
      <c r="J190"/>
    </row>
    <row r="191" spans="9:10" x14ac:dyDescent="0.25">
      <c r="I191"/>
      <c r="J191"/>
    </row>
    <row r="192" spans="9:10" x14ac:dyDescent="0.25">
      <c r="I192"/>
      <c r="J192"/>
    </row>
    <row r="193" spans="9:10" x14ac:dyDescent="0.25">
      <c r="I193"/>
      <c r="J193"/>
    </row>
    <row r="194" spans="9:10" x14ac:dyDescent="0.25">
      <c r="I194"/>
      <c r="J194"/>
    </row>
    <row r="195" spans="9:10" x14ac:dyDescent="0.25">
      <c r="I195"/>
      <c r="J195"/>
    </row>
    <row r="196" spans="9:10" x14ac:dyDescent="0.25">
      <c r="I196"/>
      <c r="J196"/>
    </row>
    <row r="197" spans="9:10" x14ac:dyDescent="0.25">
      <c r="I197"/>
      <c r="J197"/>
    </row>
    <row r="198" spans="9:10" x14ac:dyDescent="0.25">
      <c r="I198"/>
      <c r="J198"/>
    </row>
    <row r="199" spans="9:10" x14ac:dyDescent="0.25">
      <c r="I199"/>
      <c r="J199"/>
    </row>
    <row r="200" spans="9:10" x14ac:dyDescent="0.25">
      <c r="I200"/>
      <c r="J200"/>
    </row>
    <row r="201" spans="9:10" x14ac:dyDescent="0.25">
      <c r="I201"/>
      <c r="J201"/>
    </row>
    <row r="202" spans="9:10" x14ac:dyDescent="0.25">
      <c r="I202"/>
      <c r="J202"/>
    </row>
    <row r="203" spans="9:10" x14ac:dyDescent="0.25">
      <c r="I203"/>
      <c r="J203"/>
    </row>
    <row r="204" spans="9:10" x14ac:dyDescent="0.25">
      <c r="I204"/>
      <c r="J204"/>
    </row>
    <row r="205" spans="9:10" x14ac:dyDescent="0.25">
      <c r="I205"/>
      <c r="J205"/>
    </row>
    <row r="206" spans="9:10" x14ac:dyDescent="0.25">
      <c r="I206"/>
      <c r="J206"/>
    </row>
    <row r="207" spans="9:10" x14ac:dyDescent="0.25">
      <c r="I207"/>
      <c r="J207"/>
    </row>
    <row r="208" spans="9:10" x14ac:dyDescent="0.25">
      <c r="I208"/>
      <c r="J208"/>
    </row>
    <row r="209" spans="9:10" x14ac:dyDescent="0.25">
      <c r="I209"/>
      <c r="J209"/>
    </row>
    <row r="210" spans="9:10" x14ac:dyDescent="0.25">
      <c r="I210"/>
      <c r="J210"/>
    </row>
    <row r="211" spans="9:10" x14ac:dyDescent="0.25">
      <c r="I211"/>
      <c r="J211"/>
    </row>
    <row r="212" spans="9:10" x14ac:dyDescent="0.25">
      <c r="I212"/>
      <c r="J212"/>
    </row>
    <row r="213" spans="9:10" x14ac:dyDescent="0.25">
      <c r="I213"/>
      <c r="J213"/>
    </row>
    <row r="214" spans="9:10" x14ac:dyDescent="0.25">
      <c r="I214"/>
      <c r="J214"/>
    </row>
    <row r="215" spans="9:10" x14ac:dyDescent="0.25">
      <c r="I215"/>
      <c r="J215"/>
    </row>
    <row r="216" spans="9:10" x14ac:dyDescent="0.25">
      <c r="I216"/>
      <c r="J216"/>
    </row>
    <row r="217" spans="9:10" x14ac:dyDescent="0.25">
      <c r="I217"/>
      <c r="J217"/>
    </row>
    <row r="218" spans="9:10" x14ac:dyDescent="0.25">
      <c r="I218"/>
      <c r="J218"/>
    </row>
    <row r="219" spans="9:10" x14ac:dyDescent="0.25">
      <c r="I219"/>
      <c r="J219"/>
    </row>
    <row r="220" spans="9:10" x14ac:dyDescent="0.25">
      <c r="I220"/>
      <c r="J220"/>
    </row>
    <row r="221" spans="9:10" x14ac:dyDescent="0.25">
      <c r="I221"/>
      <c r="J221"/>
    </row>
    <row r="222" spans="9:10" x14ac:dyDescent="0.25">
      <c r="I222"/>
      <c r="J222"/>
    </row>
    <row r="223" spans="9:10" x14ac:dyDescent="0.25">
      <c r="I223"/>
      <c r="J223"/>
    </row>
    <row r="224" spans="9:10" x14ac:dyDescent="0.25">
      <c r="I224"/>
      <c r="J224"/>
    </row>
    <row r="225" spans="9:10" x14ac:dyDescent="0.25">
      <c r="I225"/>
      <c r="J225"/>
    </row>
    <row r="226" spans="9:10" x14ac:dyDescent="0.25">
      <c r="I226"/>
      <c r="J226"/>
    </row>
    <row r="227" spans="9:10" x14ac:dyDescent="0.25">
      <c r="I227"/>
      <c r="J227"/>
    </row>
    <row r="228" spans="9:10" x14ac:dyDescent="0.25">
      <c r="I228"/>
      <c r="J228"/>
    </row>
    <row r="229" spans="9:10" x14ac:dyDescent="0.25">
      <c r="I229"/>
      <c r="J229"/>
    </row>
    <row r="230" spans="9:10" x14ac:dyDescent="0.25">
      <c r="I230"/>
      <c r="J230"/>
    </row>
    <row r="231" spans="9:10" x14ac:dyDescent="0.25">
      <c r="I231"/>
      <c r="J231"/>
    </row>
    <row r="232" spans="9:10" x14ac:dyDescent="0.25">
      <c r="I232"/>
      <c r="J232"/>
    </row>
    <row r="233" spans="9:10" x14ac:dyDescent="0.25">
      <c r="I233"/>
      <c r="J233"/>
    </row>
    <row r="234" spans="9:10" x14ac:dyDescent="0.25">
      <c r="I234"/>
      <c r="J234"/>
    </row>
    <row r="235" spans="9:10" x14ac:dyDescent="0.25">
      <c r="I235"/>
      <c r="J235"/>
    </row>
    <row r="236" spans="9:10" x14ac:dyDescent="0.25">
      <c r="I236"/>
      <c r="J236"/>
    </row>
    <row r="237" spans="9:10" x14ac:dyDescent="0.25">
      <c r="I237"/>
      <c r="J237"/>
    </row>
    <row r="238" spans="9:10" x14ac:dyDescent="0.25">
      <c r="I238"/>
      <c r="J238"/>
    </row>
    <row r="239" spans="9:10" x14ac:dyDescent="0.25">
      <c r="I239"/>
      <c r="J239"/>
    </row>
    <row r="240" spans="9:10" x14ac:dyDescent="0.25">
      <c r="I240"/>
      <c r="J240"/>
    </row>
    <row r="241" spans="9:10" x14ac:dyDescent="0.25">
      <c r="I241"/>
      <c r="J241"/>
    </row>
    <row r="242" spans="9:10" x14ac:dyDescent="0.25">
      <c r="I242"/>
      <c r="J242"/>
    </row>
    <row r="243" spans="9:10" x14ac:dyDescent="0.25">
      <c r="I243"/>
      <c r="J243"/>
    </row>
    <row r="244" spans="9:10" x14ac:dyDescent="0.25">
      <c r="I244"/>
      <c r="J244"/>
    </row>
    <row r="245" spans="9:10" x14ac:dyDescent="0.25">
      <c r="I245"/>
      <c r="J245"/>
    </row>
    <row r="246" spans="9:10" x14ac:dyDescent="0.25">
      <c r="I246"/>
      <c r="J246"/>
    </row>
    <row r="247" spans="9:10" x14ac:dyDescent="0.25">
      <c r="I247"/>
      <c r="J247"/>
    </row>
    <row r="248" spans="9:10" x14ac:dyDescent="0.25">
      <c r="I248"/>
      <c r="J248"/>
    </row>
    <row r="249" spans="9:10" x14ac:dyDescent="0.25">
      <c r="I249"/>
      <c r="J249"/>
    </row>
    <row r="250" spans="9:10" x14ac:dyDescent="0.25">
      <c r="I250"/>
      <c r="J250"/>
    </row>
    <row r="251" spans="9:10" x14ac:dyDescent="0.25">
      <c r="I251"/>
      <c r="J251"/>
    </row>
    <row r="252" spans="9:10" x14ac:dyDescent="0.25">
      <c r="I252"/>
      <c r="J252"/>
    </row>
    <row r="253" spans="9:10" x14ac:dyDescent="0.25">
      <c r="I253"/>
      <c r="J253"/>
    </row>
    <row r="254" spans="9:10" x14ac:dyDescent="0.25">
      <c r="I254"/>
      <c r="J254"/>
    </row>
    <row r="255" spans="9:10" x14ac:dyDescent="0.25">
      <c r="I255"/>
      <c r="J255"/>
    </row>
    <row r="256" spans="9:10" x14ac:dyDescent="0.25">
      <c r="I256"/>
      <c r="J256"/>
    </row>
    <row r="257" spans="9:10" x14ac:dyDescent="0.25">
      <c r="I257"/>
      <c r="J257"/>
    </row>
    <row r="258" spans="9:10" x14ac:dyDescent="0.25">
      <c r="I258"/>
      <c r="J258"/>
    </row>
    <row r="259" spans="9:10" x14ac:dyDescent="0.25">
      <c r="I259"/>
      <c r="J259"/>
    </row>
    <row r="260" spans="9:10" x14ac:dyDescent="0.25">
      <c r="I260"/>
      <c r="J260"/>
    </row>
    <row r="261" spans="9:10" x14ac:dyDescent="0.25">
      <c r="I261"/>
      <c r="J261"/>
    </row>
    <row r="262" spans="9:10" x14ac:dyDescent="0.25">
      <c r="I262"/>
      <c r="J262"/>
    </row>
    <row r="263" spans="9:10" x14ac:dyDescent="0.25">
      <c r="I263"/>
      <c r="J263"/>
    </row>
    <row r="264" spans="9:10" x14ac:dyDescent="0.25">
      <c r="I264"/>
      <c r="J264"/>
    </row>
    <row r="265" spans="9:10" x14ac:dyDescent="0.25">
      <c r="I265"/>
      <c r="J265"/>
    </row>
    <row r="266" spans="9:10" x14ac:dyDescent="0.25">
      <c r="I266"/>
      <c r="J266"/>
    </row>
    <row r="267" spans="9:10" x14ac:dyDescent="0.25">
      <c r="I267"/>
      <c r="J267"/>
    </row>
    <row r="268" spans="9:10" x14ac:dyDescent="0.25">
      <c r="I268"/>
      <c r="J268"/>
    </row>
    <row r="269" spans="9:10" x14ac:dyDescent="0.25">
      <c r="I269"/>
      <c r="J269"/>
    </row>
    <row r="270" spans="9:10" x14ac:dyDescent="0.25">
      <c r="I270"/>
      <c r="J270"/>
    </row>
    <row r="271" spans="9:10" x14ac:dyDescent="0.25">
      <c r="I271"/>
      <c r="J271"/>
    </row>
    <row r="272" spans="9:10" x14ac:dyDescent="0.25">
      <c r="I272"/>
      <c r="J272"/>
    </row>
    <row r="273" spans="9:10" x14ac:dyDescent="0.25">
      <c r="I273"/>
      <c r="J273"/>
    </row>
    <row r="274" spans="9:10" x14ac:dyDescent="0.25">
      <c r="I274"/>
      <c r="J274"/>
    </row>
    <row r="275" spans="9:10" x14ac:dyDescent="0.25">
      <c r="I275"/>
      <c r="J275"/>
    </row>
    <row r="276" spans="9:10" x14ac:dyDescent="0.25">
      <c r="I276"/>
      <c r="J276"/>
    </row>
    <row r="277" spans="9:10" x14ac:dyDescent="0.25">
      <c r="I277"/>
      <c r="J277"/>
    </row>
    <row r="278" spans="9:10" x14ac:dyDescent="0.25">
      <c r="I278"/>
      <c r="J278"/>
    </row>
    <row r="279" spans="9:10" x14ac:dyDescent="0.25">
      <c r="I279"/>
      <c r="J279"/>
    </row>
    <row r="280" spans="9:10" x14ac:dyDescent="0.25">
      <c r="I280"/>
      <c r="J280"/>
    </row>
    <row r="281" spans="9:10" x14ac:dyDescent="0.25">
      <c r="I281"/>
      <c r="J281"/>
    </row>
    <row r="282" spans="9:10" x14ac:dyDescent="0.25">
      <c r="I282"/>
      <c r="J282"/>
    </row>
    <row r="283" spans="9:10" x14ac:dyDescent="0.25">
      <c r="I283"/>
      <c r="J283"/>
    </row>
    <row r="284" spans="9:10" x14ac:dyDescent="0.25">
      <c r="I284"/>
      <c r="J284"/>
    </row>
    <row r="285" spans="9:10" x14ac:dyDescent="0.25">
      <c r="I285"/>
      <c r="J285"/>
    </row>
    <row r="286" spans="9:10" x14ac:dyDescent="0.25">
      <c r="I286"/>
      <c r="J286"/>
    </row>
    <row r="287" spans="9:10" x14ac:dyDescent="0.25">
      <c r="I287"/>
      <c r="J287"/>
    </row>
    <row r="288" spans="9:10" x14ac:dyDescent="0.25">
      <c r="I288"/>
      <c r="J288"/>
    </row>
    <row r="289" spans="9:10" x14ac:dyDescent="0.25">
      <c r="I289"/>
      <c r="J289"/>
    </row>
    <row r="290" spans="9:10" x14ac:dyDescent="0.25">
      <c r="I290"/>
      <c r="J290"/>
    </row>
    <row r="291" spans="9:10" x14ac:dyDescent="0.25">
      <c r="I291"/>
      <c r="J291"/>
    </row>
    <row r="292" spans="9:10" x14ac:dyDescent="0.25">
      <c r="I292"/>
      <c r="J292"/>
    </row>
    <row r="293" spans="9:10" x14ac:dyDescent="0.25">
      <c r="I293"/>
      <c r="J293"/>
    </row>
    <row r="294" spans="9:10" x14ac:dyDescent="0.25">
      <c r="I294"/>
      <c r="J294"/>
    </row>
    <row r="295" spans="9:10" x14ac:dyDescent="0.25">
      <c r="I295"/>
      <c r="J295"/>
    </row>
    <row r="296" spans="9:10" x14ac:dyDescent="0.25">
      <c r="I296"/>
      <c r="J296"/>
    </row>
    <row r="297" spans="9:10" x14ac:dyDescent="0.25">
      <c r="I297"/>
      <c r="J297"/>
    </row>
    <row r="298" spans="9:10" x14ac:dyDescent="0.25">
      <c r="I298"/>
      <c r="J298"/>
    </row>
    <row r="299" spans="9:10" x14ac:dyDescent="0.25">
      <c r="I299"/>
      <c r="J299"/>
    </row>
    <row r="300" spans="9:10" x14ac:dyDescent="0.25">
      <c r="I300"/>
      <c r="J300"/>
    </row>
    <row r="301" spans="9:10" x14ac:dyDescent="0.25">
      <c r="I301"/>
      <c r="J301"/>
    </row>
    <row r="302" spans="9:10" x14ac:dyDescent="0.25">
      <c r="I302"/>
      <c r="J302"/>
    </row>
    <row r="303" spans="9:10" x14ac:dyDescent="0.25">
      <c r="I303"/>
      <c r="J303"/>
    </row>
    <row r="304" spans="9:10" x14ac:dyDescent="0.25">
      <c r="I304"/>
      <c r="J304"/>
    </row>
    <row r="305" spans="9:10" x14ac:dyDescent="0.25">
      <c r="I305"/>
      <c r="J305"/>
    </row>
    <row r="306" spans="9:10" x14ac:dyDescent="0.25">
      <c r="I306"/>
      <c r="J306"/>
    </row>
    <row r="307" spans="9:10" x14ac:dyDescent="0.25">
      <c r="I307"/>
      <c r="J307"/>
    </row>
    <row r="308" spans="9:10" x14ac:dyDescent="0.25">
      <c r="I308"/>
      <c r="J308"/>
    </row>
    <row r="309" spans="9:10" x14ac:dyDescent="0.25">
      <c r="I309"/>
      <c r="J309"/>
    </row>
    <row r="310" spans="9:10" x14ac:dyDescent="0.25">
      <c r="I310"/>
      <c r="J310"/>
    </row>
    <row r="311" spans="9:10" x14ac:dyDescent="0.25">
      <c r="I311"/>
      <c r="J311"/>
    </row>
    <row r="312" spans="9:10" x14ac:dyDescent="0.25">
      <c r="I312"/>
      <c r="J312"/>
    </row>
    <row r="313" spans="9:10" x14ac:dyDescent="0.25">
      <c r="I313"/>
      <c r="J313"/>
    </row>
    <row r="314" spans="9:10" x14ac:dyDescent="0.25">
      <c r="I314"/>
      <c r="J314"/>
    </row>
    <row r="315" spans="9:10" x14ac:dyDescent="0.25">
      <c r="I315"/>
      <c r="J315"/>
    </row>
    <row r="316" spans="9:10" x14ac:dyDescent="0.25">
      <c r="I316"/>
      <c r="J316"/>
    </row>
    <row r="317" spans="9:10" x14ac:dyDescent="0.25">
      <c r="I317"/>
      <c r="J317"/>
    </row>
    <row r="318" spans="9:10" x14ac:dyDescent="0.25">
      <c r="I318"/>
      <c r="J318"/>
    </row>
    <row r="319" spans="9:10" x14ac:dyDescent="0.25">
      <c r="I319"/>
      <c r="J319"/>
    </row>
    <row r="320" spans="9:10" x14ac:dyDescent="0.25">
      <c r="I320"/>
      <c r="J320"/>
    </row>
    <row r="321" spans="9:10" x14ac:dyDescent="0.25">
      <c r="I321"/>
      <c r="J321"/>
    </row>
    <row r="322" spans="9:10" x14ac:dyDescent="0.25">
      <c r="I322"/>
      <c r="J322"/>
    </row>
    <row r="323" spans="9:10" x14ac:dyDescent="0.25">
      <c r="I323"/>
      <c r="J323"/>
    </row>
    <row r="324" spans="9:10" x14ac:dyDescent="0.25">
      <c r="I324"/>
      <c r="J324"/>
    </row>
    <row r="325" spans="9:10" x14ac:dyDescent="0.25">
      <c r="I325"/>
      <c r="J325"/>
    </row>
    <row r="326" spans="9:10" x14ac:dyDescent="0.25">
      <c r="I326"/>
      <c r="J326"/>
    </row>
    <row r="327" spans="9:10" x14ac:dyDescent="0.25">
      <c r="I327"/>
      <c r="J327"/>
    </row>
    <row r="328" spans="9:10" x14ac:dyDescent="0.25">
      <c r="I328"/>
      <c r="J328"/>
    </row>
    <row r="329" spans="9:10" x14ac:dyDescent="0.25">
      <c r="I329"/>
      <c r="J329"/>
    </row>
    <row r="330" spans="9:10" x14ac:dyDescent="0.25">
      <c r="I330"/>
      <c r="J330"/>
    </row>
    <row r="331" spans="9:10" x14ac:dyDescent="0.25">
      <c r="I331"/>
      <c r="J331"/>
    </row>
    <row r="332" spans="9:10" x14ac:dyDescent="0.25">
      <c r="I332"/>
      <c r="J332"/>
    </row>
    <row r="333" spans="9:10" x14ac:dyDescent="0.25">
      <c r="I333"/>
      <c r="J333"/>
    </row>
    <row r="334" spans="9:10" x14ac:dyDescent="0.25">
      <c r="I334"/>
      <c r="J334"/>
    </row>
    <row r="335" spans="9:10" x14ac:dyDescent="0.25">
      <c r="I335"/>
      <c r="J335"/>
    </row>
    <row r="336" spans="9:10" x14ac:dyDescent="0.25">
      <c r="I336"/>
      <c r="J336"/>
    </row>
    <row r="337" spans="9:10" x14ac:dyDescent="0.25">
      <c r="I337"/>
      <c r="J337"/>
    </row>
    <row r="338" spans="9:10" x14ac:dyDescent="0.25">
      <c r="I338"/>
      <c r="J338"/>
    </row>
    <row r="339" spans="9:10" x14ac:dyDescent="0.25">
      <c r="I339"/>
      <c r="J339"/>
    </row>
    <row r="340" spans="9:10" x14ac:dyDescent="0.25">
      <c r="I340"/>
      <c r="J340"/>
    </row>
    <row r="341" spans="9:10" x14ac:dyDescent="0.25">
      <c r="I341"/>
      <c r="J341"/>
    </row>
    <row r="342" spans="9:10" x14ac:dyDescent="0.25">
      <c r="I342"/>
      <c r="J342"/>
    </row>
    <row r="343" spans="9:10" x14ac:dyDescent="0.25">
      <c r="I343"/>
      <c r="J343"/>
    </row>
    <row r="344" spans="9:10" x14ac:dyDescent="0.25">
      <c r="I344"/>
      <c r="J344"/>
    </row>
    <row r="345" spans="9:10" x14ac:dyDescent="0.25">
      <c r="I345"/>
      <c r="J345"/>
    </row>
    <row r="346" spans="9:10" x14ac:dyDescent="0.25">
      <c r="I346"/>
      <c r="J346"/>
    </row>
    <row r="347" spans="9:10" x14ac:dyDescent="0.25">
      <c r="I347"/>
      <c r="J347"/>
    </row>
    <row r="348" spans="9:10" x14ac:dyDescent="0.25">
      <c r="I348"/>
      <c r="J348"/>
    </row>
    <row r="349" spans="9:10" x14ac:dyDescent="0.25">
      <c r="I349"/>
      <c r="J349"/>
    </row>
    <row r="350" spans="9:10" x14ac:dyDescent="0.25">
      <c r="I350"/>
      <c r="J350"/>
    </row>
    <row r="351" spans="9:10" x14ac:dyDescent="0.25">
      <c r="I351"/>
      <c r="J351"/>
    </row>
    <row r="352" spans="9:10" x14ac:dyDescent="0.25">
      <c r="I352"/>
      <c r="J352"/>
    </row>
    <row r="353" spans="9:10" x14ac:dyDescent="0.25">
      <c r="I353"/>
      <c r="J353"/>
    </row>
    <row r="354" spans="9:10" x14ac:dyDescent="0.25">
      <c r="I354"/>
      <c r="J354"/>
    </row>
    <row r="355" spans="9:10" x14ac:dyDescent="0.25">
      <c r="I355"/>
      <c r="J355"/>
    </row>
    <row r="356" spans="9:10" x14ac:dyDescent="0.25">
      <c r="I356"/>
      <c r="J356"/>
    </row>
    <row r="357" spans="9:10" x14ac:dyDescent="0.25">
      <c r="I357"/>
      <c r="J357"/>
    </row>
    <row r="358" spans="9:10" x14ac:dyDescent="0.25">
      <c r="I358"/>
      <c r="J358"/>
    </row>
    <row r="359" spans="9:10" x14ac:dyDescent="0.25">
      <c r="I359"/>
      <c r="J359"/>
    </row>
    <row r="360" spans="9:10" x14ac:dyDescent="0.25">
      <c r="I360"/>
      <c r="J360"/>
    </row>
    <row r="361" spans="9:10" x14ac:dyDescent="0.25">
      <c r="I361"/>
      <c r="J361"/>
    </row>
    <row r="362" spans="9:10" x14ac:dyDescent="0.25">
      <c r="I362"/>
      <c r="J362"/>
    </row>
    <row r="363" spans="9:10" x14ac:dyDescent="0.25">
      <c r="I363"/>
      <c r="J363"/>
    </row>
    <row r="364" spans="9:10" x14ac:dyDescent="0.25">
      <c r="I364"/>
      <c r="J364"/>
    </row>
    <row r="365" spans="9:10" x14ac:dyDescent="0.25">
      <c r="I365"/>
      <c r="J365"/>
    </row>
    <row r="366" spans="9:10" x14ac:dyDescent="0.25">
      <c r="I366"/>
      <c r="J366"/>
    </row>
    <row r="367" spans="9:10" x14ac:dyDescent="0.25">
      <c r="I367"/>
      <c r="J367"/>
    </row>
    <row r="368" spans="9:10" x14ac:dyDescent="0.25">
      <c r="I368"/>
      <c r="J368"/>
    </row>
    <row r="369" spans="9:10" x14ac:dyDescent="0.25">
      <c r="I369"/>
      <c r="J369"/>
    </row>
    <row r="370" spans="9:10" x14ac:dyDescent="0.25">
      <c r="I370"/>
      <c r="J370"/>
    </row>
    <row r="371" spans="9:10" x14ac:dyDescent="0.25">
      <c r="I371"/>
      <c r="J371"/>
    </row>
    <row r="372" spans="9:10" x14ac:dyDescent="0.25">
      <c r="I372"/>
      <c r="J372"/>
    </row>
    <row r="373" spans="9:10" x14ac:dyDescent="0.25">
      <c r="I373"/>
      <c r="J373"/>
    </row>
    <row r="374" spans="9:10" x14ac:dyDescent="0.25">
      <c r="I374"/>
      <c r="J374"/>
    </row>
    <row r="375" spans="9:10" x14ac:dyDescent="0.25">
      <c r="I375"/>
      <c r="J375"/>
    </row>
    <row r="376" spans="9:10" x14ac:dyDescent="0.25">
      <c r="I376"/>
      <c r="J376"/>
    </row>
    <row r="377" spans="9:10" x14ac:dyDescent="0.25">
      <c r="I377"/>
      <c r="J377"/>
    </row>
    <row r="378" spans="9:10" x14ac:dyDescent="0.25">
      <c r="I378"/>
      <c r="J378"/>
    </row>
    <row r="379" spans="9:10" x14ac:dyDescent="0.25">
      <c r="I379"/>
      <c r="J379"/>
    </row>
    <row r="380" spans="9:10" x14ac:dyDescent="0.25">
      <c r="I380"/>
      <c r="J380"/>
    </row>
    <row r="381" spans="9:10" x14ac:dyDescent="0.25">
      <c r="I381"/>
      <c r="J381"/>
    </row>
    <row r="382" spans="9:10" x14ac:dyDescent="0.25">
      <c r="I382"/>
      <c r="J382"/>
    </row>
    <row r="383" spans="9:10" x14ac:dyDescent="0.25">
      <c r="I383"/>
      <c r="J383"/>
    </row>
    <row r="384" spans="9:10" x14ac:dyDescent="0.25">
      <c r="I384"/>
      <c r="J384"/>
    </row>
    <row r="385" spans="9:10" x14ac:dyDescent="0.25">
      <c r="I385"/>
      <c r="J385"/>
    </row>
    <row r="386" spans="9:10" x14ac:dyDescent="0.25">
      <c r="I386"/>
      <c r="J386"/>
    </row>
    <row r="387" spans="9:10" x14ac:dyDescent="0.25">
      <c r="I387"/>
      <c r="J387"/>
    </row>
    <row r="388" spans="9:10" x14ac:dyDescent="0.25">
      <c r="I388"/>
      <c r="J388"/>
    </row>
    <row r="389" spans="9:10" x14ac:dyDescent="0.25">
      <c r="I389"/>
      <c r="J389"/>
    </row>
    <row r="390" spans="9:10" x14ac:dyDescent="0.25">
      <c r="I390"/>
      <c r="J390"/>
    </row>
    <row r="391" spans="9:10" x14ac:dyDescent="0.25">
      <c r="I391"/>
      <c r="J391"/>
    </row>
    <row r="392" spans="9:10" x14ac:dyDescent="0.25">
      <c r="I392"/>
      <c r="J392"/>
    </row>
    <row r="393" spans="9:10" x14ac:dyDescent="0.25">
      <c r="I393"/>
      <c r="J393"/>
    </row>
    <row r="394" spans="9:10" x14ac:dyDescent="0.25">
      <c r="I394"/>
      <c r="J394"/>
    </row>
    <row r="395" spans="9:10" x14ac:dyDescent="0.25">
      <c r="I395"/>
      <c r="J395"/>
    </row>
    <row r="396" spans="9:10" x14ac:dyDescent="0.25">
      <c r="I396"/>
      <c r="J396"/>
    </row>
    <row r="397" spans="9:10" x14ac:dyDescent="0.25">
      <c r="I397"/>
      <c r="J397"/>
    </row>
    <row r="398" spans="9:10" x14ac:dyDescent="0.25">
      <c r="I398"/>
      <c r="J398"/>
    </row>
    <row r="399" spans="9:10" x14ac:dyDescent="0.25">
      <c r="I399"/>
      <c r="J399"/>
    </row>
    <row r="400" spans="9:10" x14ac:dyDescent="0.25">
      <c r="I400"/>
      <c r="J400"/>
    </row>
    <row r="401" spans="9:10" x14ac:dyDescent="0.25">
      <c r="I401"/>
      <c r="J401"/>
    </row>
    <row r="402" spans="9:10" x14ac:dyDescent="0.25">
      <c r="I402"/>
      <c r="J402"/>
    </row>
    <row r="403" spans="9:10" x14ac:dyDescent="0.25">
      <c r="I403"/>
      <c r="J403"/>
    </row>
    <row r="404" spans="9:10" x14ac:dyDescent="0.25">
      <c r="I404"/>
      <c r="J404"/>
    </row>
    <row r="405" spans="9:10" x14ac:dyDescent="0.25">
      <c r="I405"/>
      <c r="J405"/>
    </row>
    <row r="406" spans="9:10" x14ac:dyDescent="0.25">
      <c r="I406"/>
      <c r="J406"/>
    </row>
    <row r="407" spans="9:10" x14ac:dyDescent="0.25">
      <c r="I407"/>
      <c r="J407"/>
    </row>
    <row r="408" spans="9:10" x14ac:dyDescent="0.25">
      <c r="I408"/>
      <c r="J408"/>
    </row>
    <row r="409" spans="9:10" x14ac:dyDescent="0.25">
      <c r="I409"/>
      <c r="J409"/>
    </row>
    <row r="410" spans="9:10" x14ac:dyDescent="0.25">
      <c r="I410"/>
      <c r="J410"/>
    </row>
    <row r="411" spans="9:10" x14ac:dyDescent="0.25">
      <c r="I411"/>
      <c r="J411"/>
    </row>
    <row r="412" spans="9:10" x14ac:dyDescent="0.25">
      <c r="I412"/>
      <c r="J412"/>
    </row>
    <row r="413" spans="9:10" x14ac:dyDescent="0.25">
      <c r="I413"/>
      <c r="J413"/>
    </row>
    <row r="414" spans="9:10" x14ac:dyDescent="0.25">
      <c r="I414"/>
      <c r="J414"/>
    </row>
    <row r="415" spans="9:10" x14ac:dyDescent="0.25">
      <c r="I415"/>
      <c r="J415"/>
    </row>
    <row r="416" spans="9:10" x14ac:dyDescent="0.25">
      <c r="I416"/>
      <c r="J416"/>
    </row>
    <row r="417" spans="9:10" x14ac:dyDescent="0.25">
      <c r="I417"/>
      <c r="J417"/>
    </row>
    <row r="418" spans="9:10" x14ac:dyDescent="0.25">
      <c r="I418"/>
      <c r="J418"/>
    </row>
    <row r="419" spans="9:10" x14ac:dyDescent="0.25">
      <c r="I419"/>
      <c r="J419"/>
    </row>
    <row r="420" spans="9:10" x14ac:dyDescent="0.25">
      <c r="I420"/>
      <c r="J420"/>
    </row>
    <row r="421" spans="9:10" x14ac:dyDescent="0.25">
      <c r="I421"/>
      <c r="J421"/>
    </row>
    <row r="422" spans="9:10" x14ac:dyDescent="0.25">
      <c r="I422"/>
      <c r="J422"/>
    </row>
    <row r="423" spans="9:10" x14ac:dyDescent="0.25">
      <c r="I423"/>
      <c r="J423"/>
    </row>
    <row r="424" spans="9:10" x14ac:dyDescent="0.25">
      <c r="I424"/>
      <c r="J424"/>
    </row>
    <row r="425" spans="9:10" x14ac:dyDescent="0.25">
      <c r="I425"/>
      <c r="J425"/>
    </row>
    <row r="426" spans="9:10" x14ac:dyDescent="0.25">
      <c r="I426"/>
      <c r="J426"/>
    </row>
    <row r="427" spans="9:10" x14ac:dyDescent="0.25">
      <c r="I427"/>
      <c r="J427"/>
    </row>
    <row r="428" spans="9:10" x14ac:dyDescent="0.25">
      <c r="I428"/>
      <c r="J428"/>
    </row>
    <row r="429" spans="9:10" x14ac:dyDescent="0.25">
      <c r="I429"/>
      <c r="J429"/>
    </row>
    <row r="430" spans="9:10" x14ac:dyDescent="0.25">
      <c r="I430"/>
      <c r="J430"/>
    </row>
    <row r="431" spans="9:10" x14ac:dyDescent="0.25">
      <c r="I431"/>
      <c r="J431"/>
    </row>
    <row r="432" spans="9:10" x14ac:dyDescent="0.25">
      <c r="I432"/>
      <c r="J432"/>
    </row>
    <row r="433" spans="9:10" x14ac:dyDescent="0.25">
      <c r="I433"/>
      <c r="J433"/>
    </row>
    <row r="434" spans="9:10" x14ac:dyDescent="0.25">
      <c r="I434"/>
      <c r="J434"/>
    </row>
    <row r="435" spans="9:10" x14ac:dyDescent="0.25">
      <c r="I435"/>
      <c r="J435"/>
    </row>
    <row r="436" spans="9:10" x14ac:dyDescent="0.25">
      <c r="I436"/>
      <c r="J436"/>
    </row>
    <row r="437" spans="9:10" x14ac:dyDescent="0.25">
      <c r="I437"/>
      <c r="J437"/>
    </row>
    <row r="438" spans="9:10" x14ac:dyDescent="0.25">
      <c r="I438"/>
      <c r="J438"/>
    </row>
    <row r="439" spans="9:10" x14ac:dyDescent="0.25">
      <c r="I439"/>
      <c r="J439"/>
    </row>
    <row r="440" spans="9:10" x14ac:dyDescent="0.25">
      <c r="I440"/>
      <c r="J440"/>
    </row>
    <row r="441" spans="9:10" x14ac:dyDescent="0.25">
      <c r="I441"/>
      <c r="J441"/>
    </row>
    <row r="442" spans="9:10" x14ac:dyDescent="0.25">
      <c r="I442"/>
      <c r="J442"/>
    </row>
    <row r="443" spans="9:10" x14ac:dyDescent="0.25">
      <c r="I443"/>
      <c r="J443"/>
    </row>
    <row r="444" spans="9:10" x14ac:dyDescent="0.25">
      <c r="I444"/>
      <c r="J444"/>
    </row>
    <row r="445" spans="9:10" x14ac:dyDescent="0.25">
      <c r="I445"/>
      <c r="J445"/>
    </row>
    <row r="446" spans="9:10" x14ac:dyDescent="0.25">
      <c r="I446"/>
      <c r="J446"/>
    </row>
    <row r="447" spans="9:10" x14ac:dyDescent="0.25">
      <c r="I447"/>
      <c r="J447"/>
    </row>
    <row r="448" spans="9:10" x14ac:dyDescent="0.25">
      <c r="I448"/>
      <c r="J448"/>
    </row>
    <row r="449" spans="9:10" x14ac:dyDescent="0.25">
      <c r="I449"/>
      <c r="J449"/>
    </row>
    <row r="450" spans="9:10" x14ac:dyDescent="0.25">
      <c r="I450"/>
      <c r="J450"/>
    </row>
    <row r="451" spans="9:10" x14ac:dyDescent="0.25">
      <c r="I451"/>
      <c r="J451"/>
    </row>
    <row r="452" spans="9:10" x14ac:dyDescent="0.25">
      <c r="I452"/>
      <c r="J452"/>
    </row>
    <row r="453" spans="9:10" x14ac:dyDescent="0.25">
      <c r="I453"/>
      <c r="J453"/>
    </row>
    <row r="454" spans="9:10" x14ac:dyDescent="0.25">
      <c r="I454"/>
      <c r="J454"/>
    </row>
    <row r="455" spans="9:10" x14ac:dyDescent="0.25">
      <c r="I455"/>
      <c r="J455"/>
    </row>
    <row r="456" spans="9:10" x14ac:dyDescent="0.25">
      <c r="I456"/>
      <c r="J456"/>
    </row>
    <row r="457" spans="9:10" x14ac:dyDescent="0.25">
      <c r="I457"/>
      <c r="J457"/>
    </row>
    <row r="458" spans="9:10" x14ac:dyDescent="0.25">
      <c r="I458"/>
      <c r="J458"/>
    </row>
    <row r="459" spans="9:10" x14ac:dyDescent="0.25">
      <c r="I459"/>
      <c r="J459"/>
    </row>
    <row r="460" spans="9:10" x14ac:dyDescent="0.25">
      <c r="I460"/>
      <c r="J460"/>
    </row>
    <row r="461" spans="9:10" x14ac:dyDescent="0.25">
      <c r="I461"/>
      <c r="J461"/>
    </row>
    <row r="462" spans="9:10" x14ac:dyDescent="0.25">
      <c r="I462"/>
      <c r="J462"/>
    </row>
    <row r="463" spans="9:10" x14ac:dyDescent="0.25">
      <c r="I463"/>
      <c r="J463"/>
    </row>
    <row r="464" spans="9:10" x14ac:dyDescent="0.25">
      <c r="I464"/>
      <c r="J464"/>
    </row>
    <row r="465" spans="9:10" x14ac:dyDescent="0.25">
      <c r="I465"/>
      <c r="J465"/>
    </row>
    <row r="466" spans="9:10" x14ac:dyDescent="0.25">
      <c r="I466"/>
      <c r="J466"/>
    </row>
    <row r="467" spans="9:10" x14ac:dyDescent="0.25">
      <c r="I467"/>
      <c r="J467"/>
    </row>
    <row r="468" spans="9:10" x14ac:dyDescent="0.25">
      <c r="I468"/>
      <c r="J468"/>
    </row>
    <row r="469" spans="9:10" x14ac:dyDescent="0.25">
      <c r="I469"/>
      <c r="J469"/>
    </row>
    <row r="470" spans="9:10" x14ac:dyDescent="0.25">
      <c r="I470"/>
      <c r="J470"/>
    </row>
    <row r="471" spans="9:10" x14ac:dyDescent="0.25">
      <c r="I471"/>
      <c r="J471"/>
    </row>
    <row r="472" spans="9:10" x14ac:dyDescent="0.25">
      <c r="I472"/>
      <c r="J472"/>
    </row>
    <row r="473" spans="9:10" x14ac:dyDescent="0.25">
      <c r="I473"/>
      <c r="J473"/>
    </row>
    <row r="474" spans="9:10" x14ac:dyDescent="0.25">
      <c r="I474"/>
      <c r="J474"/>
    </row>
    <row r="475" spans="9:10" x14ac:dyDescent="0.25">
      <c r="I475"/>
      <c r="J475"/>
    </row>
    <row r="476" spans="9:10" x14ac:dyDescent="0.25">
      <c r="I476"/>
      <c r="J476"/>
    </row>
    <row r="477" spans="9:10" x14ac:dyDescent="0.25">
      <c r="I477"/>
      <c r="J477"/>
    </row>
    <row r="478" spans="9:10" x14ac:dyDescent="0.25">
      <c r="I478"/>
      <c r="J478"/>
    </row>
    <row r="479" spans="9:10" x14ac:dyDescent="0.25">
      <c r="I479"/>
      <c r="J479"/>
    </row>
    <row r="480" spans="9:10" x14ac:dyDescent="0.25">
      <c r="I480"/>
      <c r="J480"/>
    </row>
    <row r="481" spans="9:10" x14ac:dyDescent="0.25">
      <c r="I481"/>
      <c r="J481"/>
    </row>
    <row r="482" spans="9:10" x14ac:dyDescent="0.25">
      <c r="I482"/>
      <c r="J482"/>
    </row>
    <row r="483" spans="9:10" x14ac:dyDescent="0.25">
      <c r="I483"/>
      <c r="J483"/>
    </row>
    <row r="484" spans="9:10" x14ac:dyDescent="0.25">
      <c r="I484"/>
      <c r="J484"/>
    </row>
    <row r="485" spans="9:10" x14ac:dyDescent="0.25">
      <c r="I485"/>
      <c r="J485"/>
    </row>
    <row r="486" spans="9:10" x14ac:dyDescent="0.25">
      <c r="I486"/>
      <c r="J486"/>
    </row>
    <row r="487" spans="9:10" x14ac:dyDescent="0.25">
      <c r="I487"/>
      <c r="J487"/>
    </row>
    <row r="488" spans="9:10" x14ac:dyDescent="0.25">
      <c r="I488"/>
      <c r="J488"/>
    </row>
    <row r="489" spans="9:10" x14ac:dyDescent="0.25">
      <c r="I489"/>
      <c r="J489"/>
    </row>
    <row r="490" spans="9:10" x14ac:dyDescent="0.25">
      <c r="I490"/>
      <c r="J490"/>
    </row>
    <row r="491" spans="9:10" x14ac:dyDescent="0.25">
      <c r="I491"/>
      <c r="J491"/>
    </row>
    <row r="492" spans="9:10" x14ac:dyDescent="0.25">
      <c r="I492"/>
      <c r="J492"/>
    </row>
    <row r="493" spans="9:10" x14ac:dyDescent="0.25">
      <c r="I493"/>
      <c r="J493"/>
    </row>
    <row r="494" spans="9:10" x14ac:dyDescent="0.25">
      <c r="I494"/>
      <c r="J494"/>
    </row>
    <row r="495" spans="9:10" x14ac:dyDescent="0.25">
      <c r="I495"/>
      <c r="J495"/>
    </row>
    <row r="496" spans="9:10" x14ac:dyDescent="0.25">
      <c r="I496"/>
      <c r="J496"/>
    </row>
    <row r="497" spans="9:10" x14ac:dyDescent="0.25">
      <c r="I497"/>
      <c r="J497"/>
    </row>
    <row r="498" spans="9:10" x14ac:dyDescent="0.25">
      <c r="I498"/>
      <c r="J498"/>
    </row>
    <row r="499" spans="9:10" x14ac:dyDescent="0.25">
      <c r="I499"/>
      <c r="J499"/>
    </row>
    <row r="500" spans="9:10" x14ac:dyDescent="0.25">
      <c r="I500"/>
      <c r="J500"/>
    </row>
    <row r="501" spans="9:10" x14ac:dyDescent="0.25">
      <c r="I501"/>
      <c r="J501"/>
    </row>
    <row r="502" spans="9:10" x14ac:dyDescent="0.25">
      <c r="I502"/>
      <c r="J502"/>
    </row>
    <row r="503" spans="9:10" x14ac:dyDescent="0.25">
      <c r="I503"/>
      <c r="J503"/>
    </row>
    <row r="504" spans="9:10" x14ac:dyDescent="0.25">
      <c r="I504"/>
      <c r="J504"/>
    </row>
    <row r="505" spans="9:10" x14ac:dyDescent="0.25">
      <c r="I505"/>
      <c r="J505"/>
    </row>
    <row r="506" spans="9:10" x14ac:dyDescent="0.25">
      <c r="I506"/>
      <c r="J506"/>
    </row>
    <row r="507" spans="9:10" x14ac:dyDescent="0.25">
      <c r="I507"/>
      <c r="J507"/>
    </row>
    <row r="508" spans="9:10" x14ac:dyDescent="0.25">
      <c r="I508"/>
      <c r="J508"/>
    </row>
    <row r="509" spans="9:10" x14ac:dyDescent="0.25">
      <c r="I509"/>
      <c r="J509"/>
    </row>
    <row r="510" spans="9:10" x14ac:dyDescent="0.25">
      <c r="I510"/>
      <c r="J510"/>
    </row>
    <row r="511" spans="9:10" x14ac:dyDescent="0.25">
      <c r="I511"/>
      <c r="J511"/>
    </row>
    <row r="512" spans="9:10" x14ac:dyDescent="0.25">
      <c r="I512"/>
      <c r="J512"/>
    </row>
    <row r="513" spans="9:10" x14ac:dyDescent="0.25">
      <c r="I513"/>
      <c r="J513"/>
    </row>
    <row r="514" spans="9:10" x14ac:dyDescent="0.25">
      <c r="I514"/>
      <c r="J514"/>
    </row>
    <row r="515" spans="9:10" x14ac:dyDescent="0.25">
      <c r="I515"/>
      <c r="J515"/>
    </row>
    <row r="516" spans="9:10" x14ac:dyDescent="0.25">
      <c r="I516"/>
      <c r="J516"/>
    </row>
    <row r="517" spans="9:10" x14ac:dyDescent="0.25">
      <c r="I517"/>
      <c r="J517"/>
    </row>
    <row r="518" spans="9:10" x14ac:dyDescent="0.25">
      <c r="I518"/>
      <c r="J518"/>
    </row>
    <row r="519" spans="9:10" x14ac:dyDescent="0.25">
      <c r="I519"/>
      <c r="J519"/>
    </row>
    <row r="520" spans="9:10" x14ac:dyDescent="0.25">
      <c r="I520"/>
      <c r="J520"/>
    </row>
    <row r="521" spans="9:10" x14ac:dyDescent="0.25">
      <c r="I521"/>
      <c r="J521"/>
    </row>
    <row r="522" spans="9:10" x14ac:dyDescent="0.25">
      <c r="I522"/>
      <c r="J522"/>
    </row>
    <row r="523" spans="9:10" x14ac:dyDescent="0.25">
      <c r="I523"/>
      <c r="J523"/>
    </row>
    <row r="524" spans="9:10" x14ac:dyDescent="0.25">
      <c r="I524"/>
      <c r="J524"/>
    </row>
    <row r="525" spans="9:10" x14ac:dyDescent="0.25">
      <c r="I525"/>
      <c r="J525"/>
    </row>
    <row r="526" spans="9:10" x14ac:dyDescent="0.25">
      <c r="I526"/>
      <c r="J526"/>
    </row>
    <row r="527" spans="9:10" x14ac:dyDescent="0.25">
      <c r="I527"/>
      <c r="J527"/>
    </row>
    <row r="528" spans="9:10" x14ac:dyDescent="0.25">
      <c r="I528"/>
      <c r="J528"/>
    </row>
    <row r="529" spans="9:10" x14ac:dyDescent="0.25">
      <c r="I529"/>
      <c r="J529"/>
    </row>
    <row r="530" spans="9:10" x14ac:dyDescent="0.25">
      <c r="I530"/>
      <c r="J530"/>
    </row>
    <row r="531" spans="9:10" x14ac:dyDescent="0.25">
      <c r="I531"/>
      <c r="J531"/>
    </row>
    <row r="532" spans="9:10" x14ac:dyDescent="0.25">
      <c r="I532"/>
      <c r="J532"/>
    </row>
    <row r="533" spans="9:10" x14ac:dyDescent="0.25">
      <c r="I533"/>
      <c r="J533"/>
    </row>
    <row r="534" spans="9:10" x14ac:dyDescent="0.25">
      <c r="I534"/>
      <c r="J534"/>
    </row>
    <row r="535" spans="9:10" x14ac:dyDescent="0.25">
      <c r="I535"/>
      <c r="J535"/>
    </row>
    <row r="536" spans="9:10" x14ac:dyDescent="0.25">
      <c r="I536"/>
      <c r="J536"/>
    </row>
    <row r="537" spans="9:10" x14ac:dyDescent="0.25">
      <c r="I537"/>
      <c r="J537"/>
    </row>
    <row r="538" spans="9:10" x14ac:dyDescent="0.25">
      <c r="I538"/>
      <c r="J538"/>
    </row>
    <row r="539" spans="9:10" x14ac:dyDescent="0.25">
      <c r="I539"/>
      <c r="J539"/>
    </row>
    <row r="540" spans="9:10" x14ac:dyDescent="0.25">
      <c r="I540"/>
      <c r="J540"/>
    </row>
    <row r="541" spans="9:10" x14ac:dyDescent="0.25">
      <c r="I541"/>
      <c r="J541"/>
    </row>
    <row r="542" spans="9:10" x14ac:dyDescent="0.25">
      <c r="I542"/>
      <c r="J542"/>
    </row>
    <row r="543" spans="9:10" x14ac:dyDescent="0.25">
      <c r="I543"/>
      <c r="J543"/>
    </row>
    <row r="544" spans="9:10" x14ac:dyDescent="0.25">
      <c r="I544"/>
      <c r="J544"/>
    </row>
    <row r="545" spans="9:10" x14ac:dyDescent="0.25">
      <c r="I545"/>
      <c r="J545"/>
    </row>
    <row r="546" spans="9:10" x14ac:dyDescent="0.25">
      <c r="I546"/>
      <c r="J546"/>
    </row>
    <row r="547" spans="9:10" x14ac:dyDescent="0.25">
      <c r="I547"/>
      <c r="J547"/>
    </row>
    <row r="548" spans="9:10" x14ac:dyDescent="0.25">
      <c r="I548"/>
      <c r="J548"/>
    </row>
    <row r="549" spans="9:10" x14ac:dyDescent="0.25">
      <c r="I549"/>
      <c r="J549"/>
    </row>
    <row r="550" spans="9:10" x14ac:dyDescent="0.25">
      <c r="I550"/>
      <c r="J550"/>
    </row>
    <row r="551" spans="9:10" x14ac:dyDescent="0.25">
      <c r="I551"/>
      <c r="J551"/>
    </row>
    <row r="552" spans="9:10" x14ac:dyDescent="0.25">
      <c r="I552"/>
      <c r="J552"/>
    </row>
    <row r="553" spans="9:10" x14ac:dyDescent="0.25">
      <c r="I553"/>
      <c r="J553"/>
    </row>
    <row r="554" spans="9:10" x14ac:dyDescent="0.25">
      <c r="I554"/>
      <c r="J554"/>
    </row>
    <row r="555" spans="9:10" x14ac:dyDescent="0.25">
      <c r="I555"/>
      <c r="J555"/>
    </row>
    <row r="556" spans="9:10" x14ac:dyDescent="0.25">
      <c r="I556"/>
      <c r="J556"/>
    </row>
    <row r="557" spans="9:10" x14ac:dyDescent="0.25">
      <c r="I557"/>
      <c r="J557"/>
    </row>
    <row r="558" spans="9:10" x14ac:dyDescent="0.25">
      <c r="I558"/>
      <c r="J558"/>
    </row>
    <row r="559" spans="9:10" x14ac:dyDescent="0.25">
      <c r="I559"/>
      <c r="J559"/>
    </row>
    <row r="560" spans="9:10" x14ac:dyDescent="0.25">
      <c r="I560"/>
      <c r="J560"/>
    </row>
    <row r="561" spans="9:10" x14ac:dyDescent="0.25">
      <c r="I561"/>
      <c r="J561"/>
    </row>
    <row r="562" spans="9:10" x14ac:dyDescent="0.25">
      <c r="I562"/>
      <c r="J562"/>
    </row>
    <row r="563" spans="9:10" x14ac:dyDescent="0.25">
      <c r="I563"/>
      <c r="J563"/>
    </row>
    <row r="564" spans="9:10" x14ac:dyDescent="0.25">
      <c r="I564"/>
      <c r="J564"/>
    </row>
    <row r="565" spans="9:10" x14ac:dyDescent="0.25">
      <c r="I565"/>
      <c r="J565"/>
    </row>
    <row r="566" spans="9:10" x14ac:dyDescent="0.25">
      <c r="I566"/>
      <c r="J566"/>
    </row>
    <row r="567" spans="9:10" x14ac:dyDescent="0.25">
      <c r="I567"/>
      <c r="J567"/>
    </row>
    <row r="568" spans="9:10" x14ac:dyDescent="0.25">
      <c r="I568"/>
      <c r="J568"/>
    </row>
    <row r="569" spans="9:10" x14ac:dyDescent="0.25">
      <c r="I569"/>
      <c r="J569"/>
    </row>
    <row r="570" spans="9:10" x14ac:dyDescent="0.25">
      <c r="I570"/>
      <c r="J570"/>
    </row>
    <row r="571" spans="9:10" x14ac:dyDescent="0.25">
      <c r="I571"/>
      <c r="J571"/>
    </row>
    <row r="572" spans="9:10" x14ac:dyDescent="0.25">
      <c r="I572"/>
      <c r="J572"/>
    </row>
    <row r="573" spans="9:10" x14ac:dyDescent="0.25">
      <c r="I573"/>
      <c r="J573"/>
    </row>
    <row r="574" spans="9:10" x14ac:dyDescent="0.25">
      <c r="I574"/>
      <c r="J574"/>
    </row>
    <row r="575" spans="9:10" x14ac:dyDescent="0.25">
      <c r="I575"/>
      <c r="J575"/>
    </row>
    <row r="576" spans="9:10" x14ac:dyDescent="0.25">
      <c r="I576"/>
      <c r="J576"/>
    </row>
    <row r="577" spans="9:10" x14ac:dyDescent="0.25">
      <c r="I577"/>
      <c r="J577"/>
    </row>
    <row r="578" spans="9:10" x14ac:dyDescent="0.25">
      <c r="I578"/>
      <c r="J578"/>
    </row>
    <row r="579" spans="9:10" x14ac:dyDescent="0.25">
      <c r="I579"/>
      <c r="J579"/>
    </row>
    <row r="580" spans="9:10" x14ac:dyDescent="0.25">
      <c r="I580"/>
      <c r="J580"/>
    </row>
    <row r="581" spans="9:10" x14ac:dyDescent="0.25">
      <c r="I581"/>
      <c r="J581"/>
    </row>
    <row r="582" spans="9:10" x14ac:dyDescent="0.25">
      <c r="I582"/>
      <c r="J582"/>
    </row>
    <row r="583" spans="9:10" x14ac:dyDescent="0.25">
      <c r="I583"/>
      <c r="J583"/>
    </row>
    <row r="584" spans="9:10" x14ac:dyDescent="0.25">
      <c r="I584"/>
      <c r="J584"/>
    </row>
    <row r="585" spans="9:10" x14ac:dyDescent="0.25">
      <c r="I585"/>
      <c r="J585"/>
    </row>
    <row r="586" spans="9:10" x14ac:dyDescent="0.25">
      <c r="I586"/>
      <c r="J586"/>
    </row>
    <row r="587" spans="9:10" x14ac:dyDescent="0.25">
      <c r="I587"/>
      <c r="J587"/>
    </row>
    <row r="588" spans="9:10" x14ac:dyDescent="0.25">
      <c r="I588"/>
      <c r="J588"/>
    </row>
    <row r="589" spans="9:10" x14ac:dyDescent="0.25">
      <c r="I589"/>
      <c r="J589"/>
    </row>
    <row r="590" spans="9:10" x14ac:dyDescent="0.25">
      <c r="I590"/>
      <c r="J590"/>
    </row>
    <row r="591" spans="9:10" x14ac:dyDescent="0.25">
      <c r="I591"/>
      <c r="J591"/>
    </row>
    <row r="592" spans="9:10" x14ac:dyDescent="0.25">
      <c r="I592"/>
      <c r="J592"/>
    </row>
    <row r="593" spans="9:10" x14ac:dyDescent="0.25">
      <c r="I593"/>
      <c r="J593"/>
    </row>
    <row r="594" spans="9:10" x14ac:dyDescent="0.25">
      <c r="I594"/>
      <c r="J594"/>
    </row>
    <row r="595" spans="9:10" x14ac:dyDescent="0.25">
      <c r="I595"/>
      <c r="J595"/>
    </row>
    <row r="596" spans="9:10" x14ac:dyDescent="0.25">
      <c r="I596"/>
      <c r="J596"/>
    </row>
    <row r="597" spans="9:10" x14ac:dyDescent="0.25">
      <c r="I597"/>
      <c r="J597"/>
    </row>
    <row r="598" spans="9:10" x14ac:dyDescent="0.25">
      <c r="I598"/>
      <c r="J598"/>
    </row>
    <row r="599" spans="9:10" x14ac:dyDescent="0.25">
      <c r="I599"/>
      <c r="J599"/>
    </row>
    <row r="600" spans="9:10" x14ac:dyDescent="0.25">
      <c r="I600"/>
      <c r="J600"/>
    </row>
    <row r="601" spans="9:10" x14ac:dyDescent="0.25">
      <c r="I601"/>
      <c r="J601"/>
    </row>
    <row r="602" spans="9:10" x14ac:dyDescent="0.25">
      <c r="I602"/>
      <c r="J602"/>
    </row>
    <row r="603" spans="9:10" x14ac:dyDescent="0.25">
      <c r="I603"/>
      <c r="J603"/>
    </row>
    <row r="604" spans="9:10" x14ac:dyDescent="0.25">
      <c r="I604"/>
      <c r="J604"/>
    </row>
    <row r="605" spans="9:10" x14ac:dyDescent="0.25">
      <c r="I605"/>
      <c r="J605"/>
    </row>
    <row r="606" spans="9:10" x14ac:dyDescent="0.25">
      <c r="I606"/>
      <c r="J606"/>
    </row>
    <row r="607" spans="9:10" x14ac:dyDescent="0.25">
      <c r="I607"/>
      <c r="J607"/>
    </row>
    <row r="608" spans="9:10" x14ac:dyDescent="0.25">
      <c r="I608"/>
      <c r="J608"/>
    </row>
    <row r="609" spans="9:10" x14ac:dyDescent="0.25">
      <c r="I609"/>
      <c r="J609"/>
    </row>
    <row r="610" spans="9:10" x14ac:dyDescent="0.25">
      <c r="I610"/>
      <c r="J610"/>
    </row>
    <row r="611" spans="9:10" x14ac:dyDescent="0.25">
      <c r="I611"/>
      <c r="J611"/>
    </row>
    <row r="612" spans="9:10" x14ac:dyDescent="0.25">
      <c r="I612"/>
      <c r="J612"/>
    </row>
    <row r="613" spans="9:10" x14ac:dyDescent="0.25">
      <c r="I613"/>
      <c r="J613"/>
    </row>
    <row r="614" spans="9:10" x14ac:dyDescent="0.25">
      <c r="I614"/>
      <c r="J614"/>
    </row>
    <row r="615" spans="9:10" x14ac:dyDescent="0.25">
      <c r="I615"/>
      <c r="J615"/>
    </row>
    <row r="616" spans="9:10" x14ac:dyDescent="0.25">
      <c r="I616"/>
      <c r="J616"/>
    </row>
    <row r="617" spans="9:10" x14ac:dyDescent="0.25">
      <c r="I617"/>
      <c r="J617"/>
    </row>
    <row r="618" spans="9:10" x14ac:dyDescent="0.25">
      <c r="I618"/>
      <c r="J618"/>
    </row>
    <row r="619" spans="9:10" x14ac:dyDescent="0.25">
      <c r="I619"/>
      <c r="J619"/>
    </row>
    <row r="620" spans="9:10" x14ac:dyDescent="0.25">
      <c r="I620"/>
      <c r="J620"/>
    </row>
    <row r="621" spans="9:10" x14ac:dyDescent="0.25">
      <c r="I621"/>
      <c r="J621"/>
    </row>
    <row r="622" spans="9:10" x14ac:dyDescent="0.25">
      <c r="I622"/>
      <c r="J622"/>
    </row>
    <row r="623" spans="9:10" x14ac:dyDescent="0.25">
      <c r="I623"/>
      <c r="J623"/>
    </row>
    <row r="624" spans="9:10" x14ac:dyDescent="0.25">
      <c r="I624"/>
      <c r="J624"/>
    </row>
    <row r="625" spans="9:10" x14ac:dyDescent="0.25">
      <c r="I625"/>
      <c r="J625"/>
    </row>
    <row r="626" spans="9:10" x14ac:dyDescent="0.25">
      <c r="I626"/>
      <c r="J626"/>
    </row>
    <row r="627" spans="9:10" x14ac:dyDescent="0.25">
      <c r="I627"/>
      <c r="J627"/>
    </row>
    <row r="628" spans="9:10" x14ac:dyDescent="0.25">
      <c r="I628"/>
      <c r="J628"/>
    </row>
    <row r="629" spans="9:10" x14ac:dyDescent="0.25">
      <c r="I629"/>
      <c r="J629"/>
    </row>
    <row r="630" spans="9:10" x14ac:dyDescent="0.25">
      <c r="I630"/>
      <c r="J630"/>
    </row>
    <row r="631" spans="9:10" x14ac:dyDescent="0.25">
      <c r="I631"/>
      <c r="J631"/>
    </row>
    <row r="632" spans="9:10" x14ac:dyDescent="0.25">
      <c r="I632"/>
      <c r="J632"/>
    </row>
    <row r="633" spans="9:10" x14ac:dyDescent="0.25">
      <c r="I633"/>
      <c r="J633"/>
    </row>
    <row r="634" spans="9:10" x14ac:dyDescent="0.25">
      <c r="I634"/>
      <c r="J634"/>
    </row>
    <row r="635" spans="9:10" x14ac:dyDescent="0.25">
      <c r="I635"/>
      <c r="J635"/>
    </row>
    <row r="636" spans="9:10" x14ac:dyDescent="0.25">
      <c r="I636"/>
      <c r="J636"/>
    </row>
    <row r="637" spans="9:10" x14ac:dyDescent="0.25">
      <c r="I637"/>
      <c r="J637"/>
    </row>
    <row r="638" spans="9:10" x14ac:dyDescent="0.25">
      <c r="I638"/>
      <c r="J638"/>
    </row>
    <row r="639" spans="9:10" x14ac:dyDescent="0.25">
      <c r="I639"/>
      <c r="J639"/>
    </row>
    <row r="640" spans="9:10" x14ac:dyDescent="0.25">
      <c r="I640"/>
      <c r="J640"/>
    </row>
    <row r="641" spans="9:10" x14ac:dyDescent="0.25">
      <c r="I641"/>
      <c r="J641"/>
    </row>
    <row r="642" spans="9:10" x14ac:dyDescent="0.25">
      <c r="I642"/>
      <c r="J642"/>
    </row>
    <row r="643" spans="9:10" x14ac:dyDescent="0.25">
      <c r="I643"/>
      <c r="J643"/>
    </row>
    <row r="644" spans="9:10" x14ac:dyDescent="0.25">
      <c r="I644"/>
      <c r="J644"/>
    </row>
    <row r="645" spans="9:10" x14ac:dyDescent="0.25">
      <c r="I645"/>
      <c r="J645"/>
    </row>
    <row r="646" spans="9:10" x14ac:dyDescent="0.25">
      <c r="I646"/>
      <c r="J646"/>
    </row>
    <row r="647" spans="9:10" x14ac:dyDescent="0.25">
      <c r="I647"/>
      <c r="J647"/>
    </row>
    <row r="648" spans="9:10" x14ac:dyDescent="0.25">
      <c r="I648"/>
      <c r="J648"/>
    </row>
    <row r="649" spans="9:10" x14ac:dyDescent="0.25">
      <c r="I649"/>
      <c r="J649"/>
    </row>
    <row r="650" spans="9:10" x14ac:dyDescent="0.25">
      <c r="I650"/>
      <c r="J650"/>
    </row>
    <row r="651" spans="9:10" x14ac:dyDescent="0.25">
      <c r="I651"/>
      <c r="J651"/>
    </row>
    <row r="652" spans="9:10" x14ac:dyDescent="0.25">
      <c r="I652"/>
      <c r="J652"/>
    </row>
    <row r="653" spans="9:10" x14ac:dyDescent="0.25">
      <c r="I653"/>
      <c r="J653"/>
    </row>
    <row r="654" spans="9:10" x14ac:dyDescent="0.25">
      <c r="I654"/>
      <c r="J654"/>
    </row>
    <row r="655" spans="9:10" x14ac:dyDescent="0.25">
      <c r="I655"/>
      <c r="J655"/>
    </row>
    <row r="656" spans="9:10" x14ac:dyDescent="0.25">
      <c r="I656"/>
      <c r="J656"/>
    </row>
    <row r="657" spans="9:10" x14ac:dyDescent="0.25">
      <c r="I657"/>
      <c r="J657"/>
    </row>
    <row r="658" spans="9:10" x14ac:dyDescent="0.25">
      <c r="I658"/>
      <c r="J658"/>
    </row>
    <row r="659" spans="9:10" x14ac:dyDescent="0.25">
      <c r="I659"/>
      <c r="J659"/>
    </row>
    <row r="660" spans="9:10" x14ac:dyDescent="0.25">
      <c r="I660"/>
      <c r="J660"/>
    </row>
    <row r="661" spans="9:10" x14ac:dyDescent="0.25">
      <c r="I661"/>
      <c r="J661"/>
    </row>
    <row r="662" spans="9:10" x14ac:dyDescent="0.25">
      <c r="I662"/>
      <c r="J662"/>
    </row>
    <row r="663" spans="9:10" x14ac:dyDescent="0.25">
      <c r="I663"/>
      <c r="J663"/>
    </row>
    <row r="664" spans="9:10" x14ac:dyDescent="0.25">
      <c r="I664"/>
      <c r="J664"/>
    </row>
    <row r="665" spans="9:10" x14ac:dyDescent="0.25">
      <c r="I665"/>
      <c r="J665"/>
    </row>
    <row r="666" spans="9:10" x14ac:dyDescent="0.25">
      <c r="I666"/>
      <c r="J666"/>
    </row>
    <row r="667" spans="9:10" x14ac:dyDescent="0.25">
      <c r="I667"/>
      <c r="J667"/>
    </row>
    <row r="668" spans="9:10" x14ac:dyDescent="0.25">
      <c r="I668"/>
      <c r="J668"/>
    </row>
    <row r="669" spans="9:10" x14ac:dyDescent="0.25">
      <c r="I669"/>
      <c r="J669"/>
    </row>
    <row r="670" spans="9:10" x14ac:dyDescent="0.25">
      <c r="I670"/>
      <c r="J670"/>
    </row>
    <row r="671" spans="9:10" x14ac:dyDescent="0.25">
      <c r="I671"/>
      <c r="J671"/>
    </row>
    <row r="672" spans="9:10" x14ac:dyDescent="0.25">
      <c r="I672"/>
      <c r="J672"/>
    </row>
    <row r="673" spans="9:10" x14ac:dyDescent="0.25">
      <c r="I673"/>
      <c r="J673"/>
    </row>
    <row r="674" spans="9:10" x14ac:dyDescent="0.25">
      <c r="I674"/>
      <c r="J674"/>
    </row>
    <row r="675" spans="9:10" x14ac:dyDescent="0.25">
      <c r="I675"/>
      <c r="J675"/>
    </row>
    <row r="676" spans="9:10" x14ac:dyDescent="0.25">
      <c r="I676"/>
      <c r="J676"/>
    </row>
    <row r="677" spans="9:10" x14ac:dyDescent="0.25">
      <c r="I677"/>
      <c r="J677"/>
    </row>
    <row r="678" spans="9:10" x14ac:dyDescent="0.25">
      <c r="I678"/>
      <c r="J678"/>
    </row>
    <row r="679" spans="9:10" x14ac:dyDescent="0.25">
      <c r="I679"/>
      <c r="J679"/>
    </row>
    <row r="680" spans="9:10" x14ac:dyDescent="0.25">
      <c r="I680"/>
      <c r="J680"/>
    </row>
    <row r="681" spans="9:10" x14ac:dyDescent="0.25">
      <c r="I681"/>
      <c r="J681"/>
    </row>
    <row r="682" spans="9:10" x14ac:dyDescent="0.25">
      <c r="I682"/>
      <c r="J682"/>
    </row>
    <row r="683" spans="9:10" x14ac:dyDescent="0.25">
      <c r="I683"/>
      <c r="J683"/>
    </row>
    <row r="684" spans="9:10" x14ac:dyDescent="0.25">
      <c r="I684"/>
      <c r="J684"/>
    </row>
    <row r="685" spans="9:10" x14ac:dyDescent="0.25">
      <c r="I685"/>
      <c r="J685"/>
    </row>
    <row r="686" spans="9:10" x14ac:dyDescent="0.25">
      <c r="I686"/>
      <c r="J686"/>
    </row>
    <row r="687" spans="9:10" x14ac:dyDescent="0.25">
      <c r="I687"/>
      <c r="J687"/>
    </row>
    <row r="688" spans="9:10" x14ac:dyDescent="0.25">
      <c r="I688"/>
      <c r="J688"/>
    </row>
    <row r="689" spans="9:10" x14ac:dyDescent="0.25">
      <c r="I689"/>
      <c r="J689"/>
    </row>
    <row r="690" spans="9:10" x14ac:dyDescent="0.25">
      <c r="I690"/>
      <c r="J690"/>
    </row>
    <row r="691" spans="9:10" x14ac:dyDescent="0.25">
      <c r="I691"/>
      <c r="J691"/>
    </row>
    <row r="692" spans="9:10" x14ac:dyDescent="0.25">
      <c r="I692"/>
      <c r="J692"/>
    </row>
    <row r="693" spans="9:10" x14ac:dyDescent="0.25">
      <c r="I693"/>
      <c r="J693"/>
    </row>
    <row r="694" spans="9:10" x14ac:dyDescent="0.25">
      <c r="I694"/>
      <c r="J694"/>
    </row>
    <row r="695" spans="9:10" x14ac:dyDescent="0.25">
      <c r="I695"/>
      <c r="J695"/>
    </row>
    <row r="696" spans="9:10" x14ac:dyDescent="0.25">
      <c r="I696"/>
      <c r="J696"/>
    </row>
    <row r="697" spans="9:10" x14ac:dyDescent="0.25">
      <c r="I697"/>
      <c r="J697"/>
    </row>
    <row r="698" spans="9:10" x14ac:dyDescent="0.25">
      <c r="I698"/>
      <c r="J698"/>
    </row>
    <row r="699" spans="9:10" x14ac:dyDescent="0.25">
      <c r="I699"/>
      <c r="J699"/>
    </row>
    <row r="700" spans="9:10" x14ac:dyDescent="0.25">
      <c r="I700"/>
      <c r="J700"/>
    </row>
    <row r="701" spans="9:10" x14ac:dyDescent="0.25">
      <c r="I701"/>
      <c r="J701"/>
    </row>
    <row r="702" spans="9:10" x14ac:dyDescent="0.25">
      <c r="I702"/>
      <c r="J702"/>
    </row>
    <row r="703" spans="9:10" x14ac:dyDescent="0.25">
      <c r="I703"/>
      <c r="J703"/>
    </row>
    <row r="704" spans="9:10" x14ac:dyDescent="0.25">
      <c r="I704"/>
      <c r="J704"/>
    </row>
    <row r="705" spans="9:10" x14ac:dyDescent="0.25">
      <c r="I705"/>
      <c r="J705"/>
    </row>
    <row r="706" spans="9:10" x14ac:dyDescent="0.25">
      <c r="I706"/>
      <c r="J706"/>
    </row>
    <row r="707" spans="9:10" x14ac:dyDescent="0.25">
      <c r="I707"/>
      <c r="J707"/>
    </row>
    <row r="708" spans="9:10" x14ac:dyDescent="0.25">
      <c r="I708"/>
      <c r="J708"/>
    </row>
    <row r="709" spans="9:10" x14ac:dyDescent="0.25">
      <c r="I709"/>
      <c r="J709"/>
    </row>
    <row r="710" spans="9:10" x14ac:dyDescent="0.25">
      <c r="I710"/>
      <c r="J710"/>
    </row>
    <row r="711" spans="9:10" x14ac:dyDescent="0.25">
      <c r="I711"/>
      <c r="J711"/>
    </row>
    <row r="712" spans="9:10" x14ac:dyDescent="0.25">
      <c r="I712"/>
      <c r="J712"/>
    </row>
    <row r="713" spans="9:10" x14ac:dyDescent="0.25">
      <c r="I713"/>
      <c r="J713"/>
    </row>
    <row r="714" spans="9:10" x14ac:dyDescent="0.25">
      <c r="I714"/>
      <c r="J714"/>
    </row>
    <row r="715" spans="9:10" x14ac:dyDescent="0.25">
      <c r="I715"/>
      <c r="J715"/>
    </row>
    <row r="716" spans="9:10" x14ac:dyDescent="0.25">
      <c r="I716"/>
      <c r="J716"/>
    </row>
    <row r="717" spans="9:10" x14ac:dyDescent="0.25">
      <c r="I717"/>
      <c r="J717"/>
    </row>
    <row r="718" spans="9:10" x14ac:dyDescent="0.25">
      <c r="I718"/>
      <c r="J718"/>
    </row>
    <row r="719" spans="9:10" x14ac:dyDescent="0.25">
      <c r="I719"/>
      <c r="J719"/>
    </row>
    <row r="720" spans="9:10" x14ac:dyDescent="0.25">
      <c r="I720"/>
      <c r="J720"/>
    </row>
    <row r="721" spans="9:10" x14ac:dyDescent="0.25">
      <c r="I721"/>
      <c r="J721"/>
    </row>
    <row r="722" spans="9:10" x14ac:dyDescent="0.25">
      <c r="I722"/>
      <c r="J722"/>
    </row>
    <row r="723" spans="9:10" x14ac:dyDescent="0.25">
      <c r="I723"/>
      <c r="J723"/>
    </row>
    <row r="724" spans="9:10" x14ac:dyDescent="0.25">
      <c r="I724"/>
      <c r="J724"/>
    </row>
    <row r="725" spans="9:10" x14ac:dyDescent="0.25">
      <c r="I725"/>
      <c r="J725"/>
    </row>
    <row r="726" spans="9:10" x14ac:dyDescent="0.25">
      <c r="I726"/>
      <c r="J726"/>
    </row>
    <row r="727" spans="9:10" x14ac:dyDescent="0.25">
      <c r="I727"/>
      <c r="J727"/>
    </row>
    <row r="728" spans="9:10" x14ac:dyDescent="0.25">
      <c r="I728"/>
      <c r="J728"/>
    </row>
    <row r="729" spans="9:10" x14ac:dyDescent="0.25">
      <c r="I729"/>
    </row>
    <row r="730" spans="9:10" x14ac:dyDescent="0.25">
      <c r="I730"/>
    </row>
    <row r="731" spans="9:10" x14ac:dyDescent="0.25">
      <c r="I731"/>
    </row>
    <row r="732" spans="9:10" x14ac:dyDescent="0.25">
      <c r="I73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6804C-259F-4879-BC64-02316FCD7E1D}">
  <dimension ref="A1"/>
  <sheetViews>
    <sheetView zoomScale="101" workbookViewId="0">
      <selection activeCell="L20" sqref="L2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40CD8-C27C-43E5-85F4-B75FE28837BC}">
  <dimension ref="A2:C34"/>
  <sheetViews>
    <sheetView tabSelected="1" workbookViewId="0">
      <selection sqref="A1:XFD1048576"/>
    </sheetView>
  </sheetViews>
  <sheetFormatPr defaultRowHeight="15" x14ac:dyDescent="0.25"/>
  <sheetData>
    <row r="2" spans="1:3" ht="15.75" x14ac:dyDescent="0.25">
      <c r="A2" s="16" t="s">
        <v>89</v>
      </c>
      <c r="B2" s="8"/>
      <c r="C2" s="8"/>
    </row>
    <row r="3" spans="1:3" x14ac:dyDescent="0.25">
      <c r="A3" t="s">
        <v>88</v>
      </c>
    </row>
    <row r="4" spans="1:3" x14ac:dyDescent="0.25">
      <c r="A4" t="s">
        <v>87</v>
      </c>
    </row>
    <row r="5" spans="1:3" x14ac:dyDescent="0.25">
      <c r="A5" t="s">
        <v>86</v>
      </c>
    </row>
    <row r="6" spans="1:3" x14ac:dyDescent="0.25">
      <c r="A6" t="s">
        <v>85</v>
      </c>
    </row>
    <row r="8" spans="1:3" ht="15.75" x14ac:dyDescent="0.25">
      <c r="A8" s="16" t="s">
        <v>84</v>
      </c>
    </row>
    <row r="9" spans="1:3" x14ac:dyDescent="0.25">
      <c r="A9" t="s">
        <v>83</v>
      </c>
    </row>
    <row r="10" spans="1:3" x14ac:dyDescent="0.25">
      <c r="A10" t="s">
        <v>82</v>
      </c>
    </row>
    <row r="12" spans="1:3" ht="15.75" x14ac:dyDescent="0.25">
      <c r="A12" s="16" t="s">
        <v>81</v>
      </c>
      <c r="B12" s="16"/>
    </row>
    <row r="13" spans="1:3" x14ac:dyDescent="0.25">
      <c r="A13" t="s">
        <v>80</v>
      </c>
    </row>
    <row r="14" spans="1:3" x14ac:dyDescent="0.25">
      <c r="A14" t="s">
        <v>79</v>
      </c>
    </row>
    <row r="16" spans="1:3" ht="15.75" x14ac:dyDescent="0.25">
      <c r="A16" s="16" t="s">
        <v>78</v>
      </c>
    </row>
    <row r="17" spans="1:1" x14ac:dyDescent="0.25">
      <c r="A17" t="s">
        <v>77</v>
      </c>
    </row>
    <row r="18" spans="1:1" x14ac:dyDescent="0.25">
      <c r="A18" t="s">
        <v>76</v>
      </c>
    </row>
    <row r="19" spans="1:1" x14ac:dyDescent="0.25">
      <c r="A19" t="s">
        <v>75</v>
      </c>
    </row>
    <row r="21" spans="1:1" ht="15.75" x14ac:dyDescent="0.25">
      <c r="A21" s="16" t="s">
        <v>74</v>
      </c>
    </row>
    <row r="22" spans="1:1" x14ac:dyDescent="0.25">
      <c r="A22" t="s">
        <v>73</v>
      </c>
    </row>
    <row r="23" spans="1:1" x14ac:dyDescent="0.25">
      <c r="A23" t="s">
        <v>72</v>
      </c>
    </row>
    <row r="24" spans="1:1" x14ac:dyDescent="0.25">
      <c r="A24" t="s">
        <v>71</v>
      </c>
    </row>
    <row r="26" spans="1:1" ht="15.75" x14ac:dyDescent="0.25">
      <c r="A26" s="16" t="s">
        <v>70</v>
      </c>
    </row>
    <row r="27" spans="1:1" x14ac:dyDescent="0.25">
      <c r="A27" t="s">
        <v>69</v>
      </c>
    </row>
    <row r="28" spans="1:1" x14ac:dyDescent="0.25">
      <c r="A28" t="s">
        <v>68</v>
      </c>
    </row>
    <row r="29" spans="1:1" x14ac:dyDescent="0.25">
      <c r="A29" t="s">
        <v>67</v>
      </c>
    </row>
    <row r="31" spans="1:1" ht="15.75" x14ac:dyDescent="0.25">
      <c r="A31" s="16" t="s">
        <v>66</v>
      </c>
    </row>
    <row r="32" spans="1:1" x14ac:dyDescent="0.25">
      <c r="A32" t="s">
        <v>65</v>
      </c>
    </row>
    <row r="33" spans="1:1" x14ac:dyDescent="0.25">
      <c r="A33" t="s">
        <v>64</v>
      </c>
    </row>
    <row r="34" spans="1:1" x14ac:dyDescent="0.25">
      <c r="A34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EDA Analysis</vt:lpstr>
      <vt:lpstr>EDA Pivot Tables</vt:lpstr>
      <vt:lpstr>EDA Charts</vt:lpstr>
      <vt:lpstr>EDA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2026-06-07T13:49:48Z</dcterms:created>
  <dcterms:modified xsi:type="dcterms:W3CDTF">2026-06-07T13:58:33Z</dcterms:modified>
</cp:coreProperties>
</file>